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14939DD0-97AA-F24B-A6EC-27CCE42E0D73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График реализации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5" l="1"/>
  <c r="E33" i="5"/>
  <c r="C69" i="5"/>
  <c r="E69" i="5" s="1"/>
  <c r="C72" i="5"/>
  <c r="E72" i="5" s="1"/>
  <c r="H60" i="5"/>
  <c r="H61" i="5"/>
  <c r="H62" i="5"/>
  <c r="H63" i="5"/>
  <c r="H64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9" i="5"/>
  <c r="H80" i="5"/>
  <c r="H81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2" i="5"/>
  <c r="H333" i="5"/>
  <c r="H331" i="5"/>
  <c r="H334" i="5"/>
  <c r="H335" i="5"/>
  <c r="H336" i="5"/>
  <c r="H337" i="5"/>
  <c r="H338" i="5"/>
  <c r="H339" i="5"/>
  <c r="H340" i="5"/>
  <c r="H341" i="5"/>
  <c r="H408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9" i="5"/>
  <c r="H410" i="5"/>
  <c r="H411" i="5"/>
  <c r="H412" i="5"/>
  <c r="H413" i="5"/>
  <c r="H414" i="5"/>
  <c r="E36" i="5"/>
  <c r="E3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I28" i="5" s="1"/>
  <c r="E29" i="5"/>
  <c r="E30" i="5"/>
  <c r="E31" i="5"/>
  <c r="E34" i="5"/>
  <c r="E35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1" i="5"/>
  <c r="E62" i="5"/>
  <c r="E63" i="5"/>
  <c r="E64" i="5"/>
  <c r="E65" i="5"/>
  <c r="E66" i="5"/>
  <c r="E67" i="5"/>
  <c r="E68" i="5"/>
  <c r="E70" i="5"/>
  <c r="E75" i="5"/>
  <c r="E76" i="5"/>
  <c r="E77" i="5"/>
  <c r="E79" i="5"/>
  <c r="E80" i="5"/>
  <c r="E81" i="5"/>
  <c r="E83" i="5"/>
  <c r="E84" i="5"/>
  <c r="E85" i="5"/>
  <c r="E86" i="5"/>
  <c r="E88" i="5"/>
  <c r="E89" i="5"/>
  <c r="E90" i="5"/>
  <c r="E91" i="5"/>
  <c r="E92" i="5"/>
  <c r="E93" i="5"/>
  <c r="E94" i="5"/>
  <c r="E95" i="5"/>
  <c r="E96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2" i="5"/>
  <c r="E333" i="5"/>
  <c r="E331" i="5"/>
  <c r="E334" i="5"/>
  <c r="E335" i="5"/>
  <c r="E336" i="5"/>
  <c r="E337" i="5"/>
  <c r="E338" i="5"/>
  <c r="E339" i="5"/>
  <c r="E340" i="5"/>
  <c r="E341" i="5"/>
  <c r="E408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9" i="5"/>
  <c r="E410" i="5"/>
  <c r="E411" i="5"/>
  <c r="E412" i="5"/>
  <c r="E413" i="5"/>
  <c r="E414" i="5"/>
  <c r="H7" i="5"/>
  <c r="E7" i="5"/>
  <c r="I9" i="5" l="1"/>
  <c r="I131" i="5"/>
  <c r="I119" i="5"/>
  <c r="I170" i="5"/>
  <c r="I158" i="5"/>
  <c r="I214" i="5"/>
  <c r="I147" i="5"/>
  <c r="I123" i="5"/>
  <c r="I111" i="5"/>
  <c r="I297" i="5"/>
  <c r="I229" i="5"/>
  <c r="I328" i="5"/>
  <c r="I412" i="5"/>
  <c r="I399" i="5"/>
  <c r="I375" i="5"/>
  <c r="I363" i="5"/>
  <c r="I351" i="5"/>
  <c r="I67" i="5"/>
  <c r="I289" i="5"/>
  <c r="I265" i="5"/>
  <c r="I231" i="5"/>
  <c r="I207" i="5"/>
  <c r="I112" i="5"/>
  <c r="I316" i="5"/>
  <c r="I298" i="5"/>
  <c r="I153" i="5"/>
  <c r="I235" i="5"/>
  <c r="I171" i="5"/>
  <c r="I291" i="5"/>
  <c r="I163" i="5"/>
  <c r="I152" i="5"/>
  <c r="I140" i="5"/>
  <c r="I104" i="5"/>
  <c r="I366" i="5"/>
  <c r="I273" i="5"/>
  <c r="I206" i="5"/>
  <c r="I404" i="5"/>
  <c r="I164" i="5"/>
  <c r="I397" i="5"/>
  <c r="I361" i="5"/>
  <c r="I349" i="5"/>
  <c r="I314" i="5"/>
  <c r="I302" i="5"/>
  <c r="I29" i="5"/>
  <c r="I17" i="5"/>
  <c r="I392" i="5"/>
  <c r="I344" i="5"/>
  <c r="I113" i="5"/>
  <c r="I117" i="5"/>
  <c r="I309" i="5"/>
  <c r="I384" i="5"/>
  <c r="I348" i="5"/>
  <c r="I313" i="5"/>
  <c r="I215" i="5"/>
  <c r="I187" i="5"/>
  <c r="I405" i="5"/>
  <c r="I220" i="5"/>
  <c r="I125" i="5"/>
  <c r="I400" i="5"/>
  <c r="I329" i="5"/>
  <c r="I259" i="5"/>
  <c r="I199" i="5"/>
  <c r="I148" i="5"/>
  <c r="I402" i="5"/>
  <c r="I307" i="5"/>
  <c r="I181" i="5"/>
  <c r="I12" i="5"/>
  <c r="I268" i="5"/>
  <c r="I226" i="5"/>
  <c r="I180" i="5"/>
  <c r="I146" i="5"/>
  <c r="I49" i="5"/>
  <c r="I179" i="5"/>
  <c r="I133" i="5"/>
  <c r="I190" i="5"/>
  <c r="I178" i="5"/>
  <c r="I156" i="5"/>
  <c r="I132" i="5"/>
  <c r="I240" i="5"/>
  <c r="I321" i="5"/>
  <c r="I230" i="5"/>
  <c r="I411" i="5"/>
  <c r="I107" i="5"/>
  <c r="I249" i="5"/>
  <c r="I155" i="5"/>
  <c r="I332" i="5"/>
  <c r="I194" i="5"/>
  <c r="I334" i="5"/>
  <c r="I137" i="5"/>
  <c r="I356" i="5"/>
  <c r="I331" i="5"/>
  <c r="I159" i="5"/>
  <c r="I355" i="5"/>
  <c r="I225" i="5"/>
  <c r="I22" i="5"/>
  <c r="I10" i="5"/>
  <c r="I387" i="5"/>
  <c r="I166" i="5"/>
  <c r="I91" i="5"/>
  <c r="I339" i="5"/>
  <c r="I142" i="5"/>
  <c r="I120" i="5"/>
  <c r="I241" i="5"/>
  <c r="I308" i="5"/>
  <c r="I398" i="5"/>
  <c r="I201" i="5"/>
  <c r="I208" i="5"/>
  <c r="I342" i="5"/>
  <c r="I315" i="5"/>
  <c r="I304" i="5"/>
  <c r="I116" i="5"/>
  <c r="I36" i="5"/>
  <c r="I393" i="5"/>
  <c r="I250" i="5"/>
  <c r="I48" i="5"/>
  <c r="I290" i="5"/>
  <c r="I223" i="5"/>
  <c r="I234" i="5"/>
  <c r="I30" i="5"/>
  <c r="I403" i="5"/>
  <c r="I172" i="5"/>
  <c r="I243" i="5"/>
  <c r="I380" i="5"/>
  <c r="I391" i="5"/>
  <c r="I390" i="5"/>
  <c r="I283" i="5"/>
  <c r="I193" i="5"/>
  <c r="I110" i="5"/>
  <c r="I345" i="5"/>
  <c r="I35" i="5"/>
  <c r="I23" i="5"/>
  <c r="I279" i="5"/>
  <c r="I256" i="5"/>
  <c r="I189" i="5"/>
  <c r="I169" i="5"/>
  <c r="I149" i="5"/>
  <c r="I101" i="5"/>
  <c r="I368" i="5"/>
  <c r="I285" i="5"/>
  <c r="I260" i="5"/>
  <c r="I98" i="5"/>
  <c r="I386" i="5"/>
  <c r="I364" i="5"/>
  <c r="I255" i="5"/>
  <c r="I246" i="5"/>
  <c r="I184" i="5"/>
  <c r="I378" i="5"/>
  <c r="I134" i="5"/>
  <c r="I340" i="5"/>
  <c r="I202" i="5"/>
  <c r="I374" i="5"/>
  <c r="I300" i="5"/>
  <c r="I218" i="5"/>
  <c r="I237" i="5"/>
  <c r="I369" i="5"/>
  <c r="I261" i="5"/>
  <c r="I195" i="5"/>
  <c r="I100" i="5"/>
  <c r="I284" i="5"/>
  <c r="I213" i="5"/>
  <c r="I165" i="5"/>
  <c r="I154" i="5"/>
  <c r="I118" i="5"/>
  <c r="I90" i="5"/>
  <c r="I46" i="5"/>
  <c r="I320" i="5"/>
  <c r="I299" i="5"/>
  <c r="I253" i="5"/>
  <c r="I124" i="5"/>
  <c r="I343" i="5"/>
  <c r="I138" i="5"/>
  <c r="I63" i="5"/>
  <c r="I122" i="5"/>
  <c r="I274" i="5"/>
  <c r="I26" i="5"/>
  <c r="I62" i="5"/>
  <c r="I11" i="5"/>
  <c r="I409" i="5"/>
  <c r="I370" i="5"/>
  <c r="I262" i="5"/>
  <c r="I222" i="5"/>
  <c r="I185" i="5"/>
  <c r="I176" i="5"/>
  <c r="I167" i="5"/>
  <c r="I15" i="5"/>
  <c r="I61" i="5"/>
  <c r="I336" i="5"/>
  <c r="I160" i="5"/>
  <c r="I102" i="5"/>
  <c r="I64" i="5"/>
  <c r="I275" i="5"/>
  <c r="I186" i="5"/>
  <c r="I407" i="5"/>
  <c r="I379" i="5"/>
  <c r="I360" i="5"/>
  <c r="I333" i="5"/>
  <c r="I322" i="5"/>
  <c r="I221" i="5"/>
  <c r="I212" i="5"/>
  <c r="I203" i="5"/>
  <c r="I175" i="5"/>
  <c r="I136" i="5"/>
  <c r="I99" i="5"/>
  <c r="I76" i="5"/>
  <c r="I24" i="5"/>
  <c r="I14" i="5"/>
  <c r="I60" i="5"/>
  <c r="I337" i="5"/>
  <c r="I286" i="5"/>
  <c r="I103" i="5"/>
  <c r="I96" i="5"/>
  <c r="I276" i="5"/>
  <c r="I196" i="5"/>
  <c r="I18" i="5"/>
  <c r="I372" i="5"/>
  <c r="I7" i="5"/>
  <c r="I319" i="5"/>
  <c r="I371" i="5"/>
  <c r="I295" i="5"/>
  <c r="I205" i="5"/>
  <c r="I406" i="5"/>
  <c r="I350" i="5"/>
  <c r="I303" i="5"/>
  <c r="I292" i="5"/>
  <c r="I272" i="5"/>
  <c r="I252" i="5"/>
  <c r="I211" i="5"/>
  <c r="I135" i="5"/>
  <c r="I13" i="5"/>
  <c r="I95" i="5"/>
  <c r="I128" i="5"/>
  <c r="I130" i="5"/>
  <c r="I248" i="5"/>
  <c r="I236" i="5"/>
  <c r="I271" i="5"/>
  <c r="I251" i="5"/>
  <c r="I183" i="5"/>
  <c r="I242" i="5"/>
  <c r="I233" i="5"/>
  <c r="I84" i="5"/>
  <c r="I277" i="5"/>
  <c r="I83" i="5"/>
  <c r="I335" i="5"/>
  <c r="I139" i="5"/>
  <c r="I381" i="5"/>
  <c r="I325" i="5"/>
  <c r="I296" i="5"/>
  <c r="I354" i="5"/>
  <c r="I362" i="5"/>
  <c r="I327" i="5"/>
  <c r="I267" i="5"/>
  <c r="I177" i="5"/>
  <c r="I410" i="5"/>
  <c r="I385" i="5"/>
  <c r="I373" i="5"/>
  <c r="I338" i="5"/>
  <c r="I326" i="5"/>
  <c r="I278" i="5"/>
  <c r="I266" i="5"/>
  <c r="I254" i="5"/>
  <c r="I224" i="5"/>
  <c r="I200" i="5"/>
  <c r="I188" i="5"/>
  <c r="I141" i="5"/>
  <c r="I129" i="5"/>
  <c r="I105" i="5"/>
  <c r="I247" i="5"/>
  <c r="I70" i="5"/>
  <c r="I31" i="5"/>
  <c r="I19" i="5"/>
  <c r="I396" i="5"/>
  <c r="I367" i="5"/>
  <c r="I357" i="5"/>
  <c r="I310" i="5"/>
  <c r="I301" i="5"/>
  <c r="I219" i="5"/>
  <c r="I182" i="5"/>
  <c r="I143" i="5"/>
  <c r="I106" i="5"/>
  <c r="I97" i="5"/>
  <c r="I232" i="5"/>
  <c r="I79" i="5"/>
  <c r="I395" i="5"/>
  <c r="I359" i="5"/>
  <c r="I324" i="5"/>
  <c r="I77" i="5"/>
  <c r="I394" i="5"/>
  <c r="I358" i="5"/>
  <c r="I323" i="5"/>
  <c r="I294" i="5"/>
  <c r="I270" i="5"/>
  <c r="I210" i="5"/>
  <c r="I174" i="5"/>
  <c r="I127" i="5"/>
  <c r="I8" i="5"/>
  <c r="I47" i="5"/>
  <c r="I401" i="5"/>
  <c r="I365" i="5"/>
  <c r="I330" i="5"/>
  <c r="I293" i="5"/>
  <c r="I269" i="5"/>
  <c r="I209" i="5"/>
  <c r="I173" i="5"/>
  <c r="I126" i="5"/>
  <c r="I57" i="5"/>
  <c r="I414" i="5"/>
  <c r="I408" i="5"/>
  <c r="I54" i="5"/>
  <c r="I341" i="5"/>
  <c r="I305" i="5"/>
  <c r="I145" i="5"/>
  <c r="I383" i="5"/>
  <c r="I347" i="5"/>
  <c r="I312" i="5"/>
  <c r="I281" i="5"/>
  <c r="I257" i="5"/>
  <c r="I227" i="5"/>
  <c r="I191" i="5"/>
  <c r="I144" i="5"/>
  <c r="I108" i="5"/>
  <c r="I21" i="5"/>
  <c r="I306" i="5"/>
  <c r="I66" i="5"/>
  <c r="I413" i="5"/>
  <c r="I376" i="5"/>
  <c r="I282" i="5"/>
  <c r="I228" i="5"/>
  <c r="I382" i="5"/>
  <c r="I346" i="5"/>
  <c r="I311" i="5"/>
  <c r="I280" i="5"/>
  <c r="I198" i="5"/>
  <c r="I162" i="5"/>
  <c r="I151" i="5"/>
  <c r="I115" i="5"/>
  <c r="I85" i="5"/>
  <c r="I20" i="5"/>
  <c r="I377" i="5"/>
  <c r="I16" i="5"/>
  <c r="I258" i="5"/>
  <c r="I25" i="5"/>
  <c r="I389" i="5"/>
  <c r="I353" i="5"/>
  <c r="I318" i="5"/>
  <c r="I288" i="5"/>
  <c r="I264" i="5"/>
  <c r="I197" i="5"/>
  <c r="I161" i="5"/>
  <c r="I150" i="5"/>
  <c r="I114" i="5"/>
  <c r="I32" i="5"/>
  <c r="I192" i="5"/>
  <c r="I109" i="5"/>
  <c r="I388" i="5"/>
  <c r="I352" i="5"/>
  <c r="I317" i="5"/>
  <c r="I287" i="5"/>
  <c r="I263" i="5"/>
  <c r="I204" i="5"/>
  <c r="I168" i="5"/>
  <c r="I157" i="5"/>
  <c r="I121" i="5"/>
  <c r="I245" i="5"/>
  <c r="I244" i="5"/>
  <c r="I239" i="5"/>
  <c r="I238" i="5"/>
  <c r="I94" i="5"/>
  <c r="I92" i="5"/>
  <c r="I93" i="5"/>
  <c r="I88" i="5"/>
  <c r="I89" i="5"/>
  <c r="I86" i="5"/>
  <c r="I80" i="5"/>
  <c r="I81" i="5"/>
  <c r="I75" i="5"/>
  <c r="I58" i="5"/>
  <c r="I59" i="5"/>
  <c r="I65" i="5"/>
  <c r="I68" i="5"/>
  <c r="I42" i="5"/>
  <c r="I55" i="5"/>
  <c r="I43" i="5"/>
  <c r="I38" i="5"/>
  <c r="I53" i="5"/>
  <c r="I37" i="5"/>
  <c r="I41" i="5"/>
  <c r="I44" i="5"/>
  <c r="I52" i="5"/>
  <c r="I40" i="5"/>
  <c r="I51" i="5"/>
  <c r="I34" i="5"/>
  <c r="I50" i="5"/>
  <c r="I33" i="5"/>
  <c r="I39" i="5"/>
  <c r="I56" i="5"/>
  <c r="I45" i="5"/>
  <c r="I27" i="5"/>
  <c r="J227" i="5"/>
  <c r="K227" i="5"/>
  <c r="L227" i="5"/>
  <c r="M227" i="5"/>
  <c r="N227" i="5"/>
  <c r="O227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AG227" i="5"/>
  <c r="AH227" i="5"/>
  <c r="AI227" i="5"/>
  <c r="J228" i="5"/>
  <c r="K228" i="5"/>
  <c r="L228" i="5"/>
  <c r="M228" i="5"/>
  <c r="N228" i="5"/>
  <c r="O228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AG228" i="5"/>
  <c r="AH228" i="5"/>
  <c r="AI228" i="5"/>
  <c r="J229" i="5"/>
  <c r="K229" i="5"/>
  <c r="L229" i="5"/>
  <c r="M229" i="5"/>
  <c r="N229" i="5"/>
  <c r="O229" i="5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AG229" i="5"/>
  <c r="AH229" i="5"/>
  <c r="AI229" i="5"/>
  <c r="J230" i="5"/>
  <c r="K230" i="5"/>
  <c r="L230" i="5"/>
  <c r="M230" i="5"/>
  <c r="N230" i="5"/>
  <c r="O230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AG230" i="5"/>
  <c r="AH230" i="5"/>
  <c r="AI230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J231" i="5"/>
  <c r="K231" i="5"/>
  <c r="L231" i="5"/>
  <c r="M231" i="5"/>
  <c r="N231" i="5"/>
  <c r="O231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AG231" i="5"/>
  <c r="AH231" i="5"/>
  <c r="AI231" i="5"/>
  <c r="J232" i="5"/>
  <c r="K232" i="5"/>
  <c r="L232" i="5"/>
  <c r="M232" i="5"/>
  <c r="N232" i="5"/>
  <c r="O232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AG232" i="5"/>
  <c r="AH232" i="5"/>
  <c r="AI232" i="5"/>
  <c r="J233" i="5"/>
  <c r="K233" i="5"/>
  <c r="L233" i="5"/>
  <c r="M233" i="5"/>
  <c r="N233" i="5"/>
  <c r="O233" i="5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AG233" i="5"/>
  <c r="AH233" i="5"/>
  <c r="AI233" i="5"/>
  <c r="J234" i="5"/>
  <c r="K234" i="5"/>
  <c r="L234" i="5"/>
  <c r="M234" i="5"/>
  <c r="N234" i="5"/>
  <c r="O234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AG234" i="5"/>
  <c r="AH234" i="5"/>
  <c r="AI234" i="5"/>
  <c r="J235" i="5"/>
  <c r="K235" i="5"/>
  <c r="L235" i="5"/>
  <c r="M235" i="5"/>
  <c r="N235" i="5"/>
  <c r="O235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AG235" i="5"/>
  <c r="AH235" i="5"/>
  <c r="AI235" i="5"/>
  <c r="J236" i="5"/>
  <c r="K236" i="5"/>
  <c r="L236" i="5"/>
  <c r="M236" i="5"/>
  <c r="N236" i="5"/>
  <c r="O236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AG236" i="5"/>
  <c r="AH236" i="5"/>
  <c r="AI236" i="5"/>
  <c r="J237" i="5"/>
  <c r="K237" i="5"/>
  <c r="L237" i="5"/>
  <c r="M237" i="5"/>
  <c r="N237" i="5"/>
  <c r="O237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AG237" i="5"/>
  <c r="AH237" i="5"/>
  <c r="AI237" i="5"/>
  <c r="J238" i="5"/>
  <c r="K238" i="5"/>
  <c r="L238" i="5"/>
  <c r="M238" i="5"/>
  <c r="N238" i="5"/>
  <c r="O238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AG238" i="5"/>
  <c r="AH238" i="5"/>
  <c r="AI238" i="5"/>
  <c r="J239" i="5"/>
  <c r="K239" i="5"/>
  <c r="L239" i="5"/>
  <c r="M239" i="5"/>
  <c r="N239" i="5"/>
  <c r="O239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AG239" i="5"/>
  <c r="AH239" i="5"/>
  <c r="AI239" i="5"/>
  <c r="J240" i="5"/>
  <c r="K240" i="5"/>
  <c r="L240" i="5"/>
  <c r="M240" i="5"/>
  <c r="N240" i="5"/>
  <c r="O240" i="5"/>
  <c r="P240" i="5"/>
  <c r="Q240" i="5"/>
  <c r="R240" i="5"/>
  <c r="S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AG240" i="5"/>
  <c r="AH240" i="5"/>
  <c r="AI240" i="5"/>
  <c r="J241" i="5"/>
  <c r="K241" i="5"/>
  <c r="L241" i="5"/>
  <c r="M241" i="5"/>
  <c r="N241" i="5"/>
  <c r="O241" i="5"/>
  <c r="P241" i="5"/>
  <c r="Q241" i="5"/>
  <c r="R241" i="5"/>
  <c r="S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AG241" i="5"/>
  <c r="AH241" i="5"/>
  <c r="AI241" i="5"/>
  <c r="J242" i="5"/>
  <c r="K242" i="5"/>
  <c r="L242" i="5"/>
  <c r="M242" i="5"/>
  <c r="N242" i="5"/>
  <c r="O242" i="5"/>
  <c r="P242" i="5"/>
  <c r="Q242" i="5"/>
  <c r="R242" i="5"/>
  <c r="S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AG242" i="5"/>
  <c r="AH242" i="5"/>
  <c r="AI242" i="5"/>
  <c r="J243" i="5"/>
  <c r="K243" i="5"/>
  <c r="L243" i="5"/>
  <c r="M243" i="5"/>
  <c r="N243" i="5"/>
  <c r="O243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AG243" i="5"/>
  <c r="AH243" i="5"/>
  <c r="AI243" i="5"/>
  <c r="J244" i="5"/>
  <c r="K244" i="5"/>
  <c r="L244" i="5"/>
  <c r="M244" i="5"/>
  <c r="N244" i="5"/>
  <c r="O244" i="5"/>
  <c r="P244" i="5"/>
  <c r="Q244" i="5"/>
  <c r="R244" i="5"/>
  <c r="S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AG244" i="5"/>
  <c r="AH244" i="5"/>
  <c r="AI244" i="5"/>
  <c r="J245" i="5"/>
  <c r="K245" i="5"/>
  <c r="L245" i="5"/>
  <c r="M245" i="5"/>
  <c r="N245" i="5"/>
  <c r="O245" i="5"/>
  <c r="P245" i="5"/>
  <c r="Q245" i="5"/>
  <c r="R245" i="5"/>
  <c r="S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AG245" i="5"/>
  <c r="AH245" i="5"/>
  <c r="AI245" i="5"/>
  <c r="J246" i="5"/>
  <c r="K246" i="5"/>
  <c r="L246" i="5"/>
  <c r="M246" i="5"/>
  <c r="N246" i="5"/>
  <c r="O246" i="5"/>
  <c r="P246" i="5"/>
  <c r="Q246" i="5"/>
  <c r="R246" i="5"/>
  <c r="S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AG246" i="5"/>
  <c r="AH246" i="5"/>
  <c r="AI246" i="5"/>
  <c r="J247" i="5"/>
  <c r="K247" i="5"/>
  <c r="L247" i="5"/>
  <c r="M247" i="5"/>
  <c r="N247" i="5"/>
  <c r="O247" i="5"/>
  <c r="P247" i="5"/>
  <c r="Q247" i="5"/>
  <c r="R247" i="5"/>
  <c r="S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AG247" i="5"/>
  <c r="AH247" i="5"/>
  <c r="AI247" i="5"/>
  <c r="J248" i="5"/>
  <c r="K248" i="5"/>
  <c r="L248" i="5"/>
  <c r="M248" i="5"/>
  <c r="N248" i="5"/>
  <c r="O248" i="5"/>
  <c r="P248" i="5"/>
  <c r="Q248" i="5"/>
  <c r="R248" i="5"/>
  <c r="S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AG248" i="5"/>
  <c r="AH248" i="5"/>
  <c r="AI248" i="5"/>
  <c r="J249" i="5"/>
  <c r="K249" i="5"/>
  <c r="L249" i="5"/>
  <c r="M249" i="5"/>
  <c r="N249" i="5"/>
  <c r="O249" i="5"/>
  <c r="P249" i="5"/>
  <c r="Q249" i="5"/>
  <c r="R249" i="5"/>
  <c r="S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AG249" i="5"/>
  <c r="AH249" i="5"/>
  <c r="AI249" i="5"/>
  <c r="J250" i="5"/>
  <c r="K250" i="5"/>
  <c r="L250" i="5"/>
  <c r="M250" i="5"/>
  <c r="N250" i="5"/>
  <c r="O250" i="5"/>
  <c r="P250" i="5"/>
  <c r="Q250" i="5"/>
  <c r="R250" i="5"/>
  <c r="S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AG250" i="5"/>
  <c r="AH250" i="5"/>
  <c r="AI250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I151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I154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AG155" i="5"/>
  <c r="AH155" i="5"/>
  <c r="AI155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AH156" i="5"/>
  <c r="AI156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AG157" i="5"/>
  <c r="AH157" i="5"/>
  <c r="AI157" i="5"/>
  <c r="J251" i="5"/>
  <c r="K251" i="5"/>
  <c r="L251" i="5"/>
  <c r="M251" i="5"/>
  <c r="N251" i="5"/>
  <c r="O251" i="5"/>
  <c r="P251" i="5"/>
  <c r="Q251" i="5"/>
  <c r="R251" i="5"/>
  <c r="S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AG251" i="5"/>
  <c r="AH251" i="5"/>
  <c r="AI251" i="5"/>
  <c r="J252" i="5"/>
  <c r="K252" i="5"/>
  <c r="L252" i="5"/>
  <c r="M252" i="5"/>
  <c r="N252" i="5"/>
  <c r="O252" i="5"/>
  <c r="P252" i="5"/>
  <c r="Q252" i="5"/>
  <c r="R252" i="5"/>
  <c r="S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AG252" i="5"/>
  <c r="AH252" i="5"/>
  <c r="AI252" i="5"/>
  <c r="J253" i="5"/>
  <c r="K253" i="5"/>
  <c r="L253" i="5"/>
  <c r="M253" i="5"/>
  <c r="N253" i="5"/>
  <c r="O253" i="5"/>
  <c r="P253" i="5"/>
  <c r="Q253" i="5"/>
  <c r="R253" i="5"/>
  <c r="S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AG253" i="5"/>
  <c r="AH253" i="5"/>
  <c r="AI253" i="5"/>
  <c r="J254" i="5"/>
  <c r="K254" i="5"/>
  <c r="L254" i="5"/>
  <c r="M254" i="5"/>
  <c r="N254" i="5"/>
  <c r="O254" i="5"/>
  <c r="P254" i="5"/>
  <c r="Q254" i="5"/>
  <c r="R254" i="5"/>
  <c r="S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AG254" i="5"/>
  <c r="AH254" i="5"/>
  <c r="AI254" i="5"/>
  <c r="J255" i="5"/>
  <c r="K255" i="5"/>
  <c r="L255" i="5"/>
  <c r="M255" i="5"/>
  <c r="N255" i="5"/>
  <c r="O255" i="5"/>
  <c r="P255" i="5"/>
  <c r="Q255" i="5"/>
  <c r="R255" i="5"/>
  <c r="S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AG255" i="5"/>
  <c r="AH255" i="5"/>
  <c r="AI255" i="5"/>
  <c r="J256" i="5"/>
  <c r="K256" i="5"/>
  <c r="L256" i="5"/>
  <c r="M256" i="5"/>
  <c r="N256" i="5"/>
  <c r="O256" i="5"/>
  <c r="P256" i="5"/>
  <c r="Q256" i="5"/>
  <c r="R256" i="5"/>
  <c r="S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AG256" i="5"/>
  <c r="AH256" i="5"/>
  <c r="AI256" i="5"/>
  <c r="J257" i="5"/>
  <c r="K257" i="5"/>
  <c r="L257" i="5"/>
  <c r="M257" i="5"/>
  <c r="N257" i="5"/>
  <c r="O257" i="5"/>
  <c r="P257" i="5"/>
  <c r="Q257" i="5"/>
  <c r="R257" i="5"/>
  <c r="S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AG257" i="5"/>
  <c r="AH257" i="5"/>
  <c r="AI257" i="5"/>
  <c r="J258" i="5"/>
  <c r="K258" i="5"/>
  <c r="L258" i="5"/>
  <c r="M258" i="5"/>
  <c r="N258" i="5"/>
  <c r="O258" i="5"/>
  <c r="P258" i="5"/>
  <c r="Q258" i="5"/>
  <c r="R258" i="5"/>
  <c r="S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AG258" i="5"/>
  <c r="AH258" i="5"/>
  <c r="AI258" i="5"/>
  <c r="J259" i="5"/>
  <c r="K259" i="5"/>
  <c r="L259" i="5"/>
  <c r="M259" i="5"/>
  <c r="N259" i="5"/>
  <c r="O259" i="5"/>
  <c r="P259" i="5"/>
  <c r="Q259" i="5"/>
  <c r="R259" i="5"/>
  <c r="S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AG259" i="5"/>
  <c r="AH259" i="5"/>
  <c r="AI259" i="5"/>
  <c r="J260" i="5"/>
  <c r="K260" i="5"/>
  <c r="L260" i="5"/>
  <c r="M260" i="5"/>
  <c r="N260" i="5"/>
  <c r="O260" i="5"/>
  <c r="P260" i="5"/>
  <c r="Q260" i="5"/>
  <c r="R260" i="5"/>
  <c r="S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AG260" i="5"/>
  <c r="AH260" i="5"/>
  <c r="AI260" i="5"/>
  <c r="J261" i="5"/>
  <c r="K261" i="5"/>
  <c r="L261" i="5"/>
  <c r="M261" i="5"/>
  <c r="N261" i="5"/>
  <c r="O261" i="5"/>
  <c r="P261" i="5"/>
  <c r="Q261" i="5"/>
  <c r="R261" i="5"/>
  <c r="S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AG261" i="5"/>
  <c r="AH261" i="5"/>
  <c r="AI261" i="5"/>
  <c r="J262" i="5"/>
  <c r="K262" i="5"/>
  <c r="L262" i="5"/>
  <c r="M262" i="5"/>
  <c r="N262" i="5"/>
  <c r="O262" i="5"/>
  <c r="P262" i="5"/>
  <c r="Q262" i="5"/>
  <c r="R262" i="5"/>
  <c r="S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AG262" i="5"/>
  <c r="AH262" i="5"/>
  <c r="AI262" i="5"/>
  <c r="J263" i="5"/>
  <c r="K263" i="5"/>
  <c r="L263" i="5"/>
  <c r="M263" i="5"/>
  <c r="N263" i="5"/>
  <c r="O263" i="5"/>
  <c r="P263" i="5"/>
  <c r="Q263" i="5"/>
  <c r="R263" i="5"/>
  <c r="S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AG263" i="5"/>
  <c r="AH263" i="5"/>
  <c r="AI263" i="5"/>
  <c r="J264" i="5"/>
  <c r="K264" i="5"/>
  <c r="L264" i="5"/>
  <c r="M264" i="5"/>
  <c r="N264" i="5"/>
  <c r="O264" i="5"/>
  <c r="P264" i="5"/>
  <c r="Q264" i="5"/>
  <c r="R264" i="5"/>
  <c r="S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AG264" i="5"/>
  <c r="AH264" i="5"/>
  <c r="AI264" i="5"/>
  <c r="J265" i="5"/>
  <c r="K265" i="5"/>
  <c r="L265" i="5"/>
  <c r="M265" i="5"/>
  <c r="N265" i="5"/>
  <c r="O265" i="5"/>
  <c r="P265" i="5"/>
  <c r="Q265" i="5"/>
  <c r="R265" i="5"/>
  <c r="S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AG265" i="5"/>
  <c r="AH265" i="5"/>
  <c r="AI265" i="5"/>
  <c r="J266" i="5"/>
  <c r="K266" i="5"/>
  <c r="L266" i="5"/>
  <c r="M266" i="5"/>
  <c r="N266" i="5"/>
  <c r="O266" i="5"/>
  <c r="P266" i="5"/>
  <c r="Q266" i="5"/>
  <c r="R266" i="5"/>
  <c r="S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AG266" i="5"/>
  <c r="AH266" i="5"/>
  <c r="AI266" i="5"/>
  <c r="J267" i="5"/>
  <c r="K267" i="5"/>
  <c r="L267" i="5"/>
  <c r="M267" i="5"/>
  <c r="N267" i="5"/>
  <c r="O267" i="5"/>
  <c r="P267" i="5"/>
  <c r="Q267" i="5"/>
  <c r="R267" i="5"/>
  <c r="S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AG267" i="5"/>
  <c r="AH267" i="5"/>
  <c r="AI267" i="5"/>
  <c r="J268" i="5"/>
  <c r="K268" i="5"/>
  <c r="L268" i="5"/>
  <c r="M268" i="5"/>
  <c r="N268" i="5"/>
  <c r="O268" i="5"/>
  <c r="P268" i="5"/>
  <c r="Q268" i="5"/>
  <c r="R268" i="5"/>
  <c r="S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AG268" i="5"/>
  <c r="AH268" i="5"/>
  <c r="AI268" i="5"/>
  <c r="J269" i="5"/>
  <c r="K269" i="5"/>
  <c r="L269" i="5"/>
  <c r="M269" i="5"/>
  <c r="N269" i="5"/>
  <c r="O269" i="5"/>
  <c r="P269" i="5"/>
  <c r="Q269" i="5"/>
  <c r="R269" i="5"/>
  <c r="S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AG269" i="5"/>
  <c r="AH269" i="5"/>
  <c r="AI269" i="5"/>
  <c r="J270" i="5"/>
  <c r="K270" i="5"/>
  <c r="L270" i="5"/>
  <c r="M270" i="5"/>
  <c r="N270" i="5"/>
  <c r="O270" i="5"/>
  <c r="P270" i="5"/>
  <c r="Q270" i="5"/>
  <c r="R270" i="5"/>
  <c r="S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AG270" i="5"/>
  <c r="AH270" i="5"/>
  <c r="AI270" i="5"/>
  <c r="J271" i="5"/>
  <c r="K271" i="5"/>
  <c r="L271" i="5"/>
  <c r="M271" i="5"/>
  <c r="N271" i="5"/>
  <c r="O271" i="5"/>
  <c r="P271" i="5"/>
  <c r="Q271" i="5"/>
  <c r="R271" i="5"/>
  <c r="S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AG271" i="5"/>
  <c r="AH271" i="5"/>
  <c r="AI271" i="5"/>
  <c r="J272" i="5"/>
  <c r="K272" i="5"/>
  <c r="L272" i="5"/>
  <c r="M272" i="5"/>
  <c r="N272" i="5"/>
  <c r="O272" i="5"/>
  <c r="P272" i="5"/>
  <c r="Q272" i="5"/>
  <c r="R272" i="5"/>
  <c r="S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AG272" i="5"/>
  <c r="AH272" i="5"/>
  <c r="AI272" i="5"/>
  <c r="J273" i="5"/>
  <c r="K273" i="5"/>
  <c r="L273" i="5"/>
  <c r="M273" i="5"/>
  <c r="N273" i="5"/>
  <c r="O273" i="5"/>
  <c r="P273" i="5"/>
  <c r="Q273" i="5"/>
  <c r="R273" i="5"/>
  <c r="S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AG273" i="5"/>
  <c r="AH273" i="5"/>
  <c r="AI273" i="5"/>
  <c r="J274" i="5"/>
  <c r="K274" i="5"/>
  <c r="L274" i="5"/>
  <c r="M274" i="5"/>
  <c r="N274" i="5"/>
  <c r="O274" i="5"/>
  <c r="P274" i="5"/>
  <c r="Q274" i="5"/>
  <c r="R274" i="5"/>
  <c r="S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AG274" i="5"/>
  <c r="AH274" i="5"/>
  <c r="AI274" i="5"/>
  <c r="J275" i="5"/>
  <c r="K275" i="5"/>
  <c r="L275" i="5"/>
  <c r="M275" i="5"/>
  <c r="N275" i="5"/>
  <c r="O275" i="5"/>
  <c r="P275" i="5"/>
  <c r="Q275" i="5"/>
  <c r="R275" i="5"/>
  <c r="S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AG275" i="5"/>
  <c r="AH275" i="5"/>
  <c r="AI275" i="5"/>
  <c r="J276" i="5"/>
  <c r="K276" i="5"/>
  <c r="L276" i="5"/>
  <c r="M276" i="5"/>
  <c r="N276" i="5"/>
  <c r="O276" i="5"/>
  <c r="P276" i="5"/>
  <c r="Q276" i="5"/>
  <c r="R276" i="5"/>
  <c r="S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AG276" i="5"/>
  <c r="AH276" i="5"/>
  <c r="AI276" i="5"/>
  <c r="J277" i="5"/>
  <c r="K277" i="5"/>
  <c r="L277" i="5"/>
  <c r="M277" i="5"/>
  <c r="N277" i="5"/>
  <c r="O277" i="5"/>
  <c r="P277" i="5"/>
  <c r="Q277" i="5"/>
  <c r="R277" i="5"/>
  <c r="S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AG277" i="5"/>
  <c r="AH277" i="5"/>
  <c r="AI277" i="5"/>
  <c r="J278" i="5"/>
  <c r="K278" i="5"/>
  <c r="L278" i="5"/>
  <c r="M278" i="5"/>
  <c r="N278" i="5"/>
  <c r="O278" i="5"/>
  <c r="P278" i="5"/>
  <c r="Q278" i="5"/>
  <c r="R278" i="5"/>
  <c r="S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AG278" i="5"/>
  <c r="AH278" i="5"/>
  <c r="AI278" i="5"/>
  <c r="J279" i="5"/>
  <c r="K279" i="5"/>
  <c r="L279" i="5"/>
  <c r="M279" i="5"/>
  <c r="N279" i="5"/>
  <c r="O279" i="5"/>
  <c r="P279" i="5"/>
  <c r="Q279" i="5"/>
  <c r="R279" i="5"/>
  <c r="S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AG279" i="5"/>
  <c r="AH279" i="5"/>
  <c r="AI279" i="5"/>
  <c r="J280" i="5"/>
  <c r="K280" i="5"/>
  <c r="L280" i="5"/>
  <c r="M280" i="5"/>
  <c r="N280" i="5"/>
  <c r="O280" i="5"/>
  <c r="P280" i="5"/>
  <c r="Q280" i="5"/>
  <c r="R280" i="5"/>
  <c r="S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AG280" i="5"/>
  <c r="AH280" i="5"/>
  <c r="AI280" i="5"/>
  <c r="J281" i="5"/>
  <c r="K281" i="5"/>
  <c r="L281" i="5"/>
  <c r="M281" i="5"/>
  <c r="N281" i="5"/>
  <c r="O281" i="5"/>
  <c r="P281" i="5"/>
  <c r="Q281" i="5"/>
  <c r="R281" i="5"/>
  <c r="S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AG281" i="5"/>
  <c r="AH281" i="5"/>
  <c r="AI281" i="5"/>
  <c r="J282" i="5"/>
  <c r="K282" i="5"/>
  <c r="L282" i="5"/>
  <c r="M282" i="5"/>
  <c r="N282" i="5"/>
  <c r="O282" i="5"/>
  <c r="P282" i="5"/>
  <c r="Q282" i="5"/>
  <c r="R282" i="5"/>
  <c r="S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AG282" i="5"/>
  <c r="AH282" i="5"/>
  <c r="AI282" i="5"/>
  <c r="J283" i="5"/>
  <c r="K283" i="5"/>
  <c r="L283" i="5"/>
  <c r="M283" i="5"/>
  <c r="N283" i="5"/>
  <c r="O283" i="5"/>
  <c r="P283" i="5"/>
  <c r="Q283" i="5"/>
  <c r="R283" i="5"/>
  <c r="S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AG283" i="5"/>
  <c r="AH283" i="5"/>
  <c r="AI283" i="5"/>
  <c r="J284" i="5"/>
  <c r="K284" i="5"/>
  <c r="L284" i="5"/>
  <c r="M284" i="5"/>
  <c r="N284" i="5"/>
  <c r="O284" i="5"/>
  <c r="P284" i="5"/>
  <c r="Q284" i="5"/>
  <c r="R284" i="5"/>
  <c r="S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AG284" i="5"/>
  <c r="AH284" i="5"/>
  <c r="AI284" i="5"/>
  <c r="J285" i="5"/>
  <c r="K285" i="5"/>
  <c r="L285" i="5"/>
  <c r="M285" i="5"/>
  <c r="N285" i="5"/>
  <c r="O285" i="5"/>
  <c r="P285" i="5"/>
  <c r="Q285" i="5"/>
  <c r="R285" i="5"/>
  <c r="S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AG285" i="5"/>
  <c r="AH285" i="5"/>
  <c r="AI285" i="5"/>
  <c r="J286" i="5"/>
  <c r="K286" i="5"/>
  <c r="L286" i="5"/>
  <c r="M286" i="5"/>
  <c r="N286" i="5"/>
  <c r="O286" i="5"/>
  <c r="P286" i="5"/>
  <c r="Q286" i="5"/>
  <c r="R286" i="5"/>
  <c r="S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AG286" i="5"/>
  <c r="AH286" i="5"/>
  <c r="AI286" i="5"/>
  <c r="J287" i="5"/>
  <c r="K287" i="5"/>
  <c r="L287" i="5"/>
  <c r="M287" i="5"/>
  <c r="N287" i="5"/>
  <c r="O287" i="5"/>
  <c r="P287" i="5"/>
  <c r="Q287" i="5"/>
  <c r="R287" i="5"/>
  <c r="S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AG287" i="5"/>
  <c r="AH287" i="5"/>
  <c r="AI287" i="5"/>
  <c r="J288" i="5"/>
  <c r="K288" i="5"/>
  <c r="L288" i="5"/>
  <c r="M288" i="5"/>
  <c r="N288" i="5"/>
  <c r="O288" i="5"/>
  <c r="P288" i="5"/>
  <c r="Q288" i="5"/>
  <c r="R288" i="5"/>
  <c r="S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AG288" i="5"/>
  <c r="AH288" i="5"/>
  <c r="AI288" i="5"/>
  <c r="J289" i="5"/>
  <c r="K289" i="5"/>
  <c r="L289" i="5"/>
  <c r="M289" i="5"/>
  <c r="N289" i="5"/>
  <c r="O289" i="5"/>
  <c r="P289" i="5"/>
  <c r="Q289" i="5"/>
  <c r="R289" i="5"/>
  <c r="S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AG289" i="5"/>
  <c r="AH289" i="5"/>
  <c r="AI289" i="5"/>
  <c r="J290" i="5"/>
  <c r="K290" i="5"/>
  <c r="L290" i="5"/>
  <c r="M290" i="5"/>
  <c r="N290" i="5"/>
  <c r="O290" i="5"/>
  <c r="P290" i="5"/>
  <c r="Q290" i="5"/>
  <c r="R290" i="5"/>
  <c r="S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AG290" i="5"/>
  <c r="AH290" i="5"/>
  <c r="AI290" i="5"/>
  <c r="J291" i="5"/>
  <c r="K291" i="5"/>
  <c r="L291" i="5"/>
  <c r="M291" i="5"/>
  <c r="N291" i="5"/>
  <c r="O291" i="5"/>
  <c r="P291" i="5"/>
  <c r="Q291" i="5"/>
  <c r="R291" i="5"/>
  <c r="S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AG291" i="5"/>
  <c r="AH291" i="5"/>
  <c r="AI291" i="5"/>
  <c r="J292" i="5"/>
  <c r="K292" i="5"/>
  <c r="L292" i="5"/>
  <c r="M292" i="5"/>
  <c r="N292" i="5"/>
  <c r="O292" i="5"/>
  <c r="P292" i="5"/>
  <c r="Q292" i="5"/>
  <c r="R292" i="5"/>
  <c r="S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AG292" i="5"/>
  <c r="AH292" i="5"/>
  <c r="AI292" i="5"/>
  <c r="J293" i="5"/>
  <c r="K293" i="5"/>
  <c r="L293" i="5"/>
  <c r="M293" i="5"/>
  <c r="N293" i="5"/>
  <c r="O293" i="5"/>
  <c r="P293" i="5"/>
  <c r="Q293" i="5"/>
  <c r="R293" i="5"/>
  <c r="S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AG293" i="5"/>
  <c r="AH293" i="5"/>
  <c r="AI293" i="5"/>
  <c r="J294" i="5"/>
  <c r="K294" i="5"/>
  <c r="L294" i="5"/>
  <c r="M294" i="5"/>
  <c r="N294" i="5"/>
  <c r="O294" i="5"/>
  <c r="P294" i="5"/>
  <c r="Q294" i="5"/>
  <c r="R294" i="5"/>
  <c r="S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AG294" i="5"/>
  <c r="AH294" i="5"/>
  <c r="AI294" i="5"/>
  <c r="J295" i="5"/>
  <c r="K295" i="5"/>
  <c r="L295" i="5"/>
  <c r="M295" i="5"/>
  <c r="N295" i="5"/>
  <c r="O295" i="5"/>
  <c r="P295" i="5"/>
  <c r="Q295" i="5"/>
  <c r="R295" i="5"/>
  <c r="S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AG295" i="5"/>
  <c r="AH295" i="5"/>
  <c r="AI295" i="5"/>
  <c r="J296" i="5"/>
  <c r="K296" i="5"/>
  <c r="L296" i="5"/>
  <c r="M296" i="5"/>
  <c r="N296" i="5"/>
  <c r="O296" i="5"/>
  <c r="P296" i="5"/>
  <c r="Q296" i="5"/>
  <c r="R296" i="5"/>
  <c r="S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AG296" i="5"/>
  <c r="AH296" i="5"/>
  <c r="AI296" i="5"/>
  <c r="J297" i="5"/>
  <c r="K297" i="5"/>
  <c r="L297" i="5"/>
  <c r="M297" i="5"/>
  <c r="N297" i="5"/>
  <c r="O297" i="5"/>
  <c r="P297" i="5"/>
  <c r="Q297" i="5"/>
  <c r="R297" i="5"/>
  <c r="S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AG297" i="5"/>
  <c r="AH297" i="5"/>
  <c r="AI297" i="5"/>
  <c r="J298" i="5"/>
  <c r="K298" i="5"/>
  <c r="L298" i="5"/>
  <c r="M298" i="5"/>
  <c r="N298" i="5"/>
  <c r="O298" i="5"/>
  <c r="P298" i="5"/>
  <c r="Q298" i="5"/>
  <c r="R298" i="5"/>
  <c r="S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AG298" i="5"/>
  <c r="AH298" i="5"/>
  <c r="AI298" i="5"/>
  <c r="J299" i="5"/>
  <c r="K299" i="5"/>
  <c r="L299" i="5"/>
  <c r="M299" i="5"/>
  <c r="N299" i="5"/>
  <c r="O299" i="5"/>
  <c r="P299" i="5"/>
  <c r="Q299" i="5"/>
  <c r="R299" i="5"/>
  <c r="S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AG299" i="5"/>
  <c r="AH299" i="5"/>
  <c r="AI299" i="5"/>
  <c r="J300" i="5"/>
  <c r="K300" i="5"/>
  <c r="L300" i="5"/>
  <c r="M300" i="5"/>
  <c r="N300" i="5"/>
  <c r="O300" i="5"/>
  <c r="P300" i="5"/>
  <c r="Q300" i="5"/>
  <c r="R300" i="5"/>
  <c r="S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G300" i="5"/>
  <c r="AH300" i="5"/>
  <c r="AI300" i="5"/>
  <c r="J301" i="5"/>
  <c r="K301" i="5"/>
  <c r="L301" i="5"/>
  <c r="M301" i="5"/>
  <c r="N301" i="5"/>
  <c r="O301" i="5"/>
  <c r="P301" i="5"/>
  <c r="Q301" i="5"/>
  <c r="R301" i="5"/>
  <c r="S301" i="5"/>
  <c r="T301" i="5"/>
  <c r="U301" i="5"/>
  <c r="V301" i="5"/>
  <c r="W301" i="5"/>
  <c r="X301" i="5"/>
  <c r="Y301" i="5"/>
  <c r="Z301" i="5"/>
  <c r="AA301" i="5"/>
  <c r="AB301" i="5"/>
  <c r="AC301" i="5"/>
  <c r="AD301" i="5"/>
  <c r="AE301" i="5"/>
  <c r="AF301" i="5"/>
  <c r="AG301" i="5"/>
  <c r="AH301" i="5"/>
  <c r="AI301" i="5"/>
  <c r="J302" i="5"/>
  <c r="K302" i="5"/>
  <c r="L302" i="5"/>
  <c r="M302" i="5"/>
  <c r="N302" i="5"/>
  <c r="O302" i="5"/>
  <c r="P302" i="5"/>
  <c r="Q302" i="5"/>
  <c r="R302" i="5"/>
  <c r="S302" i="5"/>
  <c r="T302" i="5"/>
  <c r="U302" i="5"/>
  <c r="V302" i="5"/>
  <c r="W302" i="5"/>
  <c r="X302" i="5"/>
  <c r="Y302" i="5"/>
  <c r="Z302" i="5"/>
  <c r="AA302" i="5"/>
  <c r="AB302" i="5"/>
  <c r="AC302" i="5"/>
  <c r="AD302" i="5"/>
  <c r="AE302" i="5"/>
  <c r="AF302" i="5"/>
  <c r="AG302" i="5"/>
  <c r="AH302" i="5"/>
  <c r="AI302" i="5"/>
  <c r="J303" i="5"/>
  <c r="K303" i="5"/>
  <c r="L303" i="5"/>
  <c r="M303" i="5"/>
  <c r="N303" i="5"/>
  <c r="O303" i="5"/>
  <c r="P303" i="5"/>
  <c r="Q303" i="5"/>
  <c r="R303" i="5"/>
  <c r="S303" i="5"/>
  <c r="T303" i="5"/>
  <c r="U303" i="5"/>
  <c r="V303" i="5"/>
  <c r="W303" i="5"/>
  <c r="X303" i="5"/>
  <c r="Y303" i="5"/>
  <c r="Z303" i="5"/>
  <c r="AA303" i="5"/>
  <c r="AB303" i="5"/>
  <c r="AC303" i="5"/>
  <c r="AD303" i="5"/>
  <c r="AE303" i="5"/>
  <c r="AF303" i="5"/>
  <c r="AG303" i="5"/>
  <c r="AH303" i="5"/>
  <c r="AI303" i="5"/>
  <c r="J304" i="5"/>
  <c r="K304" i="5"/>
  <c r="L304" i="5"/>
  <c r="M304" i="5"/>
  <c r="N304" i="5"/>
  <c r="O304" i="5"/>
  <c r="P304" i="5"/>
  <c r="Q304" i="5"/>
  <c r="R304" i="5"/>
  <c r="S304" i="5"/>
  <c r="T304" i="5"/>
  <c r="U304" i="5"/>
  <c r="V304" i="5"/>
  <c r="W304" i="5"/>
  <c r="X304" i="5"/>
  <c r="Y304" i="5"/>
  <c r="Z304" i="5"/>
  <c r="AA304" i="5"/>
  <c r="AB304" i="5"/>
  <c r="AC304" i="5"/>
  <c r="AD304" i="5"/>
  <c r="AE304" i="5"/>
  <c r="AF304" i="5"/>
  <c r="AG304" i="5"/>
  <c r="AH304" i="5"/>
  <c r="AI304" i="5"/>
  <c r="J305" i="5"/>
  <c r="K305" i="5"/>
  <c r="L305" i="5"/>
  <c r="M305" i="5"/>
  <c r="N305" i="5"/>
  <c r="O305" i="5"/>
  <c r="P305" i="5"/>
  <c r="Q305" i="5"/>
  <c r="R305" i="5"/>
  <c r="S305" i="5"/>
  <c r="T305" i="5"/>
  <c r="U305" i="5"/>
  <c r="V305" i="5"/>
  <c r="W305" i="5"/>
  <c r="X305" i="5"/>
  <c r="Y305" i="5"/>
  <c r="Z305" i="5"/>
  <c r="AA305" i="5"/>
  <c r="AB305" i="5"/>
  <c r="AC305" i="5"/>
  <c r="AD305" i="5"/>
  <c r="AE305" i="5"/>
  <c r="AF305" i="5"/>
  <c r="AG305" i="5"/>
  <c r="AH305" i="5"/>
  <c r="AI305" i="5"/>
  <c r="J306" i="5"/>
  <c r="K306" i="5"/>
  <c r="L306" i="5"/>
  <c r="M306" i="5"/>
  <c r="N306" i="5"/>
  <c r="O306" i="5"/>
  <c r="P306" i="5"/>
  <c r="Q306" i="5"/>
  <c r="R306" i="5"/>
  <c r="S306" i="5"/>
  <c r="T306" i="5"/>
  <c r="U306" i="5"/>
  <c r="V306" i="5"/>
  <c r="W306" i="5"/>
  <c r="X306" i="5"/>
  <c r="Y306" i="5"/>
  <c r="Z306" i="5"/>
  <c r="AA306" i="5"/>
  <c r="AB306" i="5"/>
  <c r="AC306" i="5"/>
  <c r="AD306" i="5"/>
  <c r="AE306" i="5"/>
  <c r="AF306" i="5"/>
  <c r="AG306" i="5"/>
  <c r="AH306" i="5"/>
  <c r="AI306" i="5"/>
  <c r="J307" i="5"/>
  <c r="K307" i="5"/>
  <c r="L307" i="5"/>
  <c r="M307" i="5"/>
  <c r="N307" i="5"/>
  <c r="O307" i="5"/>
  <c r="P307" i="5"/>
  <c r="Q307" i="5"/>
  <c r="R307" i="5"/>
  <c r="S307" i="5"/>
  <c r="T307" i="5"/>
  <c r="U307" i="5"/>
  <c r="V307" i="5"/>
  <c r="W307" i="5"/>
  <c r="X307" i="5"/>
  <c r="Y307" i="5"/>
  <c r="Z307" i="5"/>
  <c r="AA307" i="5"/>
  <c r="AB307" i="5"/>
  <c r="AC307" i="5"/>
  <c r="AD307" i="5"/>
  <c r="AE307" i="5"/>
  <c r="AF307" i="5"/>
  <c r="AG307" i="5"/>
  <c r="AH307" i="5"/>
  <c r="AI307" i="5"/>
  <c r="J308" i="5"/>
  <c r="K308" i="5"/>
  <c r="L308" i="5"/>
  <c r="M308" i="5"/>
  <c r="N308" i="5"/>
  <c r="O308" i="5"/>
  <c r="P308" i="5"/>
  <c r="Q308" i="5"/>
  <c r="R308" i="5"/>
  <c r="S308" i="5"/>
  <c r="T308" i="5"/>
  <c r="U308" i="5"/>
  <c r="V308" i="5"/>
  <c r="W308" i="5"/>
  <c r="X308" i="5"/>
  <c r="Y308" i="5"/>
  <c r="Z308" i="5"/>
  <c r="AA308" i="5"/>
  <c r="AB308" i="5"/>
  <c r="AC308" i="5"/>
  <c r="AD308" i="5"/>
  <c r="AE308" i="5"/>
  <c r="AF308" i="5"/>
  <c r="AG308" i="5"/>
  <c r="AH308" i="5"/>
  <c r="AI308" i="5"/>
  <c r="J309" i="5"/>
  <c r="K309" i="5"/>
  <c r="L309" i="5"/>
  <c r="M309" i="5"/>
  <c r="N309" i="5"/>
  <c r="O309" i="5"/>
  <c r="P309" i="5"/>
  <c r="Q309" i="5"/>
  <c r="R309" i="5"/>
  <c r="S309" i="5"/>
  <c r="T309" i="5"/>
  <c r="U309" i="5"/>
  <c r="V309" i="5"/>
  <c r="W309" i="5"/>
  <c r="X309" i="5"/>
  <c r="Y309" i="5"/>
  <c r="Z309" i="5"/>
  <c r="AA309" i="5"/>
  <c r="AB309" i="5"/>
  <c r="AC309" i="5"/>
  <c r="AD309" i="5"/>
  <c r="AE309" i="5"/>
  <c r="AF309" i="5"/>
  <c r="AG309" i="5"/>
  <c r="AH309" i="5"/>
  <c r="AI309" i="5"/>
  <c r="J310" i="5"/>
  <c r="K310" i="5"/>
  <c r="L310" i="5"/>
  <c r="M310" i="5"/>
  <c r="N310" i="5"/>
  <c r="O310" i="5"/>
  <c r="P310" i="5"/>
  <c r="Q310" i="5"/>
  <c r="R310" i="5"/>
  <c r="S310" i="5"/>
  <c r="T310" i="5"/>
  <c r="U310" i="5"/>
  <c r="V310" i="5"/>
  <c r="W310" i="5"/>
  <c r="X310" i="5"/>
  <c r="Y310" i="5"/>
  <c r="Z310" i="5"/>
  <c r="AA310" i="5"/>
  <c r="AB310" i="5"/>
  <c r="AC310" i="5"/>
  <c r="AD310" i="5"/>
  <c r="AE310" i="5"/>
  <c r="AF310" i="5"/>
  <c r="AG310" i="5"/>
  <c r="AH310" i="5"/>
  <c r="AI310" i="5"/>
  <c r="J311" i="5"/>
  <c r="K311" i="5"/>
  <c r="L311" i="5"/>
  <c r="M311" i="5"/>
  <c r="N311" i="5"/>
  <c r="O311" i="5"/>
  <c r="P311" i="5"/>
  <c r="Q311" i="5"/>
  <c r="R311" i="5"/>
  <c r="S311" i="5"/>
  <c r="T311" i="5"/>
  <c r="U311" i="5"/>
  <c r="V311" i="5"/>
  <c r="W311" i="5"/>
  <c r="X311" i="5"/>
  <c r="Y311" i="5"/>
  <c r="Z311" i="5"/>
  <c r="AA311" i="5"/>
  <c r="AB311" i="5"/>
  <c r="AC311" i="5"/>
  <c r="AD311" i="5"/>
  <c r="AE311" i="5"/>
  <c r="AF311" i="5"/>
  <c r="AG311" i="5"/>
  <c r="AH311" i="5"/>
  <c r="AI311" i="5"/>
  <c r="J312" i="5"/>
  <c r="K312" i="5"/>
  <c r="L312" i="5"/>
  <c r="M312" i="5"/>
  <c r="N312" i="5"/>
  <c r="O312" i="5"/>
  <c r="P312" i="5"/>
  <c r="Q312" i="5"/>
  <c r="R312" i="5"/>
  <c r="S312" i="5"/>
  <c r="T312" i="5"/>
  <c r="U312" i="5"/>
  <c r="V312" i="5"/>
  <c r="W312" i="5"/>
  <c r="X312" i="5"/>
  <c r="Y312" i="5"/>
  <c r="Z312" i="5"/>
  <c r="AA312" i="5"/>
  <c r="AB312" i="5"/>
  <c r="AC312" i="5"/>
  <c r="AD312" i="5"/>
  <c r="AE312" i="5"/>
  <c r="AF312" i="5"/>
  <c r="AG312" i="5"/>
  <c r="AH312" i="5"/>
  <c r="AI312" i="5"/>
  <c r="J313" i="5"/>
  <c r="K313" i="5"/>
  <c r="L313" i="5"/>
  <c r="M313" i="5"/>
  <c r="N313" i="5"/>
  <c r="O313" i="5"/>
  <c r="P313" i="5"/>
  <c r="Q313" i="5"/>
  <c r="R313" i="5"/>
  <c r="S313" i="5"/>
  <c r="T313" i="5"/>
  <c r="U313" i="5"/>
  <c r="V313" i="5"/>
  <c r="W313" i="5"/>
  <c r="X313" i="5"/>
  <c r="Y313" i="5"/>
  <c r="Z313" i="5"/>
  <c r="AA313" i="5"/>
  <c r="AB313" i="5"/>
  <c r="AC313" i="5"/>
  <c r="AD313" i="5"/>
  <c r="AE313" i="5"/>
  <c r="AF313" i="5"/>
  <c r="AG313" i="5"/>
  <c r="AH313" i="5"/>
  <c r="AI313" i="5"/>
  <c r="J314" i="5"/>
  <c r="K314" i="5"/>
  <c r="L314" i="5"/>
  <c r="M314" i="5"/>
  <c r="N314" i="5"/>
  <c r="O314" i="5"/>
  <c r="P314" i="5"/>
  <c r="Q314" i="5"/>
  <c r="R314" i="5"/>
  <c r="S314" i="5"/>
  <c r="T314" i="5"/>
  <c r="U314" i="5"/>
  <c r="V314" i="5"/>
  <c r="W314" i="5"/>
  <c r="X314" i="5"/>
  <c r="Y314" i="5"/>
  <c r="Z314" i="5"/>
  <c r="AA314" i="5"/>
  <c r="AB314" i="5"/>
  <c r="AC314" i="5"/>
  <c r="AD314" i="5"/>
  <c r="AE314" i="5"/>
  <c r="AF314" i="5"/>
  <c r="AG314" i="5"/>
  <c r="AH314" i="5"/>
  <c r="AI314" i="5"/>
  <c r="J315" i="5"/>
  <c r="K315" i="5"/>
  <c r="L315" i="5"/>
  <c r="M315" i="5"/>
  <c r="N315" i="5"/>
  <c r="O315" i="5"/>
  <c r="P315" i="5"/>
  <c r="Q315" i="5"/>
  <c r="R315" i="5"/>
  <c r="S315" i="5"/>
  <c r="T315" i="5"/>
  <c r="U315" i="5"/>
  <c r="V315" i="5"/>
  <c r="W315" i="5"/>
  <c r="X315" i="5"/>
  <c r="Y315" i="5"/>
  <c r="Z315" i="5"/>
  <c r="AA315" i="5"/>
  <c r="AB315" i="5"/>
  <c r="AC315" i="5"/>
  <c r="AD315" i="5"/>
  <c r="AE315" i="5"/>
  <c r="AF315" i="5"/>
  <c r="AG315" i="5"/>
  <c r="AH315" i="5"/>
  <c r="AI315" i="5"/>
  <c r="J316" i="5"/>
  <c r="K316" i="5"/>
  <c r="L316" i="5"/>
  <c r="M316" i="5"/>
  <c r="N316" i="5"/>
  <c r="O316" i="5"/>
  <c r="P316" i="5"/>
  <c r="Q316" i="5"/>
  <c r="R316" i="5"/>
  <c r="S316" i="5"/>
  <c r="T316" i="5"/>
  <c r="U316" i="5"/>
  <c r="V316" i="5"/>
  <c r="W316" i="5"/>
  <c r="X316" i="5"/>
  <c r="Y316" i="5"/>
  <c r="Z316" i="5"/>
  <c r="AA316" i="5"/>
  <c r="AB316" i="5"/>
  <c r="AC316" i="5"/>
  <c r="AD316" i="5"/>
  <c r="AE316" i="5"/>
  <c r="AF316" i="5"/>
  <c r="AG316" i="5"/>
  <c r="AH316" i="5"/>
  <c r="AI316" i="5"/>
  <c r="J317" i="5"/>
  <c r="K317" i="5"/>
  <c r="L317" i="5"/>
  <c r="M317" i="5"/>
  <c r="N317" i="5"/>
  <c r="O317" i="5"/>
  <c r="P317" i="5"/>
  <c r="Q317" i="5"/>
  <c r="R317" i="5"/>
  <c r="S317" i="5"/>
  <c r="T317" i="5"/>
  <c r="U317" i="5"/>
  <c r="V317" i="5"/>
  <c r="W317" i="5"/>
  <c r="X317" i="5"/>
  <c r="Y317" i="5"/>
  <c r="Z317" i="5"/>
  <c r="AA317" i="5"/>
  <c r="AB317" i="5"/>
  <c r="AC317" i="5"/>
  <c r="AD317" i="5"/>
  <c r="AE317" i="5"/>
  <c r="AF317" i="5"/>
  <c r="AG317" i="5"/>
  <c r="AH317" i="5"/>
  <c r="AI317" i="5"/>
  <c r="J318" i="5"/>
  <c r="K318" i="5"/>
  <c r="L318" i="5"/>
  <c r="M318" i="5"/>
  <c r="N318" i="5"/>
  <c r="O318" i="5"/>
  <c r="P318" i="5"/>
  <c r="Q318" i="5"/>
  <c r="R318" i="5"/>
  <c r="S318" i="5"/>
  <c r="T318" i="5"/>
  <c r="U318" i="5"/>
  <c r="V318" i="5"/>
  <c r="W318" i="5"/>
  <c r="X318" i="5"/>
  <c r="Y318" i="5"/>
  <c r="Z318" i="5"/>
  <c r="AA318" i="5"/>
  <c r="AB318" i="5"/>
  <c r="AC318" i="5"/>
  <c r="AD318" i="5"/>
  <c r="AE318" i="5"/>
  <c r="AF318" i="5"/>
  <c r="AG318" i="5"/>
  <c r="AH318" i="5"/>
  <c r="AI318" i="5"/>
  <c r="J319" i="5"/>
  <c r="K319" i="5"/>
  <c r="L319" i="5"/>
  <c r="M319" i="5"/>
  <c r="N319" i="5"/>
  <c r="O319" i="5"/>
  <c r="P319" i="5"/>
  <c r="Q319" i="5"/>
  <c r="R319" i="5"/>
  <c r="S319" i="5"/>
  <c r="T319" i="5"/>
  <c r="U319" i="5"/>
  <c r="V319" i="5"/>
  <c r="W319" i="5"/>
  <c r="X319" i="5"/>
  <c r="Y319" i="5"/>
  <c r="Z319" i="5"/>
  <c r="AA319" i="5"/>
  <c r="AB319" i="5"/>
  <c r="AC319" i="5"/>
  <c r="AD319" i="5"/>
  <c r="AE319" i="5"/>
  <c r="AF319" i="5"/>
  <c r="AG319" i="5"/>
  <c r="AH319" i="5"/>
  <c r="AI319" i="5"/>
  <c r="J320" i="5"/>
  <c r="K320" i="5"/>
  <c r="L320" i="5"/>
  <c r="M320" i="5"/>
  <c r="N320" i="5"/>
  <c r="O320" i="5"/>
  <c r="P320" i="5"/>
  <c r="Q320" i="5"/>
  <c r="R320" i="5"/>
  <c r="S320" i="5"/>
  <c r="T320" i="5"/>
  <c r="U320" i="5"/>
  <c r="V320" i="5"/>
  <c r="W320" i="5"/>
  <c r="X320" i="5"/>
  <c r="Y320" i="5"/>
  <c r="Z320" i="5"/>
  <c r="AA320" i="5"/>
  <c r="AB320" i="5"/>
  <c r="AC320" i="5"/>
  <c r="AD320" i="5"/>
  <c r="AE320" i="5"/>
  <c r="AF320" i="5"/>
  <c r="AG320" i="5"/>
  <c r="AH320" i="5"/>
  <c r="AI320" i="5"/>
  <c r="J321" i="5"/>
  <c r="K321" i="5"/>
  <c r="L321" i="5"/>
  <c r="M321" i="5"/>
  <c r="N321" i="5"/>
  <c r="O321" i="5"/>
  <c r="P321" i="5"/>
  <c r="Q321" i="5"/>
  <c r="R321" i="5"/>
  <c r="S321" i="5"/>
  <c r="T321" i="5"/>
  <c r="U321" i="5"/>
  <c r="V321" i="5"/>
  <c r="W321" i="5"/>
  <c r="X321" i="5"/>
  <c r="Y321" i="5"/>
  <c r="Z321" i="5"/>
  <c r="AA321" i="5"/>
  <c r="AB321" i="5"/>
  <c r="AC321" i="5"/>
  <c r="AD321" i="5"/>
  <c r="AE321" i="5"/>
  <c r="AF321" i="5"/>
  <c r="AG321" i="5"/>
  <c r="AH321" i="5"/>
  <c r="AI321" i="5"/>
  <c r="J322" i="5"/>
  <c r="K322" i="5"/>
  <c r="L322" i="5"/>
  <c r="M322" i="5"/>
  <c r="N322" i="5"/>
  <c r="O322" i="5"/>
  <c r="P322" i="5"/>
  <c r="Q322" i="5"/>
  <c r="R322" i="5"/>
  <c r="S322" i="5"/>
  <c r="T322" i="5"/>
  <c r="U322" i="5"/>
  <c r="V322" i="5"/>
  <c r="W322" i="5"/>
  <c r="X322" i="5"/>
  <c r="Y322" i="5"/>
  <c r="Z322" i="5"/>
  <c r="AA322" i="5"/>
  <c r="AB322" i="5"/>
  <c r="AC322" i="5"/>
  <c r="AD322" i="5"/>
  <c r="AE322" i="5"/>
  <c r="AF322" i="5"/>
  <c r="AG322" i="5"/>
  <c r="AH322" i="5"/>
  <c r="AI322" i="5"/>
  <c r="J323" i="5"/>
  <c r="K323" i="5"/>
  <c r="L323" i="5"/>
  <c r="M323" i="5"/>
  <c r="N323" i="5"/>
  <c r="O323" i="5"/>
  <c r="P323" i="5"/>
  <c r="Q323" i="5"/>
  <c r="R323" i="5"/>
  <c r="S323" i="5"/>
  <c r="T323" i="5"/>
  <c r="U323" i="5"/>
  <c r="V323" i="5"/>
  <c r="W323" i="5"/>
  <c r="X323" i="5"/>
  <c r="Y323" i="5"/>
  <c r="Z323" i="5"/>
  <c r="AA323" i="5"/>
  <c r="AB323" i="5"/>
  <c r="AC323" i="5"/>
  <c r="AD323" i="5"/>
  <c r="AE323" i="5"/>
  <c r="AF323" i="5"/>
  <c r="AG323" i="5"/>
  <c r="AH323" i="5"/>
  <c r="AI323" i="5"/>
  <c r="J324" i="5"/>
  <c r="K324" i="5"/>
  <c r="L324" i="5"/>
  <c r="M324" i="5"/>
  <c r="N324" i="5"/>
  <c r="O324" i="5"/>
  <c r="P324" i="5"/>
  <c r="Q324" i="5"/>
  <c r="R324" i="5"/>
  <c r="S324" i="5"/>
  <c r="T324" i="5"/>
  <c r="U324" i="5"/>
  <c r="V324" i="5"/>
  <c r="W324" i="5"/>
  <c r="X324" i="5"/>
  <c r="Y324" i="5"/>
  <c r="Z324" i="5"/>
  <c r="AA324" i="5"/>
  <c r="AB324" i="5"/>
  <c r="AC324" i="5"/>
  <c r="AD324" i="5"/>
  <c r="AE324" i="5"/>
  <c r="AF324" i="5"/>
  <c r="AG324" i="5"/>
  <c r="AH324" i="5"/>
  <c r="AI324" i="5"/>
  <c r="J325" i="5"/>
  <c r="K325" i="5"/>
  <c r="L325" i="5"/>
  <c r="M325" i="5"/>
  <c r="N325" i="5"/>
  <c r="O325" i="5"/>
  <c r="P325" i="5"/>
  <c r="Q325" i="5"/>
  <c r="R325" i="5"/>
  <c r="S325" i="5"/>
  <c r="T325" i="5"/>
  <c r="U325" i="5"/>
  <c r="V325" i="5"/>
  <c r="W325" i="5"/>
  <c r="X325" i="5"/>
  <c r="Y325" i="5"/>
  <c r="Z325" i="5"/>
  <c r="AA325" i="5"/>
  <c r="AB325" i="5"/>
  <c r="AC325" i="5"/>
  <c r="AD325" i="5"/>
  <c r="AE325" i="5"/>
  <c r="AF325" i="5"/>
  <c r="AG325" i="5"/>
  <c r="AH325" i="5"/>
  <c r="AI325" i="5"/>
  <c r="J326" i="5"/>
  <c r="K326" i="5"/>
  <c r="L326" i="5"/>
  <c r="M326" i="5"/>
  <c r="N326" i="5"/>
  <c r="O326" i="5"/>
  <c r="P326" i="5"/>
  <c r="Q326" i="5"/>
  <c r="R326" i="5"/>
  <c r="S326" i="5"/>
  <c r="T326" i="5"/>
  <c r="U326" i="5"/>
  <c r="V326" i="5"/>
  <c r="W326" i="5"/>
  <c r="X326" i="5"/>
  <c r="Y326" i="5"/>
  <c r="Z326" i="5"/>
  <c r="AA326" i="5"/>
  <c r="AB326" i="5"/>
  <c r="AC326" i="5"/>
  <c r="AD326" i="5"/>
  <c r="AE326" i="5"/>
  <c r="AF326" i="5"/>
  <c r="AG326" i="5"/>
  <c r="AH326" i="5"/>
  <c r="AI326" i="5"/>
  <c r="J327" i="5"/>
  <c r="K327" i="5"/>
  <c r="L327" i="5"/>
  <c r="M327" i="5"/>
  <c r="N327" i="5"/>
  <c r="O327" i="5"/>
  <c r="P327" i="5"/>
  <c r="Q327" i="5"/>
  <c r="R327" i="5"/>
  <c r="S327" i="5"/>
  <c r="T327" i="5"/>
  <c r="U327" i="5"/>
  <c r="V327" i="5"/>
  <c r="W327" i="5"/>
  <c r="X327" i="5"/>
  <c r="Y327" i="5"/>
  <c r="Z327" i="5"/>
  <c r="AA327" i="5"/>
  <c r="AB327" i="5"/>
  <c r="AC327" i="5"/>
  <c r="AD327" i="5"/>
  <c r="AE327" i="5"/>
  <c r="AF327" i="5"/>
  <c r="AG327" i="5"/>
  <c r="AH327" i="5"/>
  <c r="AI327" i="5"/>
  <c r="J328" i="5"/>
  <c r="K328" i="5"/>
  <c r="L328" i="5"/>
  <c r="M328" i="5"/>
  <c r="N328" i="5"/>
  <c r="O328" i="5"/>
  <c r="P328" i="5"/>
  <c r="Q328" i="5"/>
  <c r="R328" i="5"/>
  <c r="S328" i="5"/>
  <c r="T328" i="5"/>
  <c r="U328" i="5"/>
  <c r="V328" i="5"/>
  <c r="W328" i="5"/>
  <c r="X328" i="5"/>
  <c r="Y328" i="5"/>
  <c r="Z328" i="5"/>
  <c r="AA328" i="5"/>
  <c r="AB328" i="5"/>
  <c r="AC328" i="5"/>
  <c r="AD328" i="5"/>
  <c r="AE328" i="5"/>
  <c r="AF328" i="5"/>
  <c r="AG328" i="5"/>
  <c r="AH328" i="5"/>
  <c r="AI328" i="5"/>
  <c r="J329" i="5"/>
  <c r="K329" i="5"/>
  <c r="L329" i="5"/>
  <c r="M329" i="5"/>
  <c r="N329" i="5"/>
  <c r="O329" i="5"/>
  <c r="P329" i="5"/>
  <c r="Q329" i="5"/>
  <c r="R329" i="5"/>
  <c r="S329" i="5"/>
  <c r="T329" i="5"/>
  <c r="U329" i="5"/>
  <c r="V329" i="5"/>
  <c r="W329" i="5"/>
  <c r="X329" i="5"/>
  <c r="Y329" i="5"/>
  <c r="Z329" i="5"/>
  <c r="AA329" i="5"/>
  <c r="AB329" i="5"/>
  <c r="AC329" i="5"/>
  <c r="AD329" i="5"/>
  <c r="AE329" i="5"/>
  <c r="AF329" i="5"/>
  <c r="AG329" i="5"/>
  <c r="AH329" i="5"/>
  <c r="AI329" i="5"/>
  <c r="J330" i="5"/>
  <c r="K330" i="5"/>
  <c r="L330" i="5"/>
  <c r="M330" i="5"/>
  <c r="N330" i="5"/>
  <c r="O330" i="5"/>
  <c r="P330" i="5"/>
  <c r="Q330" i="5"/>
  <c r="R330" i="5"/>
  <c r="S330" i="5"/>
  <c r="T330" i="5"/>
  <c r="U330" i="5"/>
  <c r="V330" i="5"/>
  <c r="W330" i="5"/>
  <c r="X330" i="5"/>
  <c r="Y330" i="5"/>
  <c r="Z330" i="5"/>
  <c r="AA330" i="5"/>
  <c r="AB330" i="5"/>
  <c r="AC330" i="5"/>
  <c r="AD330" i="5"/>
  <c r="AE330" i="5"/>
  <c r="AF330" i="5"/>
  <c r="AG330" i="5"/>
  <c r="AH330" i="5"/>
  <c r="AI330" i="5"/>
  <c r="J332" i="5"/>
  <c r="K332" i="5"/>
  <c r="L332" i="5"/>
  <c r="M332" i="5"/>
  <c r="N332" i="5"/>
  <c r="O332" i="5"/>
  <c r="P332" i="5"/>
  <c r="Q332" i="5"/>
  <c r="R332" i="5"/>
  <c r="S332" i="5"/>
  <c r="T332" i="5"/>
  <c r="U332" i="5"/>
  <c r="V332" i="5"/>
  <c r="W332" i="5"/>
  <c r="X332" i="5"/>
  <c r="Y332" i="5"/>
  <c r="Z332" i="5"/>
  <c r="AA332" i="5"/>
  <c r="AB332" i="5"/>
  <c r="AC332" i="5"/>
  <c r="AD332" i="5"/>
  <c r="AE332" i="5"/>
  <c r="AF332" i="5"/>
  <c r="AG332" i="5"/>
  <c r="AH332" i="5"/>
  <c r="AI332" i="5"/>
  <c r="J333" i="5"/>
  <c r="K333" i="5"/>
  <c r="L333" i="5"/>
  <c r="M333" i="5"/>
  <c r="N333" i="5"/>
  <c r="O333" i="5"/>
  <c r="P333" i="5"/>
  <c r="Q333" i="5"/>
  <c r="R333" i="5"/>
  <c r="S333" i="5"/>
  <c r="T333" i="5"/>
  <c r="U333" i="5"/>
  <c r="V333" i="5"/>
  <c r="W333" i="5"/>
  <c r="X333" i="5"/>
  <c r="Y333" i="5"/>
  <c r="Z333" i="5"/>
  <c r="AA333" i="5"/>
  <c r="AB333" i="5"/>
  <c r="AC333" i="5"/>
  <c r="AD333" i="5"/>
  <c r="AE333" i="5"/>
  <c r="AF333" i="5"/>
  <c r="AG333" i="5"/>
  <c r="AH333" i="5"/>
  <c r="AI333" i="5"/>
  <c r="J331" i="5"/>
  <c r="K331" i="5"/>
  <c r="L331" i="5"/>
  <c r="M331" i="5"/>
  <c r="N331" i="5"/>
  <c r="O331" i="5"/>
  <c r="P331" i="5"/>
  <c r="Q331" i="5"/>
  <c r="R331" i="5"/>
  <c r="S331" i="5"/>
  <c r="T331" i="5"/>
  <c r="U331" i="5"/>
  <c r="V331" i="5"/>
  <c r="W331" i="5"/>
  <c r="X331" i="5"/>
  <c r="Y331" i="5"/>
  <c r="Z331" i="5"/>
  <c r="AA331" i="5"/>
  <c r="AB331" i="5"/>
  <c r="AC331" i="5"/>
  <c r="AD331" i="5"/>
  <c r="AE331" i="5"/>
  <c r="AF331" i="5"/>
  <c r="AG331" i="5"/>
  <c r="AH331" i="5"/>
  <c r="AI331" i="5"/>
  <c r="J334" i="5"/>
  <c r="K334" i="5"/>
  <c r="L334" i="5"/>
  <c r="M334" i="5"/>
  <c r="N334" i="5"/>
  <c r="O334" i="5"/>
  <c r="P334" i="5"/>
  <c r="Q334" i="5"/>
  <c r="R334" i="5"/>
  <c r="S334" i="5"/>
  <c r="T334" i="5"/>
  <c r="U334" i="5"/>
  <c r="V334" i="5"/>
  <c r="W334" i="5"/>
  <c r="X334" i="5"/>
  <c r="Y334" i="5"/>
  <c r="Z334" i="5"/>
  <c r="AA334" i="5"/>
  <c r="AB334" i="5"/>
  <c r="AC334" i="5"/>
  <c r="AD334" i="5"/>
  <c r="AE334" i="5"/>
  <c r="AF334" i="5"/>
  <c r="AG334" i="5"/>
  <c r="AH334" i="5"/>
  <c r="AI334" i="5"/>
  <c r="J335" i="5"/>
  <c r="K335" i="5"/>
  <c r="L335" i="5"/>
  <c r="M335" i="5"/>
  <c r="N335" i="5"/>
  <c r="O335" i="5"/>
  <c r="P335" i="5"/>
  <c r="Q335" i="5"/>
  <c r="R335" i="5"/>
  <c r="S335" i="5"/>
  <c r="T335" i="5"/>
  <c r="U335" i="5"/>
  <c r="V335" i="5"/>
  <c r="W335" i="5"/>
  <c r="X335" i="5"/>
  <c r="Y335" i="5"/>
  <c r="Z335" i="5"/>
  <c r="AA335" i="5"/>
  <c r="AB335" i="5"/>
  <c r="AC335" i="5"/>
  <c r="AD335" i="5"/>
  <c r="AE335" i="5"/>
  <c r="AF335" i="5"/>
  <c r="AG335" i="5"/>
  <c r="AH335" i="5"/>
  <c r="AI335" i="5"/>
  <c r="J336" i="5"/>
  <c r="K336" i="5"/>
  <c r="L336" i="5"/>
  <c r="M336" i="5"/>
  <c r="N336" i="5"/>
  <c r="O336" i="5"/>
  <c r="P336" i="5"/>
  <c r="Q336" i="5"/>
  <c r="R336" i="5"/>
  <c r="S336" i="5"/>
  <c r="T336" i="5"/>
  <c r="U336" i="5"/>
  <c r="V336" i="5"/>
  <c r="W336" i="5"/>
  <c r="X336" i="5"/>
  <c r="Y336" i="5"/>
  <c r="Z336" i="5"/>
  <c r="AA336" i="5"/>
  <c r="AB336" i="5"/>
  <c r="AC336" i="5"/>
  <c r="AD336" i="5"/>
  <c r="AE336" i="5"/>
  <c r="AF336" i="5"/>
  <c r="AG336" i="5"/>
  <c r="AH336" i="5"/>
  <c r="AI336" i="5"/>
  <c r="J337" i="5"/>
  <c r="K337" i="5"/>
  <c r="L337" i="5"/>
  <c r="M337" i="5"/>
  <c r="N337" i="5"/>
  <c r="O337" i="5"/>
  <c r="P337" i="5"/>
  <c r="Q337" i="5"/>
  <c r="R337" i="5"/>
  <c r="S337" i="5"/>
  <c r="T337" i="5"/>
  <c r="U337" i="5"/>
  <c r="V337" i="5"/>
  <c r="W337" i="5"/>
  <c r="X337" i="5"/>
  <c r="Y337" i="5"/>
  <c r="Z337" i="5"/>
  <c r="AA337" i="5"/>
  <c r="AB337" i="5"/>
  <c r="AC337" i="5"/>
  <c r="AD337" i="5"/>
  <c r="AE337" i="5"/>
  <c r="AF337" i="5"/>
  <c r="AG337" i="5"/>
  <c r="AH337" i="5"/>
  <c r="AI337" i="5"/>
  <c r="J338" i="5"/>
  <c r="K338" i="5"/>
  <c r="L338" i="5"/>
  <c r="M338" i="5"/>
  <c r="N338" i="5"/>
  <c r="O338" i="5"/>
  <c r="P338" i="5"/>
  <c r="Q338" i="5"/>
  <c r="R338" i="5"/>
  <c r="S338" i="5"/>
  <c r="T338" i="5"/>
  <c r="U338" i="5"/>
  <c r="V338" i="5"/>
  <c r="W338" i="5"/>
  <c r="X338" i="5"/>
  <c r="Y338" i="5"/>
  <c r="Z338" i="5"/>
  <c r="AA338" i="5"/>
  <c r="AB338" i="5"/>
  <c r="AC338" i="5"/>
  <c r="AD338" i="5"/>
  <c r="AE338" i="5"/>
  <c r="AF338" i="5"/>
  <c r="AG338" i="5"/>
  <c r="AH338" i="5"/>
  <c r="AI338" i="5"/>
  <c r="J339" i="5"/>
  <c r="K339" i="5"/>
  <c r="L339" i="5"/>
  <c r="M339" i="5"/>
  <c r="N339" i="5"/>
  <c r="O339" i="5"/>
  <c r="P339" i="5"/>
  <c r="Q339" i="5"/>
  <c r="R339" i="5"/>
  <c r="S339" i="5"/>
  <c r="T339" i="5"/>
  <c r="U339" i="5"/>
  <c r="V339" i="5"/>
  <c r="W339" i="5"/>
  <c r="X339" i="5"/>
  <c r="Y339" i="5"/>
  <c r="Z339" i="5"/>
  <c r="AA339" i="5"/>
  <c r="AB339" i="5"/>
  <c r="AC339" i="5"/>
  <c r="AD339" i="5"/>
  <c r="AE339" i="5"/>
  <c r="AF339" i="5"/>
  <c r="AG339" i="5"/>
  <c r="AH339" i="5"/>
  <c r="AI339" i="5"/>
  <c r="J340" i="5"/>
  <c r="K340" i="5"/>
  <c r="L340" i="5"/>
  <c r="M340" i="5"/>
  <c r="N340" i="5"/>
  <c r="O340" i="5"/>
  <c r="P340" i="5"/>
  <c r="Q340" i="5"/>
  <c r="R340" i="5"/>
  <c r="S340" i="5"/>
  <c r="T340" i="5"/>
  <c r="U340" i="5"/>
  <c r="V340" i="5"/>
  <c r="W340" i="5"/>
  <c r="X340" i="5"/>
  <c r="Y340" i="5"/>
  <c r="Z340" i="5"/>
  <c r="AA340" i="5"/>
  <c r="AB340" i="5"/>
  <c r="AC340" i="5"/>
  <c r="AD340" i="5"/>
  <c r="AE340" i="5"/>
  <c r="AF340" i="5"/>
  <c r="AG340" i="5"/>
  <c r="AH340" i="5"/>
  <c r="AI340" i="5"/>
  <c r="J341" i="5"/>
  <c r="K341" i="5"/>
  <c r="L341" i="5"/>
  <c r="M341" i="5"/>
  <c r="N341" i="5"/>
  <c r="O341" i="5"/>
  <c r="P341" i="5"/>
  <c r="Q341" i="5"/>
  <c r="R341" i="5"/>
  <c r="S341" i="5"/>
  <c r="T341" i="5"/>
  <c r="U341" i="5"/>
  <c r="V341" i="5"/>
  <c r="W341" i="5"/>
  <c r="X341" i="5"/>
  <c r="Y341" i="5"/>
  <c r="Z341" i="5"/>
  <c r="AA341" i="5"/>
  <c r="AB341" i="5"/>
  <c r="AC341" i="5"/>
  <c r="AD341" i="5"/>
  <c r="AE341" i="5"/>
  <c r="AF341" i="5"/>
  <c r="AG341" i="5"/>
  <c r="AH341" i="5"/>
  <c r="AI341" i="5"/>
  <c r="J408" i="5"/>
  <c r="K408" i="5"/>
  <c r="L408" i="5"/>
  <c r="M408" i="5"/>
  <c r="N408" i="5"/>
  <c r="O408" i="5"/>
  <c r="P408" i="5"/>
  <c r="Q408" i="5"/>
  <c r="R408" i="5"/>
  <c r="S408" i="5"/>
  <c r="T408" i="5"/>
  <c r="U408" i="5"/>
  <c r="V408" i="5"/>
  <c r="W408" i="5"/>
  <c r="X408" i="5"/>
  <c r="Y408" i="5"/>
  <c r="Z408" i="5"/>
  <c r="AA408" i="5"/>
  <c r="AB408" i="5"/>
  <c r="AC408" i="5"/>
  <c r="AD408" i="5"/>
  <c r="AE408" i="5"/>
  <c r="AF408" i="5"/>
  <c r="AG408" i="5"/>
  <c r="AH408" i="5"/>
  <c r="AI408" i="5"/>
  <c r="J342" i="5"/>
  <c r="K342" i="5"/>
  <c r="L342" i="5"/>
  <c r="M342" i="5"/>
  <c r="N342" i="5"/>
  <c r="O342" i="5"/>
  <c r="P342" i="5"/>
  <c r="Q342" i="5"/>
  <c r="R342" i="5"/>
  <c r="S342" i="5"/>
  <c r="T342" i="5"/>
  <c r="U342" i="5"/>
  <c r="V342" i="5"/>
  <c r="W342" i="5"/>
  <c r="X342" i="5"/>
  <c r="Y342" i="5"/>
  <c r="Z342" i="5"/>
  <c r="AA342" i="5"/>
  <c r="AB342" i="5"/>
  <c r="AC342" i="5"/>
  <c r="AD342" i="5"/>
  <c r="AE342" i="5"/>
  <c r="AF342" i="5"/>
  <c r="AG342" i="5"/>
  <c r="AH342" i="5"/>
  <c r="AI342" i="5"/>
  <c r="J343" i="5"/>
  <c r="K343" i="5"/>
  <c r="L343" i="5"/>
  <c r="M343" i="5"/>
  <c r="N343" i="5"/>
  <c r="O343" i="5"/>
  <c r="P343" i="5"/>
  <c r="Q343" i="5"/>
  <c r="R343" i="5"/>
  <c r="S343" i="5"/>
  <c r="T343" i="5"/>
  <c r="U343" i="5"/>
  <c r="V343" i="5"/>
  <c r="W343" i="5"/>
  <c r="X343" i="5"/>
  <c r="Y343" i="5"/>
  <c r="Z343" i="5"/>
  <c r="AA343" i="5"/>
  <c r="AB343" i="5"/>
  <c r="AC343" i="5"/>
  <c r="AD343" i="5"/>
  <c r="AE343" i="5"/>
  <c r="AF343" i="5"/>
  <c r="AG343" i="5"/>
  <c r="AH343" i="5"/>
  <c r="AI343" i="5"/>
  <c r="J344" i="5"/>
  <c r="K344" i="5"/>
  <c r="L344" i="5"/>
  <c r="M344" i="5"/>
  <c r="N344" i="5"/>
  <c r="O344" i="5"/>
  <c r="P344" i="5"/>
  <c r="Q344" i="5"/>
  <c r="R344" i="5"/>
  <c r="S344" i="5"/>
  <c r="T344" i="5"/>
  <c r="U344" i="5"/>
  <c r="V344" i="5"/>
  <c r="W344" i="5"/>
  <c r="X344" i="5"/>
  <c r="Y344" i="5"/>
  <c r="Z344" i="5"/>
  <c r="AA344" i="5"/>
  <c r="AB344" i="5"/>
  <c r="AC344" i="5"/>
  <c r="AD344" i="5"/>
  <c r="AE344" i="5"/>
  <c r="AF344" i="5"/>
  <c r="AG344" i="5"/>
  <c r="AH344" i="5"/>
  <c r="AI344" i="5"/>
  <c r="J345" i="5"/>
  <c r="K345" i="5"/>
  <c r="L345" i="5"/>
  <c r="M345" i="5"/>
  <c r="N345" i="5"/>
  <c r="O345" i="5"/>
  <c r="P345" i="5"/>
  <c r="Q345" i="5"/>
  <c r="R345" i="5"/>
  <c r="S345" i="5"/>
  <c r="T345" i="5"/>
  <c r="U345" i="5"/>
  <c r="V345" i="5"/>
  <c r="W345" i="5"/>
  <c r="X345" i="5"/>
  <c r="Y345" i="5"/>
  <c r="Z345" i="5"/>
  <c r="AA345" i="5"/>
  <c r="AB345" i="5"/>
  <c r="AC345" i="5"/>
  <c r="AD345" i="5"/>
  <c r="AE345" i="5"/>
  <c r="AF345" i="5"/>
  <c r="AG345" i="5"/>
  <c r="AH345" i="5"/>
  <c r="AI345" i="5"/>
  <c r="J346" i="5"/>
  <c r="K346" i="5"/>
  <c r="L346" i="5"/>
  <c r="M346" i="5"/>
  <c r="N346" i="5"/>
  <c r="O346" i="5"/>
  <c r="P346" i="5"/>
  <c r="Q346" i="5"/>
  <c r="R346" i="5"/>
  <c r="S346" i="5"/>
  <c r="T346" i="5"/>
  <c r="U346" i="5"/>
  <c r="V346" i="5"/>
  <c r="W346" i="5"/>
  <c r="X346" i="5"/>
  <c r="Y346" i="5"/>
  <c r="Z346" i="5"/>
  <c r="AA346" i="5"/>
  <c r="AB346" i="5"/>
  <c r="AC346" i="5"/>
  <c r="AD346" i="5"/>
  <c r="AE346" i="5"/>
  <c r="AF346" i="5"/>
  <c r="AG346" i="5"/>
  <c r="AH346" i="5"/>
  <c r="AI346" i="5"/>
  <c r="J347" i="5"/>
  <c r="K347" i="5"/>
  <c r="L347" i="5"/>
  <c r="M347" i="5"/>
  <c r="N347" i="5"/>
  <c r="O347" i="5"/>
  <c r="P347" i="5"/>
  <c r="Q347" i="5"/>
  <c r="R347" i="5"/>
  <c r="S347" i="5"/>
  <c r="T347" i="5"/>
  <c r="U347" i="5"/>
  <c r="V347" i="5"/>
  <c r="W347" i="5"/>
  <c r="X347" i="5"/>
  <c r="Y347" i="5"/>
  <c r="Z347" i="5"/>
  <c r="AA347" i="5"/>
  <c r="AB347" i="5"/>
  <c r="AC347" i="5"/>
  <c r="AD347" i="5"/>
  <c r="AE347" i="5"/>
  <c r="AF347" i="5"/>
  <c r="AG347" i="5"/>
  <c r="AH347" i="5"/>
  <c r="AI347" i="5"/>
  <c r="J348" i="5"/>
  <c r="K348" i="5"/>
  <c r="L348" i="5"/>
  <c r="M348" i="5"/>
  <c r="N348" i="5"/>
  <c r="O348" i="5"/>
  <c r="P348" i="5"/>
  <c r="Q348" i="5"/>
  <c r="R348" i="5"/>
  <c r="S348" i="5"/>
  <c r="T348" i="5"/>
  <c r="U348" i="5"/>
  <c r="V348" i="5"/>
  <c r="W348" i="5"/>
  <c r="X348" i="5"/>
  <c r="Y348" i="5"/>
  <c r="Z348" i="5"/>
  <c r="AA348" i="5"/>
  <c r="AB348" i="5"/>
  <c r="AC348" i="5"/>
  <c r="AD348" i="5"/>
  <c r="AE348" i="5"/>
  <c r="AF348" i="5"/>
  <c r="AG348" i="5"/>
  <c r="AH348" i="5"/>
  <c r="AI348" i="5"/>
  <c r="J349" i="5"/>
  <c r="K349" i="5"/>
  <c r="L349" i="5"/>
  <c r="M349" i="5"/>
  <c r="N349" i="5"/>
  <c r="O349" i="5"/>
  <c r="P349" i="5"/>
  <c r="Q349" i="5"/>
  <c r="R349" i="5"/>
  <c r="S349" i="5"/>
  <c r="T349" i="5"/>
  <c r="U349" i="5"/>
  <c r="V349" i="5"/>
  <c r="W349" i="5"/>
  <c r="X349" i="5"/>
  <c r="Y349" i="5"/>
  <c r="Z349" i="5"/>
  <c r="AA349" i="5"/>
  <c r="AB349" i="5"/>
  <c r="AC349" i="5"/>
  <c r="AD349" i="5"/>
  <c r="AE349" i="5"/>
  <c r="AF349" i="5"/>
  <c r="AG349" i="5"/>
  <c r="AH349" i="5"/>
  <c r="AI349" i="5"/>
  <c r="J350" i="5"/>
  <c r="K350" i="5"/>
  <c r="L350" i="5"/>
  <c r="M350" i="5"/>
  <c r="N350" i="5"/>
  <c r="O350" i="5"/>
  <c r="P350" i="5"/>
  <c r="Q350" i="5"/>
  <c r="R350" i="5"/>
  <c r="S350" i="5"/>
  <c r="T350" i="5"/>
  <c r="U350" i="5"/>
  <c r="V350" i="5"/>
  <c r="W350" i="5"/>
  <c r="X350" i="5"/>
  <c r="Y350" i="5"/>
  <c r="Z350" i="5"/>
  <c r="AA350" i="5"/>
  <c r="AB350" i="5"/>
  <c r="AC350" i="5"/>
  <c r="AD350" i="5"/>
  <c r="AE350" i="5"/>
  <c r="AF350" i="5"/>
  <c r="AG350" i="5"/>
  <c r="AH350" i="5"/>
  <c r="AI350" i="5"/>
  <c r="J351" i="5"/>
  <c r="K351" i="5"/>
  <c r="L351" i="5"/>
  <c r="M351" i="5"/>
  <c r="N351" i="5"/>
  <c r="O351" i="5"/>
  <c r="P351" i="5"/>
  <c r="Q351" i="5"/>
  <c r="R351" i="5"/>
  <c r="S351" i="5"/>
  <c r="T351" i="5"/>
  <c r="U351" i="5"/>
  <c r="V351" i="5"/>
  <c r="W351" i="5"/>
  <c r="X351" i="5"/>
  <c r="Y351" i="5"/>
  <c r="Z351" i="5"/>
  <c r="AA351" i="5"/>
  <c r="AB351" i="5"/>
  <c r="AC351" i="5"/>
  <c r="AD351" i="5"/>
  <c r="AE351" i="5"/>
  <c r="AF351" i="5"/>
  <c r="AG351" i="5"/>
  <c r="AH351" i="5"/>
  <c r="AI351" i="5"/>
  <c r="J352" i="5"/>
  <c r="K352" i="5"/>
  <c r="L352" i="5"/>
  <c r="M352" i="5"/>
  <c r="N352" i="5"/>
  <c r="O352" i="5"/>
  <c r="P352" i="5"/>
  <c r="Q352" i="5"/>
  <c r="R352" i="5"/>
  <c r="S352" i="5"/>
  <c r="T352" i="5"/>
  <c r="U352" i="5"/>
  <c r="V352" i="5"/>
  <c r="W352" i="5"/>
  <c r="X352" i="5"/>
  <c r="Y352" i="5"/>
  <c r="Z352" i="5"/>
  <c r="AA352" i="5"/>
  <c r="AB352" i="5"/>
  <c r="AC352" i="5"/>
  <c r="AD352" i="5"/>
  <c r="AE352" i="5"/>
  <c r="AF352" i="5"/>
  <c r="AG352" i="5"/>
  <c r="AH352" i="5"/>
  <c r="AI352" i="5"/>
  <c r="J353" i="5"/>
  <c r="K353" i="5"/>
  <c r="L353" i="5"/>
  <c r="M353" i="5"/>
  <c r="N353" i="5"/>
  <c r="O353" i="5"/>
  <c r="P353" i="5"/>
  <c r="Q353" i="5"/>
  <c r="R353" i="5"/>
  <c r="S353" i="5"/>
  <c r="T353" i="5"/>
  <c r="U353" i="5"/>
  <c r="V353" i="5"/>
  <c r="W353" i="5"/>
  <c r="X353" i="5"/>
  <c r="Y353" i="5"/>
  <c r="Z353" i="5"/>
  <c r="AA353" i="5"/>
  <c r="AB353" i="5"/>
  <c r="AC353" i="5"/>
  <c r="AD353" i="5"/>
  <c r="AE353" i="5"/>
  <c r="AF353" i="5"/>
  <c r="AG353" i="5"/>
  <c r="AH353" i="5"/>
  <c r="AI353" i="5"/>
  <c r="J354" i="5"/>
  <c r="K354" i="5"/>
  <c r="L354" i="5"/>
  <c r="M354" i="5"/>
  <c r="N354" i="5"/>
  <c r="O354" i="5"/>
  <c r="P354" i="5"/>
  <c r="Q354" i="5"/>
  <c r="R354" i="5"/>
  <c r="S354" i="5"/>
  <c r="T354" i="5"/>
  <c r="U354" i="5"/>
  <c r="V354" i="5"/>
  <c r="W354" i="5"/>
  <c r="X354" i="5"/>
  <c r="Y354" i="5"/>
  <c r="Z354" i="5"/>
  <c r="AA354" i="5"/>
  <c r="AB354" i="5"/>
  <c r="AC354" i="5"/>
  <c r="AD354" i="5"/>
  <c r="AE354" i="5"/>
  <c r="AF354" i="5"/>
  <c r="AG354" i="5"/>
  <c r="AH354" i="5"/>
  <c r="AI354" i="5"/>
  <c r="J355" i="5"/>
  <c r="K355" i="5"/>
  <c r="L355" i="5"/>
  <c r="M355" i="5"/>
  <c r="N355" i="5"/>
  <c r="O355" i="5"/>
  <c r="P355" i="5"/>
  <c r="Q355" i="5"/>
  <c r="R355" i="5"/>
  <c r="S355" i="5"/>
  <c r="T355" i="5"/>
  <c r="U355" i="5"/>
  <c r="V355" i="5"/>
  <c r="W355" i="5"/>
  <c r="X355" i="5"/>
  <c r="Y355" i="5"/>
  <c r="Z355" i="5"/>
  <c r="AA355" i="5"/>
  <c r="AB355" i="5"/>
  <c r="AC355" i="5"/>
  <c r="AD355" i="5"/>
  <c r="AE355" i="5"/>
  <c r="AF355" i="5"/>
  <c r="AG355" i="5"/>
  <c r="AH355" i="5"/>
  <c r="AI355" i="5"/>
  <c r="J356" i="5"/>
  <c r="K356" i="5"/>
  <c r="L356" i="5"/>
  <c r="M356" i="5"/>
  <c r="N356" i="5"/>
  <c r="O356" i="5"/>
  <c r="P356" i="5"/>
  <c r="Q356" i="5"/>
  <c r="R356" i="5"/>
  <c r="S356" i="5"/>
  <c r="T356" i="5"/>
  <c r="U356" i="5"/>
  <c r="V356" i="5"/>
  <c r="W356" i="5"/>
  <c r="X356" i="5"/>
  <c r="Y356" i="5"/>
  <c r="Z356" i="5"/>
  <c r="AA356" i="5"/>
  <c r="AB356" i="5"/>
  <c r="AC356" i="5"/>
  <c r="AD356" i="5"/>
  <c r="AE356" i="5"/>
  <c r="AF356" i="5"/>
  <c r="AG356" i="5"/>
  <c r="AH356" i="5"/>
  <c r="AI356" i="5"/>
  <c r="J357" i="5"/>
  <c r="K357" i="5"/>
  <c r="L357" i="5"/>
  <c r="M357" i="5"/>
  <c r="N357" i="5"/>
  <c r="O357" i="5"/>
  <c r="P357" i="5"/>
  <c r="Q357" i="5"/>
  <c r="R357" i="5"/>
  <c r="S357" i="5"/>
  <c r="T357" i="5"/>
  <c r="U357" i="5"/>
  <c r="V357" i="5"/>
  <c r="W357" i="5"/>
  <c r="X357" i="5"/>
  <c r="Y357" i="5"/>
  <c r="Z357" i="5"/>
  <c r="AA357" i="5"/>
  <c r="AB357" i="5"/>
  <c r="AC357" i="5"/>
  <c r="AD357" i="5"/>
  <c r="AE357" i="5"/>
  <c r="AF357" i="5"/>
  <c r="AG357" i="5"/>
  <c r="AH357" i="5"/>
  <c r="AI357" i="5"/>
  <c r="J358" i="5"/>
  <c r="K358" i="5"/>
  <c r="L358" i="5"/>
  <c r="M358" i="5"/>
  <c r="N358" i="5"/>
  <c r="O358" i="5"/>
  <c r="P358" i="5"/>
  <c r="Q358" i="5"/>
  <c r="R358" i="5"/>
  <c r="S358" i="5"/>
  <c r="T358" i="5"/>
  <c r="U358" i="5"/>
  <c r="V358" i="5"/>
  <c r="W358" i="5"/>
  <c r="X358" i="5"/>
  <c r="Y358" i="5"/>
  <c r="Z358" i="5"/>
  <c r="AA358" i="5"/>
  <c r="AB358" i="5"/>
  <c r="AC358" i="5"/>
  <c r="AD358" i="5"/>
  <c r="AE358" i="5"/>
  <c r="AF358" i="5"/>
  <c r="AG358" i="5"/>
  <c r="AH358" i="5"/>
  <c r="AI358" i="5"/>
  <c r="J359" i="5"/>
  <c r="K359" i="5"/>
  <c r="L359" i="5"/>
  <c r="M359" i="5"/>
  <c r="N359" i="5"/>
  <c r="O359" i="5"/>
  <c r="P359" i="5"/>
  <c r="Q359" i="5"/>
  <c r="R359" i="5"/>
  <c r="S359" i="5"/>
  <c r="T359" i="5"/>
  <c r="U359" i="5"/>
  <c r="V359" i="5"/>
  <c r="W359" i="5"/>
  <c r="X359" i="5"/>
  <c r="Y359" i="5"/>
  <c r="Z359" i="5"/>
  <c r="AA359" i="5"/>
  <c r="AB359" i="5"/>
  <c r="AC359" i="5"/>
  <c r="AD359" i="5"/>
  <c r="AE359" i="5"/>
  <c r="AF359" i="5"/>
  <c r="AG359" i="5"/>
  <c r="AH359" i="5"/>
  <c r="AI359" i="5"/>
  <c r="J360" i="5"/>
  <c r="K360" i="5"/>
  <c r="L360" i="5"/>
  <c r="M360" i="5"/>
  <c r="N360" i="5"/>
  <c r="O360" i="5"/>
  <c r="P360" i="5"/>
  <c r="Q360" i="5"/>
  <c r="R360" i="5"/>
  <c r="S360" i="5"/>
  <c r="T360" i="5"/>
  <c r="U360" i="5"/>
  <c r="V360" i="5"/>
  <c r="W360" i="5"/>
  <c r="X360" i="5"/>
  <c r="Y360" i="5"/>
  <c r="Z360" i="5"/>
  <c r="AA360" i="5"/>
  <c r="AB360" i="5"/>
  <c r="AC360" i="5"/>
  <c r="AD360" i="5"/>
  <c r="AE360" i="5"/>
  <c r="AF360" i="5"/>
  <c r="AG360" i="5"/>
  <c r="AH360" i="5"/>
  <c r="AI360" i="5"/>
  <c r="J361" i="5"/>
  <c r="K361" i="5"/>
  <c r="L361" i="5"/>
  <c r="M361" i="5"/>
  <c r="N361" i="5"/>
  <c r="O361" i="5"/>
  <c r="P361" i="5"/>
  <c r="Q361" i="5"/>
  <c r="R361" i="5"/>
  <c r="S361" i="5"/>
  <c r="T361" i="5"/>
  <c r="U361" i="5"/>
  <c r="V361" i="5"/>
  <c r="W361" i="5"/>
  <c r="X361" i="5"/>
  <c r="Y361" i="5"/>
  <c r="Z361" i="5"/>
  <c r="AA361" i="5"/>
  <c r="AB361" i="5"/>
  <c r="AC361" i="5"/>
  <c r="AD361" i="5"/>
  <c r="AE361" i="5"/>
  <c r="AF361" i="5"/>
  <c r="AG361" i="5"/>
  <c r="AH361" i="5"/>
  <c r="AI361" i="5"/>
  <c r="J362" i="5"/>
  <c r="K362" i="5"/>
  <c r="L362" i="5"/>
  <c r="M362" i="5"/>
  <c r="N362" i="5"/>
  <c r="O362" i="5"/>
  <c r="P362" i="5"/>
  <c r="Q362" i="5"/>
  <c r="R362" i="5"/>
  <c r="S362" i="5"/>
  <c r="T362" i="5"/>
  <c r="U362" i="5"/>
  <c r="V362" i="5"/>
  <c r="W362" i="5"/>
  <c r="X362" i="5"/>
  <c r="Y362" i="5"/>
  <c r="Z362" i="5"/>
  <c r="AA362" i="5"/>
  <c r="AB362" i="5"/>
  <c r="AC362" i="5"/>
  <c r="AD362" i="5"/>
  <c r="AE362" i="5"/>
  <c r="AF362" i="5"/>
  <c r="AG362" i="5"/>
  <c r="AH362" i="5"/>
  <c r="AI362" i="5"/>
  <c r="J363" i="5"/>
  <c r="K363" i="5"/>
  <c r="L363" i="5"/>
  <c r="M363" i="5"/>
  <c r="N363" i="5"/>
  <c r="O363" i="5"/>
  <c r="P363" i="5"/>
  <c r="Q363" i="5"/>
  <c r="R363" i="5"/>
  <c r="S363" i="5"/>
  <c r="T363" i="5"/>
  <c r="U363" i="5"/>
  <c r="V363" i="5"/>
  <c r="W363" i="5"/>
  <c r="X363" i="5"/>
  <c r="Y363" i="5"/>
  <c r="Z363" i="5"/>
  <c r="AA363" i="5"/>
  <c r="AB363" i="5"/>
  <c r="AC363" i="5"/>
  <c r="AD363" i="5"/>
  <c r="AE363" i="5"/>
  <c r="AF363" i="5"/>
  <c r="AG363" i="5"/>
  <c r="AH363" i="5"/>
  <c r="AI363" i="5"/>
  <c r="J364" i="5"/>
  <c r="K364" i="5"/>
  <c r="L364" i="5"/>
  <c r="M364" i="5"/>
  <c r="N364" i="5"/>
  <c r="O364" i="5"/>
  <c r="P364" i="5"/>
  <c r="Q364" i="5"/>
  <c r="R364" i="5"/>
  <c r="S364" i="5"/>
  <c r="T364" i="5"/>
  <c r="U364" i="5"/>
  <c r="V364" i="5"/>
  <c r="W364" i="5"/>
  <c r="X364" i="5"/>
  <c r="Y364" i="5"/>
  <c r="Z364" i="5"/>
  <c r="AA364" i="5"/>
  <c r="AB364" i="5"/>
  <c r="AC364" i="5"/>
  <c r="AD364" i="5"/>
  <c r="AE364" i="5"/>
  <c r="AF364" i="5"/>
  <c r="AG364" i="5"/>
  <c r="AH364" i="5"/>
  <c r="AI364" i="5"/>
  <c r="J365" i="5"/>
  <c r="K365" i="5"/>
  <c r="L365" i="5"/>
  <c r="M365" i="5"/>
  <c r="N365" i="5"/>
  <c r="O365" i="5"/>
  <c r="P365" i="5"/>
  <c r="Q365" i="5"/>
  <c r="R365" i="5"/>
  <c r="S365" i="5"/>
  <c r="T365" i="5"/>
  <c r="U365" i="5"/>
  <c r="V365" i="5"/>
  <c r="W365" i="5"/>
  <c r="X365" i="5"/>
  <c r="Y365" i="5"/>
  <c r="Z365" i="5"/>
  <c r="AA365" i="5"/>
  <c r="AB365" i="5"/>
  <c r="AC365" i="5"/>
  <c r="AD365" i="5"/>
  <c r="AE365" i="5"/>
  <c r="AF365" i="5"/>
  <c r="AG365" i="5"/>
  <c r="AH365" i="5"/>
  <c r="AI365" i="5"/>
  <c r="J366" i="5"/>
  <c r="K366" i="5"/>
  <c r="L366" i="5"/>
  <c r="M366" i="5"/>
  <c r="N366" i="5"/>
  <c r="O366" i="5"/>
  <c r="P366" i="5"/>
  <c r="Q366" i="5"/>
  <c r="R366" i="5"/>
  <c r="S366" i="5"/>
  <c r="T366" i="5"/>
  <c r="U366" i="5"/>
  <c r="V366" i="5"/>
  <c r="W366" i="5"/>
  <c r="X366" i="5"/>
  <c r="Y366" i="5"/>
  <c r="Z366" i="5"/>
  <c r="AA366" i="5"/>
  <c r="AB366" i="5"/>
  <c r="AC366" i="5"/>
  <c r="AD366" i="5"/>
  <c r="AE366" i="5"/>
  <c r="AF366" i="5"/>
  <c r="AG366" i="5"/>
  <c r="AH366" i="5"/>
  <c r="AI366" i="5"/>
  <c r="J367" i="5"/>
  <c r="K367" i="5"/>
  <c r="L367" i="5"/>
  <c r="M367" i="5"/>
  <c r="N367" i="5"/>
  <c r="O367" i="5"/>
  <c r="P367" i="5"/>
  <c r="Q367" i="5"/>
  <c r="R367" i="5"/>
  <c r="S367" i="5"/>
  <c r="T367" i="5"/>
  <c r="U367" i="5"/>
  <c r="V367" i="5"/>
  <c r="W367" i="5"/>
  <c r="X367" i="5"/>
  <c r="Y367" i="5"/>
  <c r="Z367" i="5"/>
  <c r="AA367" i="5"/>
  <c r="AB367" i="5"/>
  <c r="AC367" i="5"/>
  <c r="AD367" i="5"/>
  <c r="AE367" i="5"/>
  <c r="AF367" i="5"/>
  <c r="AG367" i="5"/>
  <c r="AH367" i="5"/>
  <c r="AI367" i="5"/>
  <c r="J368" i="5"/>
  <c r="K368" i="5"/>
  <c r="L368" i="5"/>
  <c r="M368" i="5"/>
  <c r="N368" i="5"/>
  <c r="O368" i="5"/>
  <c r="P368" i="5"/>
  <c r="Q368" i="5"/>
  <c r="R368" i="5"/>
  <c r="S368" i="5"/>
  <c r="T368" i="5"/>
  <c r="U368" i="5"/>
  <c r="V368" i="5"/>
  <c r="W368" i="5"/>
  <c r="X368" i="5"/>
  <c r="Y368" i="5"/>
  <c r="Z368" i="5"/>
  <c r="AA368" i="5"/>
  <c r="AB368" i="5"/>
  <c r="AC368" i="5"/>
  <c r="AD368" i="5"/>
  <c r="AE368" i="5"/>
  <c r="AF368" i="5"/>
  <c r="AG368" i="5"/>
  <c r="AH368" i="5"/>
  <c r="AI368" i="5"/>
  <c r="J369" i="5"/>
  <c r="K369" i="5"/>
  <c r="L369" i="5"/>
  <c r="M369" i="5"/>
  <c r="N369" i="5"/>
  <c r="O369" i="5"/>
  <c r="P369" i="5"/>
  <c r="Q369" i="5"/>
  <c r="R369" i="5"/>
  <c r="S369" i="5"/>
  <c r="T369" i="5"/>
  <c r="U369" i="5"/>
  <c r="V369" i="5"/>
  <c r="W369" i="5"/>
  <c r="X369" i="5"/>
  <c r="Y369" i="5"/>
  <c r="Z369" i="5"/>
  <c r="AA369" i="5"/>
  <c r="AB369" i="5"/>
  <c r="AC369" i="5"/>
  <c r="AD369" i="5"/>
  <c r="AE369" i="5"/>
  <c r="AF369" i="5"/>
  <c r="AG369" i="5"/>
  <c r="AH369" i="5"/>
  <c r="AI369" i="5"/>
  <c r="J370" i="5"/>
  <c r="K370" i="5"/>
  <c r="L370" i="5"/>
  <c r="M370" i="5"/>
  <c r="N370" i="5"/>
  <c r="O370" i="5"/>
  <c r="P370" i="5"/>
  <c r="Q370" i="5"/>
  <c r="R370" i="5"/>
  <c r="S370" i="5"/>
  <c r="T370" i="5"/>
  <c r="U370" i="5"/>
  <c r="V370" i="5"/>
  <c r="W370" i="5"/>
  <c r="X370" i="5"/>
  <c r="Y370" i="5"/>
  <c r="Z370" i="5"/>
  <c r="AA370" i="5"/>
  <c r="AB370" i="5"/>
  <c r="AC370" i="5"/>
  <c r="AD370" i="5"/>
  <c r="AE370" i="5"/>
  <c r="AF370" i="5"/>
  <c r="AG370" i="5"/>
  <c r="AH370" i="5"/>
  <c r="AI370" i="5"/>
  <c r="J371" i="5"/>
  <c r="K371" i="5"/>
  <c r="L371" i="5"/>
  <c r="M371" i="5"/>
  <c r="N371" i="5"/>
  <c r="O371" i="5"/>
  <c r="P371" i="5"/>
  <c r="Q371" i="5"/>
  <c r="R371" i="5"/>
  <c r="S371" i="5"/>
  <c r="T371" i="5"/>
  <c r="U371" i="5"/>
  <c r="V371" i="5"/>
  <c r="W371" i="5"/>
  <c r="X371" i="5"/>
  <c r="Y371" i="5"/>
  <c r="Z371" i="5"/>
  <c r="AA371" i="5"/>
  <c r="AB371" i="5"/>
  <c r="AC371" i="5"/>
  <c r="AD371" i="5"/>
  <c r="AE371" i="5"/>
  <c r="AF371" i="5"/>
  <c r="AG371" i="5"/>
  <c r="AH371" i="5"/>
  <c r="AI371" i="5"/>
  <c r="J372" i="5"/>
  <c r="K372" i="5"/>
  <c r="L372" i="5"/>
  <c r="M372" i="5"/>
  <c r="N372" i="5"/>
  <c r="O372" i="5"/>
  <c r="P372" i="5"/>
  <c r="Q372" i="5"/>
  <c r="R372" i="5"/>
  <c r="S372" i="5"/>
  <c r="T372" i="5"/>
  <c r="U372" i="5"/>
  <c r="V372" i="5"/>
  <c r="W372" i="5"/>
  <c r="X372" i="5"/>
  <c r="Y372" i="5"/>
  <c r="Z372" i="5"/>
  <c r="AA372" i="5"/>
  <c r="AB372" i="5"/>
  <c r="AC372" i="5"/>
  <c r="AD372" i="5"/>
  <c r="AE372" i="5"/>
  <c r="AF372" i="5"/>
  <c r="AG372" i="5"/>
  <c r="AH372" i="5"/>
  <c r="AI372" i="5"/>
  <c r="J373" i="5"/>
  <c r="K373" i="5"/>
  <c r="L373" i="5"/>
  <c r="M373" i="5"/>
  <c r="N373" i="5"/>
  <c r="O373" i="5"/>
  <c r="P373" i="5"/>
  <c r="Q373" i="5"/>
  <c r="R373" i="5"/>
  <c r="S373" i="5"/>
  <c r="T373" i="5"/>
  <c r="U373" i="5"/>
  <c r="V373" i="5"/>
  <c r="W373" i="5"/>
  <c r="X373" i="5"/>
  <c r="Y373" i="5"/>
  <c r="Z373" i="5"/>
  <c r="AA373" i="5"/>
  <c r="AB373" i="5"/>
  <c r="AC373" i="5"/>
  <c r="AD373" i="5"/>
  <c r="AE373" i="5"/>
  <c r="AF373" i="5"/>
  <c r="AG373" i="5"/>
  <c r="AH373" i="5"/>
  <c r="AI373" i="5"/>
  <c r="J374" i="5"/>
  <c r="K374" i="5"/>
  <c r="L374" i="5"/>
  <c r="M374" i="5"/>
  <c r="N374" i="5"/>
  <c r="O374" i="5"/>
  <c r="P374" i="5"/>
  <c r="Q374" i="5"/>
  <c r="R374" i="5"/>
  <c r="S374" i="5"/>
  <c r="T374" i="5"/>
  <c r="U374" i="5"/>
  <c r="V374" i="5"/>
  <c r="W374" i="5"/>
  <c r="X374" i="5"/>
  <c r="Y374" i="5"/>
  <c r="Z374" i="5"/>
  <c r="AA374" i="5"/>
  <c r="AB374" i="5"/>
  <c r="AC374" i="5"/>
  <c r="AD374" i="5"/>
  <c r="AE374" i="5"/>
  <c r="AF374" i="5"/>
  <c r="AG374" i="5"/>
  <c r="AH374" i="5"/>
  <c r="AI374" i="5"/>
  <c r="J375" i="5"/>
  <c r="K375" i="5"/>
  <c r="L375" i="5"/>
  <c r="M375" i="5"/>
  <c r="N375" i="5"/>
  <c r="O375" i="5"/>
  <c r="P375" i="5"/>
  <c r="Q375" i="5"/>
  <c r="R375" i="5"/>
  <c r="S375" i="5"/>
  <c r="T375" i="5"/>
  <c r="U375" i="5"/>
  <c r="V375" i="5"/>
  <c r="W375" i="5"/>
  <c r="X375" i="5"/>
  <c r="Y375" i="5"/>
  <c r="Z375" i="5"/>
  <c r="AA375" i="5"/>
  <c r="AB375" i="5"/>
  <c r="AC375" i="5"/>
  <c r="AD375" i="5"/>
  <c r="AE375" i="5"/>
  <c r="AF375" i="5"/>
  <c r="AG375" i="5"/>
  <c r="AH375" i="5"/>
  <c r="AI375" i="5"/>
  <c r="J376" i="5"/>
  <c r="K376" i="5"/>
  <c r="L376" i="5"/>
  <c r="M376" i="5"/>
  <c r="N376" i="5"/>
  <c r="O376" i="5"/>
  <c r="P376" i="5"/>
  <c r="Q376" i="5"/>
  <c r="R376" i="5"/>
  <c r="S376" i="5"/>
  <c r="T376" i="5"/>
  <c r="U376" i="5"/>
  <c r="V376" i="5"/>
  <c r="W376" i="5"/>
  <c r="X376" i="5"/>
  <c r="Y376" i="5"/>
  <c r="Z376" i="5"/>
  <c r="AA376" i="5"/>
  <c r="AB376" i="5"/>
  <c r="AC376" i="5"/>
  <c r="AD376" i="5"/>
  <c r="AE376" i="5"/>
  <c r="AF376" i="5"/>
  <c r="AG376" i="5"/>
  <c r="AH376" i="5"/>
  <c r="AI376" i="5"/>
  <c r="J377" i="5"/>
  <c r="K377" i="5"/>
  <c r="L377" i="5"/>
  <c r="M377" i="5"/>
  <c r="N377" i="5"/>
  <c r="O377" i="5"/>
  <c r="P377" i="5"/>
  <c r="Q377" i="5"/>
  <c r="R377" i="5"/>
  <c r="S377" i="5"/>
  <c r="T377" i="5"/>
  <c r="U377" i="5"/>
  <c r="V377" i="5"/>
  <c r="W377" i="5"/>
  <c r="X377" i="5"/>
  <c r="Y377" i="5"/>
  <c r="Z377" i="5"/>
  <c r="AA377" i="5"/>
  <c r="AB377" i="5"/>
  <c r="AC377" i="5"/>
  <c r="AD377" i="5"/>
  <c r="AE377" i="5"/>
  <c r="AF377" i="5"/>
  <c r="AG377" i="5"/>
  <c r="AH377" i="5"/>
  <c r="AI377" i="5"/>
  <c r="J378" i="5"/>
  <c r="K378" i="5"/>
  <c r="L378" i="5"/>
  <c r="M378" i="5"/>
  <c r="N378" i="5"/>
  <c r="O378" i="5"/>
  <c r="P378" i="5"/>
  <c r="Q378" i="5"/>
  <c r="R378" i="5"/>
  <c r="S378" i="5"/>
  <c r="T378" i="5"/>
  <c r="U378" i="5"/>
  <c r="V378" i="5"/>
  <c r="W378" i="5"/>
  <c r="X378" i="5"/>
  <c r="Y378" i="5"/>
  <c r="Z378" i="5"/>
  <c r="AA378" i="5"/>
  <c r="AB378" i="5"/>
  <c r="AC378" i="5"/>
  <c r="AD378" i="5"/>
  <c r="AE378" i="5"/>
  <c r="AF378" i="5"/>
  <c r="AG378" i="5"/>
  <c r="AH378" i="5"/>
  <c r="AI378" i="5"/>
  <c r="J379" i="5"/>
  <c r="K379" i="5"/>
  <c r="L379" i="5"/>
  <c r="M379" i="5"/>
  <c r="N379" i="5"/>
  <c r="O379" i="5"/>
  <c r="P379" i="5"/>
  <c r="Q379" i="5"/>
  <c r="R379" i="5"/>
  <c r="S379" i="5"/>
  <c r="T379" i="5"/>
  <c r="U379" i="5"/>
  <c r="V379" i="5"/>
  <c r="W379" i="5"/>
  <c r="X379" i="5"/>
  <c r="Y379" i="5"/>
  <c r="Z379" i="5"/>
  <c r="AA379" i="5"/>
  <c r="AB379" i="5"/>
  <c r="AC379" i="5"/>
  <c r="AD379" i="5"/>
  <c r="AE379" i="5"/>
  <c r="AF379" i="5"/>
  <c r="AG379" i="5"/>
  <c r="AH379" i="5"/>
  <c r="AI379" i="5"/>
  <c r="J380" i="5"/>
  <c r="K380" i="5"/>
  <c r="L380" i="5"/>
  <c r="M380" i="5"/>
  <c r="N380" i="5"/>
  <c r="O380" i="5"/>
  <c r="P380" i="5"/>
  <c r="Q380" i="5"/>
  <c r="R380" i="5"/>
  <c r="S380" i="5"/>
  <c r="T380" i="5"/>
  <c r="U380" i="5"/>
  <c r="V380" i="5"/>
  <c r="W380" i="5"/>
  <c r="X380" i="5"/>
  <c r="Y380" i="5"/>
  <c r="Z380" i="5"/>
  <c r="AA380" i="5"/>
  <c r="AB380" i="5"/>
  <c r="AC380" i="5"/>
  <c r="AD380" i="5"/>
  <c r="AE380" i="5"/>
  <c r="AF380" i="5"/>
  <c r="AG380" i="5"/>
  <c r="AH380" i="5"/>
  <c r="AI380" i="5"/>
  <c r="J381" i="5"/>
  <c r="K381" i="5"/>
  <c r="L381" i="5"/>
  <c r="M381" i="5"/>
  <c r="N381" i="5"/>
  <c r="O381" i="5"/>
  <c r="P381" i="5"/>
  <c r="Q381" i="5"/>
  <c r="R381" i="5"/>
  <c r="S381" i="5"/>
  <c r="T381" i="5"/>
  <c r="U381" i="5"/>
  <c r="V381" i="5"/>
  <c r="W381" i="5"/>
  <c r="X381" i="5"/>
  <c r="Y381" i="5"/>
  <c r="Z381" i="5"/>
  <c r="AA381" i="5"/>
  <c r="AB381" i="5"/>
  <c r="AC381" i="5"/>
  <c r="AD381" i="5"/>
  <c r="AE381" i="5"/>
  <c r="AF381" i="5"/>
  <c r="AG381" i="5"/>
  <c r="AH381" i="5"/>
  <c r="AI381" i="5"/>
  <c r="J382" i="5"/>
  <c r="K382" i="5"/>
  <c r="L382" i="5"/>
  <c r="M382" i="5"/>
  <c r="N382" i="5"/>
  <c r="O382" i="5"/>
  <c r="P382" i="5"/>
  <c r="Q382" i="5"/>
  <c r="R382" i="5"/>
  <c r="S382" i="5"/>
  <c r="T382" i="5"/>
  <c r="U382" i="5"/>
  <c r="V382" i="5"/>
  <c r="W382" i="5"/>
  <c r="X382" i="5"/>
  <c r="Y382" i="5"/>
  <c r="Z382" i="5"/>
  <c r="AA382" i="5"/>
  <c r="AB382" i="5"/>
  <c r="AC382" i="5"/>
  <c r="AD382" i="5"/>
  <c r="AE382" i="5"/>
  <c r="AF382" i="5"/>
  <c r="AG382" i="5"/>
  <c r="AH382" i="5"/>
  <c r="AI382" i="5"/>
  <c r="J383" i="5"/>
  <c r="K383" i="5"/>
  <c r="L383" i="5"/>
  <c r="M383" i="5"/>
  <c r="N383" i="5"/>
  <c r="O383" i="5"/>
  <c r="P383" i="5"/>
  <c r="Q383" i="5"/>
  <c r="R383" i="5"/>
  <c r="S383" i="5"/>
  <c r="T383" i="5"/>
  <c r="U383" i="5"/>
  <c r="V383" i="5"/>
  <c r="W383" i="5"/>
  <c r="X383" i="5"/>
  <c r="Y383" i="5"/>
  <c r="Z383" i="5"/>
  <c r="AA383" i="5"/>
  <c r="AB383" i="5"/>
  <c r="AC383" i="5"/>
  <c r="AD383" i="5"/>
  <c r="AE383" i="5"/>
  <c r="AF383" i="5"/>
  <c r="AG383" i="5"/>
  <c r="AH383" i="5"/>
  <c r="AI383" i="5"/>
  <c r="J384" i="5"/>
  <c r="K384" i="5"/>
  <c r="L384" i="5"/>
  <c r="M384" i="5"/>
  <c r="N384" i="5"/>
  <c r="O384" i="5"/>
  <c r="P384" i="5"/>
  <c r="Q384" i="5"/>
  <c r="R384" i="5"/>
  <c r="S384" i="5"/>
  <c r="T384" i="5"/>
  <c r="U384" i="5"/>
  <c r="V384" i="5"/>
  <c r="W384" i="5"/>
  <c r="X384" i="5"/>
  <c r="Y384" i="5"/>
  <c r="Z384" i="5"/>
  <c r="AA384" i="5"/>
  <c r="AB384" i="5"/>
  <c r="AC384" i="5"/>
  <c r="AD384" i="5"/>
  <c r="AE384" i="5"/>
  <c r="AF384" i="5"/>
  <c r="AG384" i="5"/>
  <c r="AH384" i="5"/>
  <c r="AI384" i="5"/>
  <c r="J385" i="5"/>
  <c r="K385" i="5"/>
  <c r="L385" i="5"/>
  <c r="M385" i="5"/>
  <c r="N385" i="5"/>
  <c r="O385" i="5"/>
  <c r="P385" i="5"/>
  <c r="Q385" i="5"/>
  <c r="R385" i="5"/>
  <c r="S385" i="5"/>
  <c r="T385" i="5"/>
  <c r="U385" i="5"/>
  <c r="V385" i="5"/>
  <c r="W385" i="5"/>
  <c r="X385" i="5"/>
  <c r="Y385" i="5"/>
  <c r="Z385" i="5"/>
  <c r="AA385" i="5"/>
  <c r="AB385" i="5"/>
  <c r="AC385" i="5"/>
  <c r="AD385" i="5"/>
  <c r="AE385" i="5"/>
  <c r="AF385" i="5"/>
  <c r="AG385" i="5"/>
  <c r="AH385" i="5"/>
  <c r="AI385" i="5"/>
  <c r="J386" i="5"/>
  <c r="K386" i="5"/>
  <c r="L386" i="5"/>
  <c r="M386" i="5"/>
  <c r="N386" i="5"/>
  <c r="O386" i="5"/>
  <c r="P386" i="5"/>
  <c r="Q386" i="5"/>
  <c r="R386" i="5"/>
  <c r="S386" i="5"/>
  <c r="T386" i="5"/>
  <c r="U386" i="5"/>
  <c r="V386" i="5"/>
  <c r="W386" i="5"/>
  <c r="X386" i="5"/>
  <c r="Y386" i="5"/>
  <c r="Z386" i="5"/>
  <c r="AA386" i="5"/>
  <c r="AB386" i="5"/>
  <c r="AC386" i="5"/>
  <c r="AD386" i="5"/>
  <c r="AE386" i="5"/>
  <c r="AF386" i="5"/>
  <c r="AG386" i="5"/>
  <c r="AH386" i="5"/>
  <c r="AI386" i="5"/>
  <c r="J387" i="5"/>
  <c r="K387" i="5"/>
  <c r="L387" i="5"/>
  <c r="M387" i="5"/>
  <c r="N387" i="5"/>
  <c r="O387" i="5"/>
  <c r="P387" i="5"/>
  <c r="Q387" i="5"/>
  <c r="R387" i="5"/>
  <c r="S387" i="5"/>
  <c r="T387" i="5"/>
  <c r="U387" i="5"/>
  <c r="V387" i="5"/>
  <c r="W387" i="5"/>
  <c r="X387" i="5"/>
  <c r="Y387" i="5"/>
  <c r="Z387" i="5"/>
  <c r="AA387" i="5"/>
  <c r="AB387" i="5"/>
  <c r="AC387" i="5"/>
  <c r="AD387" i="5"/>
  <c r="AE387" i="5"/>
  <c r="AF387" i="5"/>
  <c r="AG387" i="5"/>
  <c r="AH387" i="5"/>
  <c r="AI387" i="5"/>
  <c r="J388" i="5"/>
  <c r="K388" i="5"/>
  <c r="L388" i="5"/>
  <c r="M388" i="5"/>
  <c r="N388" i="5"/>
  <c r="O388" i="5"/>
  <c r="P388" i="5"/>
  <c r="Q388" i="5"/>
  <c r="R388" i="5"/>
  <c r="S388" i="5"/>
  <c r="T388" i="5"/>
  <c r="U388" i="5"/>
  <c r="V388" i="5"/>
  <c r="W388" i="5"/>
  <c r="X388" i="5"/>
  <c r="Y388" i="5"/>
  <c r="Z388" i="5"/>
  <c r="AA388" i="5"/>
  <c r="AB388" i="5"/>
  <c r="AC388" i="5"/>
  <c r="AD388" i="5"/>
  <c r="AE388" i="5"/>
  <c r="AF388" i="5"/>
  <c r="AG388" i="5"/>
  <c r="AH388" i="5"/>
  <c r="AI388" i="5"/>
  <c r="J389" i="5"/>
  <c r="K389" i="5"/>
  <c r="L389" i="5"/>
  <c r="M389" i="5"/>
  <c r="N389" i="5"/>
  <c r="O389" i="5"/>
  <c r="P389" i="5"/>
  <c r="Q389" i="5"/>
  <c r="R389" i="5"/>
  <c r="S389" i="5"/>
  <c r="T389" i="5"/>
  <c r="U389" i="5"/>
  <c r="V389" i="5"/>
  <c r="W389" i="5"/>
  <c r="X389" i="5"/>
  <c r="Y389" i="5"/>
  <c r="Z389" i="5"/>
  <c r="AA389" i="5"/>
  <c r="AB389" i="5"/>
  <c r="AC389" i="5"/>
  <c r="AD389" i="5"/>
  <c r="AE389" i="5"/>
  <c r="AF389" i="5"/>
  <c r="AG389" i="5"/>
  <c r="AH389" i="5"/>
  <c r="AI389" i="5"/>
  <c r="J390" i="5"/>
  <c r="K390" i="5"/>
  <c r="L390" i="5"/>
  <c r="M390" i="5"/>
  <c r="N390" i="5"/>
  <c r="O390" i="5"/>
  <c r="P390" i="5"/>
  <c r="Q390" i="5"/>
  <c r="R390" i="5"/>
  <c r="S390" i="5"/>
  <c r="T390" i="5"/>
  <c r="U390" i="5"/>
  <c r="V390" i="5"/>
  <c r="W390" i="5"/>
  <c r="X390" i="5"/>
  <c r="Y390" i="5"/>
  <c r="Z390" i="5"/>
  <c r="AA390" i="5"/>
  <c r="AB390" i="5"/>
  <c r="AC390" i="5"/>
  <c r="AD390" i="5"/>
  <c r="AE390" i="5"/>
  <c r="AF390" i="5"/>
  <c r="AG390" i="5"/>
  <c r="AH390" i="5"/>
  <c r="AI390" i="5"/>
  <c r="J391" i="5"/>
  <c r="K391" i="5"/>
  <c r="L391" i="5"/>
  <c r="M391" i="5"/>
  <c r="N391" i="5"/>
  <c r="O391" i="5"/>
  <c r="P391" i="5"/>
  <c r="Q391" i="5"/>
  <c r="R391" i="5"/>
  <c r="S391" i="5"/>
  <c r="T391" i="5"/>
  <c r="U391" i="5"/>
  <c r="V391" i="5"/>
  <c r="W391" i="5"/>
  <c r="X391" i="5"/>
  <c r="Y391" i="5"/>
  <c r="Z391" i="5"/>
  <c r="AA391" i="5"/>
  <c r="AB391" i="5"/>
  <c r="AC391" i="5"/>
  <c r="AD391" i="5"/>
  <c r="AE391" i="5"/>
  <c r="AF391" i="5"/>
  <c r="AG391" i="5"/>
  <c r="AH391" i="5"/>
  <c r="AI391" i="5"/>
  <c r="J392" i="5"/>
  <c r="K392" i="5"/>
  <c r="L392" i="5"/>
  <c r="M392" i="5"/>
  <c r="N392" i="5"/>
  <c r="O392" i="5"/>
  <c r="P392" i="5"/>
  <c r="Q392" i="5"/>
  <c r="R392" i="5"/>
  <c r="S392" i="5"/>
  <c r="T392" i="5"/>
  <c r="U392" i="5"/>
  <c r="V392" i="5"/>
  <c r="W392" i="5"/>
  <c r="X392" i="5"/>
  <c r="Y392" i="5"/>
  <c r="Z392" i="5"/>
  <c r="AA392" i="5"/>
  <c r="AB392" i="5"/>
  <c r="AC392" i="5"/>
  <c r="AD392" i="5"/>
  <c r="AE392" i="5"/>
  <c r="AF392" i="5"/>
  <c r="AG392" i="5"/>
  <c r="AH392" i="5"/>
  <c r="AI392" i="5"/>
  <c r="J393" i="5"/>
  <c r="K393" i="5"/>
  <c r="L393" i="5"/>
  <c r="M393" i="5"/>
  <c r="N393" i="5"/>
  <c r="O393" i="5"/>
  <c r="P393" i="5"/>
  <c r="Q393" i="5"/>
  <c r="R393" i="5"/>
  <c r="S393" i="5"/>
  <c r="T393" i="5"/>
  <c r="U393" i="5"/>
  <c r="V393" i="5"/>
  <c r="W393" i="5"/>
  <c r="X393" i="5"/>
  <c r="Y393" i="5"/>
  <c r="Z393" i="5"/>
  <c r="AA393" i="5"/>
  <c r="AB393" i="5"/>
  <c r="AC393" i="5"/>
  <c r="AD393" i="5"/>
  <c r="AE393" i="5"/>
  <c r="AF393" i="5"/>
  <c r="AG393" i="5"/>
  <c r="AH393" i="5"/>
  <c r="AI393" i="5"/>
  <c r="J394" i="5"/>
  <c r="K394" i="5"/>
  <c r="L394" i="5"/>
  <c r="M394" i="5"/>
  <c r="N394" i="5"/>
  <c r="O394" i="5"/>
  <c r="P394" i="5"/>
  <c r="Q394" i="5"/>
  <c r="R394" i="5"/>
  <c r="S394" i="5"/>
  <c r="T394" i="5"/>
  <c r="U394" i="5"/>
  <c r="V394" i="5"/>
  <c r="W394" i="5"/>
  <c r="X394" i="5"/>
  <c r="Y394" i="5"/>
  <c r="Z394" i="5"/>
  <c r="AA394" i="5"/>
  <c r="AB394" i="5"/>
  <c r="AC394" i="5"/>
  <c r="AD394" i="5"/>
  <c r="AE394" i="5"/>
  <c r="AF394" i="5"/>
  <c r="AG394" i="5"/>
  <c r="AH394" i="5"/>
  <c r="AI394" i="5"/>
  <c r="J395" i="5"/>
  <c r="K395" i="5"/>
  <c r="L395" i="5"/>
  <c r="M395" i="5"/>
  <c r="N395" i="5"/>
  <c r="O395" i="5"/>
  <c r="P395" i="5"/>
  <c r="Q395" i="5"/>
  <c r="R395" i="5"/>
  <c r="S395" i="5"/>
  <c r="T395" i="5"/>
  <c r="U395" i="5"/>
  <c r="V395" i="5"/>
  <c r="W395" i="5"/>
  <c r="X395" i="5"/>
  <c r="Y395" i="5"/>
  <c r="Z395" i="5"/>
  <c r="AA395" i="5"/>
  <c r="AB395" i="5"/>
  <c r="AC395" i="5"/>
  <c r="AD395" i="5"/>
  <c r="AE395" i="5"/>
  <c r="AF395" i="5"/>
  <c r="AG395" i="5"/>
  <c r="AH395" i="5"/>
  <c r="AI395" i="5"/>
  <c r="J396" i="5"/>
  <c r="K396" i="5"/>
  <c r="L396" i="5"/>
  <c r="M396" i="5"/>
  <c r="N396" i="5"/>
  <c r="O396" i="5"/>
  <c r="P396" i="5"/>
  <c r="Q396" i="5"/>
  <c r="R396" i="5"/>
  <c r="S396" i="5"/>
  <c r="T396" i="5"/>
  <c r="U396" i="5"/>
  <c r="V396" i="5"/>
  <c r="W396" i="5"/>
  <c r="X396" i="5"/>
  <c r="Y396" i="5"/>
  <c r="Z396" i="5"/>
  <c r="AA396" i="5"/>
  <c r="AB396" i="5"/>
  <c r="AC396" i="5"/>
  <c r="AD396" i="5"/>
  <c r="AE396" i="5"/>
  <c r="AF396" i="5"/>
  <c r="AG396" i="5"/>
  <c r="AH396" i="5"/>
  <c r="AI396" i="5"/>
  <c r="J397" i="5"/>
  <c r="K397" i="5"/>
  <c r="L397" i="5"/>
  <c r="M397" i="5"/>
  <c r="N397" i="5"/>
  <c r="O397" i="5"/>
  <c r="P397" i="5"/>
  <c r="Q397" i="5"/>
  <c r="R397" i="5"/>
  <c r="S397" i="5"/>
  <c r="T397" i="5"/>
  <c r="U397" i="5"/>
  <c r="V397" i="5"/>
  <c r="W397" i="5"/>
  <c r="X397" i="5"/>
  <c r="Y397" i="5"/>
  <c r="Z397" i="5"/>
  <c r="AA397" i="5"/>
  <c r="AB397" i="5"/>
  <c r="AC397" i="5"/>
  <c r="AD397" i="5"/>
  <c r="AE397" i="5"/>
  <c r="AF397" i="5"/>
  <c r="AG397" i="5"/>
  <c r="AH397" i="5"/>
  <c r="AI397" i="5"/>
  <c r="J398" i="5"/>
  <c r="K398" i="5"/>
  <c r="L398" i="5"/>
  <c r="M398" i="5"/>
  <c r="N398" i="5"/>
  <c r="O398" i="5"/>
  <c r="P398" i="5"/>
  <c r="Q398" i="5"/>
  <c r="R398" i="5"/>
  <c r="S398" i="5"/>
  <c r="T398" i="5"/>
  <c r="U398" i="5"/>
  <c r="V398" i="5"/>
  <c r="W398" i="5"/>
  <c r="X398" i="5"/>
  <c r="Y398" i="5"/>
  <c r="Z398" i="5"/>
  <c r="AA398" i="5"/>
  <c r="AB398" i="5"/>
  <c r="AC398" i="5"/>
  <c r="AD398" i="5"/>
  <c r="AE398" i="5"/>
  <c r="AF398" i="5"/>
  <c r="AG398" i="5"/>
  <c r="AH398" i="5"/>
  <c r="AI398" i="5"/>
  <c r="J399" i="5"/>
  <c r="K399" i="5"/>
  <c r="L399" i="5"/>
  <c r="M399" i="5"/>
  <c r="N399" i="5"/>
  <c r="O399" i="5"/>
  <c r="P399" i="5"/>
  <c r="Q399" i="5"/>
  <c r="R399" i="5"/>
  <c r="S399" i="5"/>
  <c r="T399" i="5"/>
  <c r="U399" i="5"/>
  <c r="V399" i="5"/>
  <c r="W399" i="5"/>
  <c r="X399" i="5"/>
  <c r="Y399" i="5"/>
  <c r="Z399" i="5"/>
  <c r="AA399" i="5"/>
  <c r="AB399" i="5"/>
  <c r="AC399" i="5"/>
  <c r="AD399" i="5"/>
  <c r="AE399" i="5"/>
  <c r="AF399" i="5"/>
  <c r="AG399" i="5"/>
  <c r="AH399" i="5"/>
  <c r="AI399" i="5"/>
  <c r="J400" i="5"/>
  <c r="K400" i="5"/>
  <c r="L400" i="5"/>
  <c r="M400" i="5"/>
  <c r="N400" i="5"/>
  <c r="O400" i="5"/>
  <c r="P400" i="5"/>
  <c r="Q400" i="5"/>
  <c r="R400" i="5"/>
  <c r="S400" i="5"/>
  <c r="T400" i="5"/>
  <c r="U400" i="5"/>
  <c r="V400" i="5"/>
  <c r="W400" i="5"/>
  <c r="X400" i="5"/>
  <c r="Y400" i="5"/>
  <c r="Z400" i="5"/>
  <c r="AA400" i="5"/>
  <c r="AB400" i="5"/>
  <c r="AC400" i="5"/>
  <c r="AD400" i="5"/>
  <c r="AE400" i="5"/>
  <c r="AF400" i="5"/>
  <c r="AG400" i="5"/>
  <c r="AH400" i="5"/>
  <c r="AI400" i="5"/>
  <c r="J401" i="5"/>
  <c r="K401" i="5"/>
  <c r="L401" i="5"/>
  <c r="M401" i="5"/>
  <c r="N401" i="5"/>
  <c r="O401" i="5"/>
  <c r="P401" i="5"/>
  <c r="Q401" i="5"/>
  <c r="R401" i="5"/>
  <c r="S401" i="5"/>
  <c r="T401" i="5"/>
  <c r="U401" i="5"/>
  <c r="V401" i="5"/>
  <c r="W401" i="5"/>
  <c r="X401" i="5"/>
  <c r="Y401" i="5"/>
  <c r="Z401" i="5"/>
  <c r="AA401" i="5"/>
  <c r="AB401" i="5"/>
  <c r="AC401" i="5"/>
  <c r="AD401" i="5"/>
  <c r="AE401" i="5"/>
  <c r="AF401" i="5"/>
  <c r="AG401" i="5"/>
  <c r="AH401" i="5"/>
  <c r="AI401" i="5"/>
  <c r="J402" i="5"/>
  <c r="K402" i="5"/>
  <c r="L402" i="5"/>
  <c r="M402" i="5"/>
  <c r="N402" i="5"/>
  <c r="O402" i="5"/>
  <c r="P402" i="5"/>
  <c r="Q402" i="5"/>
  <c r="R402" i="5"/>
  <c r="S402" i="5"/>
  <c r="T402" i="5"/>
  <c r="U402" i="5"/>
  <c r="V402" i="5"/>
  <c r="W402" i="5"/>
  <c r="X402" i="5"/>
  <c r="Y402" i="5"/>
  <c r="Z402" i="5"/>
  <c r="AA402" i="5"/>
  <c r="AB402" i="5"/>
  <c r="AC402" i="5"/>
  <c r="AD402" i="5"/>
  <c r="AE402" i="5"/>
  <c r="AF402" i="5"/>
  <c r="AG402" i="5"/>
  <c r="AH402" i="5"/>
  <c r="AI402" i="5"/>
  <c r="J403" i="5"/>
  <c r="K403" i="5"/>
  <c r="L403" i="5"/>
  <c r="M403" i="5"/>
  <c r="N403" i="5"/>
  <c r="O403" i="5"/>
  <c r="P403" i="5"/>
  <c r="Q403" i="5"/>
  <c r="R403" i="5"/>
  <c r="S403" i="5"/>
  <c r="T403" i="5"/>
  <c r="U403" i="5"/>
  <c r="V403" i="5"/>
  <c r="W403" i="5"/>
  <c r="X403" i="5"/>
  <c r="Y403" i="5"/>
  <c r="Z403" i="5"/>
  <c r="AA403" i="5"/>
  <c r="AB403" i="5"/>
  <c r="AC403" i="5"/>
  <c r="AD403" i="5"/>
  <c r="AE403" i="5"/>
  <c r="AF403" i="5"/>
  <c r="AG403" i="5"/>
  <c r="AH403" i="5"/>
  <c r="AI403" i="5"/>
  <c r="J404" i="5"/>
  <c r="K404" i="5"/>
  <c r="L404" i="5"/>
  <c r="M404" i="5"/>
  <c r="N404" i="5"/>
  <c r="O404" i="5"/>
  <c r="P404" i="5"/>
  <c r="Q404" i="5"/>
  <c r="R404" i="5"/>
  <c r="S404" i="5"/>
  <c r="T404" i="5"/>
  <c r="U404" i="5"/>
  <c r="V404" i="5"/>
  <c r="W404" i="5"/>
  <c r="X404" i="5"/>
  <c r="Y404" i="5"/>
  <c r="Z404" i="5"/>
  <c r="AA404" i="5"/>
  <c r="AB404" i="5"/>
  <c r="AC404" i="5"/>
  <c r="AD404" i="5"/>
  <c r="AE404" i="5"/>
  <c r="AF404" i="5"/>
  <c r="AG404" i="5"/>
  <c r="AH404" i="5"/>
  <c r="AI404" i="5"/>
  <c r="J405" i="5"/>
  <c r="K405" i="5"/>
  <c r="L405" i="5"/>
  <c r="M405" i="5"/>
  <c r="N405" i="5"/>
  <c r="O405" i="5"/>
  <c r="P405" i="5"/>
  <c r="Q405" i="5"/>
  <c r="R405" i="5"/>
  <c r="S405" i="5"/>
  <c r="T405" i="5"/>
  <c r="U405" i="5"/>
  <c r="V405" i="5"/>
  <c r="W405" i="5"/>
  <c r="X405" i="5"/>
  <c r="Y405" i="5"/>
  <c r="Z405" i="5"/>
  <c r="AA405" i="5"/>
  <c r="AB405" i="5"/>
  <c r="AC405" i="5"/>
  <c r="AD405" i="5"/>
  <c r="AE405" i="5"/>
  <c r="AF405" i="5"/>
  <c r="AG405" i="5"/>
  <c r="AH405" i="5"/>
  <c r="AI405" i="5"/>
  <c r="J406" i="5"/>
  <c r="K406" i="5"/>
  <c r="L406" i="5"/>
  <c r="M406" i="5"/>
  <c r="N406" i="5"/>
  <c r="O406" i="5"/>
  <c r="P406" i="5"/>
  <c r="Q406" i="5"/>
  <c r="R406" i="5"/>
  <c r="S406" i="5"/>
  <c r="T406" i="5"/>
  <c r="U406" i="5"/>
  <c r="V406" i="5"/>
  <c r="W406" i="5"/>
  <c r="X406" i="5"/>
  <c r="Y406" i="5"/>
  <c r="Z406" i="5"/>
  <c r="AA406" i="5"/>
  <c r="AB406" i="5"/>
  <c r="AC406" i="5"/>
  <c r="AD406" i="5"/>
  <c r="AE406" i="5"/>
  <c r="AF406" i="5"/>
  <c r="AG406" i="5"/>
  <c r="AH406" i="5"/>
  <c r="AI406" i="5"/>
  <c r="J407" i="5"/>
  <c r="K407" i="5"/>
  <c r="L407" i="5"/>
  <c r="M407" i="5"/>
  <c r="N407" i="5"/>
  <c r="O407" i="5"/>
  <c r="P407" i="5"/>
  <c r="Q407" i="5"/>
  <c r="R407" i="5"/>
  <c r="S407" i="5"/>
  <c r="T407" i="5"/>
  <c r="U407" i="5"/>
  <c r="V407" i="5"/>
  <c r="W407" i="5"/>
  <c r="X407" i="5"/>
  <c r="Y407" i="5"/>
  <c r="Z407" i="5"/>
  <c r="AA407" i="5"/>
  <c r="AB407" i="5"/>
  <c r="AC407" i="5"/>
  <c r="AD407" i="5"/>
  <c r="AE407" i="5"/>
  <c r="AF407" i="5"/>
  <c r="AG407" i="5"/>
  <c r="AH407" i="5"/>
  <c r="AI407" i="5"/>
  <c r="J409" i="5"/>
  <c r="K409" i="5"/>
  <c r="L409" i="5"/>
  <c r="M409" i="5"/>
  <c r="N409" i="5"/>
  <c r="O409" i="5"/>
  <c r="P409" i="5"/>
  <c r="Q409" i="5"/>
  <c r="R409" i="5"/>
  <c r="S409" i="5"/>
  <c r="T409" i="5"/>
  <c r="U409" i="5"/>
  <c r="V409" i="5"/>
  <c r="W409" i="5"/>
  <c r="X409" i="5"/>
  <c r="Y409" i="5"/>
  <c r="Z409" i="5"/>
  <c r="AA409" i="5"/>
  <c r="AB409" i="5"/>
  <c r="AC409" i="5"/>
  <c r="AD409" i="5"/>
  <c r="AE409" i="5"/>
  <c r="AF409" i="5"/>
  <c r="AG409" i="5"/>
  <c r="AH409" i="5"/>
  <c r="AI409" i="5"/>
  <c r="J410" i="5"/>
  <c r="K410" i="5"/>
  <c r="L410" i="5"/>
  <c r="M410" i="5"/>
  <c r="N410" i="5"/>
  <c r="O410" i="5"/>
  <c r="P410" i="5"/>
  <c r="Q410" i="5"/>
  <c r="R410" i="5"/>
  <c r="S410" i="5"/>
  <c r="T410" i="5"/>
  <c r="U410" i="5"/>
  <c r="V410" i="5"/>
  <c r="W410" i="5"/>
  <c r="X410" i="5"/>
  <c r="Y410" i="5"/>
  <c r="Z410" i="5"/>
  <c r="AA410" i="5"/>
  <c r="AB410" i="5"/>
  <c r="AC410" i="5"/>
  <c r="AD410" i="5"/>
  <c r="AE410" i="5"/>
  <c r="AF410" i="5"/>
  <c r="AG410" i="5"/>
  <c r="AH410" i="5"/>
  <c r="AI410" i="5"/>
  <c r="J411" i="5"/>
  <c r="K411" i="5"/>
  <c r="L411" i="5"/>
  <c r="M411" i="5"/>
  <c r="N411" i="5"/>
  <c r="O411" i="5"/>
  <c r="P411" i="5"/>
  <c r="Q411" i="5"/>
  <c r="R411" i="5"/>
  <c r="S411" i="5"/>
  <c r="T411" i="5"/>
  <c r="U411" i="5"/>
  <c r="V411" i="5"/>
  <c r="W411" i="5"/>
  <c r="X411" i="5"/>
  <c r="Y411" i="5"/>
  <c r="Z411" i="5"/>
  <c r="AA411" i="5"/>
  <c r="AB411" i="5"/>
  <c r="AC411" i="5"/>
  <c r="AD411" i="5"/>
  <c r="AE411" i="5"/>
  <c r="AF411" i="5"/>
  <c r="AG411" i="5"/>
  <c r="AH411" i="5"/>
  <c r="AI411" i="5"/>
  <c r="J412" i="5"/>
  <c r="K412" i="5"/>
  <c r="L412" i="5"/>
  <c r="M412" i="5"/>
  <c r="N412" i="5"/>
  <c r="O412" i="5"/>
  <c r="P412" i="5"/>
  <c r="Q412" i="5"/>
  <c r="R412" i="5"/>
  <c r="S412" i="5"/>
  <c r="T412" i="5"/>
  <c r="U412" i="5"/>
  <c r="V412" i="5"/>
  <c r="W412" i="5"/>
  <c r="X412" i="5"/>
  <c r="Y412" i="5"/>
  <c r="Z412" i="5"/>
  <c r="AA412" i="5"/>
  <c r="AB412" i="5"/>
  <c r="AC412" i="5"/>
  <c r="AD412" i="5"/>
  <c r="AE412" i="5"/>
  <c r="AF412" i="5"/>
  <c r="AG412" i="5"/>
  <c r="AH412" i="5"/>
  <c r="AI412" i="5"/>
  <c r="J413" i="5"/>
  <c r="K413" i="5"/>
  <c r="L413" i="5"/>
  <c r="M413" i="5"/>
  <c r="N413" i="5"/>
  <c r="O413" i="5"/>
  <c r="P413" i="5"/>
  <c r="Q413" i="5"/>
  <c r="R413" i="5"/>
  <c r="S413" i="5"/>
  <c r="T413" i="5"/>
  <c r="U413" i="5"/>
  <c r="V413" i="5"/>
  <c r="W413" i="5"/>
  <c r="X413" i="5"/>
  <c r="Y413" i="5"/>
  <c r="Z413" i="5"/>
  <c r="AA413" i="5"/>
  <c r="AB413" i="5"/>
  <c r="AC413" i="5"/>
  <c r="AD413" i="5"/>
  <c r="AE413" i="5"/>
  <c r="AF413" i="5"/>
  <c r="AG413" i="5"/>
  <c r="AH413" i="5"/>
  <c r="AI413" i="5"/>
  <c r="J414" i="5"/>
  <c r="K414" i="5"/>
  <c r="L414" i="5"/>
  <c r="M414" i="5"/>
  <c r="N414" i="5"/>
  <c r="O414" i="5"/>
  <c r="P414" i="5"/>
  <c r="Q414" i="5"/>
  <c r="R414" i="5"/>
  <c r="S414" i="5"/>
  <c r="T414" i="5"/>
  <c r="U414" i="5"/>
  <c r="V414" i="5"/>
  <c r="W414" i="5"/>
  <c r="X414" i="5"/>
  <c r="Y414" i="5"/>
  <c r="Z414" i="5"/>
  <c r="AA414" i="5"/>
  <c r="AB414" i="5"/>
  <c r="AC414" i="5"/>
  <c r="AD414" i="5"/>
  <c r="AE414" i="5"/>
  <c r="AF414" i="5"/>
  <c r="AG414" i="5"/>
  <c r="AH414" i="5"/>
  <c r="AI414" i="5"/>
  <c r="F78" i="5" l="1"/>
  <c r="C87" i="5"/>
  <c r="C74" i="5"/>
  <c r="C71" i="5"/>
  <c r="F82" i="5" l="1"/>
  <c r="H82" i="5" s="1"/>
  <c r="H78" i="5"/>
  <c r="E71" i="5"/>
  <c r="I71" i="5" s="1"/>
  <c r="I69" i="5"/>
  <c r="E74" i="5"/>
  <c r="I74" i="5" s="1"/>
  <c r="E87" i="5"/>
  <c r="I87" i="5" s="1"/>
  <c r="R87" i="5"/>
  <c r="AD87" i="5"/>
  <c r="Y87" i="5"/>
  <c r="Z87" i="5"/>
  <c r="S87" i="5"/>
  <c r="AE87" i="5"/>
  <c r="M87" i="5"/>
  <c r="AB87" i="5"/>
  <c r="Q87" i="5"/>
  <c r="T87" i="5"/>
  <c r="AF87" i="5"/>
  <c r="U87" i="5"/>
  <c r="AG87" i="5"/>
  <c r="J87" i="5"/>
  <c r="V87" i="5"/>
  <c r="AH87" i="5"/>
  <c r="P87" i="5"/>
  <c r="K87" i="5"/>
  <c r="W87" i="5"/>
  <c r="AI87" i="5"/>
  <c r="L87" i="5"/>
  <c r="X87" i="5"/>
  <c r="N87" i="5"/>
  <c r="AC87" i="5"/>
  <c r="O87" i="5"/>
  <c r="AA87" i="5"/>
  <c r="N71" i="5"/>
  <c r="Z71" i="5"/>
  <c r="U71" i="5"/>
  <c r="V71" i="5"/>
  <c r="X71" i="5"/>
  <c r="O71" i="5"/>
  <c r="AA71" i="5"/>
  <c r="AG71" i="5"/>
  <c r="J71" i="5"/>
  <c r="AH71" i="5"/>
  <c r="P71" i="5"/>
  <c r="AB71" i="5"/>
  <c r="L71" i="5"/>
  <c r="Q71" i="5"/>
  <c r="AC71" i="5"/>
  <c r="R71" i="5"/>
  <c r="AD71" i="5"/>
  <c r="M71" i="5"/>
  <c r="S71" i="5"/>
  <c r="AE71" i="5"/>
  <c r="Y71" i="5"/>
  <c r="T71" i="5"/>
  <c r="AF71" i="5"/>
  <c r="K71" i="5"/>
  <c r="W71" i="5"/>
  <c r="AI71" i="5"/>
  <c r="K72" i="5"/>
  <c r="J72" i="5"/>
  <c r="R69" i="5"/>
  <c r="AD69" i="5"/>
  <c r="Y69" i="5"/>
  <c r="N69" i="5"/>
  <c r="P69" i="5"/>
  <c r="S69" i="5"/>
  <c r="AE69" i="5"/>
  <c r="Z69" i="5"/>
  <c r="AC69" i="5"/>
  <c r="T69" i="5"/>
  <c r="AF69" i="5"/>
  <c r="M69" i="5"/>
  <c r="AB69" i="5"/>
  <c r="U69" i="5"/>
  <c r="AG69" i="5"/>
  <c r="J69" i="5"/>
  <c r="V69" i="5"/>
  <c r="AH69" i="5"/>
  <c r="K69" i="5"/>
  <c r="W69" i="5"/>
  <c r="AI69" i="5"/>
  <c r="L69" i="5"/>
  <c r="X69" i="5"/>
  <c r="Q69" i="5"/>
  <c r="O69" i="5"/>
  <c r="AA69" i="5"/>
  <c r="C78" i="5"/>
  <c r="T74" i="5"/>
  <c r="AF74" i="5"/>
  <c r="O74" i="5"/>
  <c r="AA74" i="5"/>
  <c r="R74" i="5"/>
  <c r="AD74" i="5"/>
  <c r="U74" i="5"/>
  <c r="AG74" i="5"/>
  <c r="AB74" i="5"/>
  <c r="S74" i="5"/>
  <c r="AE74" i="5"/>
  <c r="J74" i="5"/>
  <c r="V74" i="5"/>
  <c r="AH74" i="5"/>
  <c r="K74" i="5"/>
  <c r="W74" i="5"/>
  <c r="AI74" i="5"/>
  <c r="L74" i="5"/>
  <c r="X74" i="5"/>
  <c r="P74" i="5"/>
  <c r="M74" i="5"/>
  <c r="Y74" i="5"/>
  <c r="N74" i="5"/>
  <c r="Z74" i="5"/>
  <c r="Q74" i="5"/>
  <c r="AC74" i="5"/>
  <c r="W72" i="5" l="1"/>
  <c r="E78" i="5"/>
  <c r="I78" i="5" s="1"/>
  <c r="I72" i="5"/>
  <c r="U72" i="5"/>
  <c r="AD72" i="5"/>
  <c r="N72" i="5"/>
  <c r="R72" i="5"/>
  <c r="T72" i="5"/>
  <c r="AC72" i="5"/>
  <c r="Y72" i="5"/>
  <c r="V72" i="5"/>
  <c r="AE72" i="5"/>
  <c r="AA72" i="5"/>
  <c r="X72" i="5"/>
  <c r="AB72" i="5"/>
  <c r="P72" i="5"/>
  <c r="O72" i="5"/>
  <c r="L72" i="5"/>
  <c r="M72" i="5"/>
  <c r="AH72" i="5"/>
  <c r="Q72" i="5"/>
  <c r="AG72" i="5"/>
  <c r="Z72" i="5"/>
  <c r="C82" i="5"/>
  <c r="L78" i="5"/>
  <c r="X78" i="5"/>
  <c r="AE78" i="5"/>
  <c r="T78" i="5"/>
  <c r="J78" i="5"/>
  <c r="M78" i="5"/>
  <c r="Y78" i="5"/>
  <c r="S78" i="5"/>
  <c r="AF78" i="5"/>
  <c r="AH78" i="5"/>
  <c r="K78" i="5"/>
  <c r="AI78" i="5"/>
  <c r="N78" i="5"/>
  <c r="Z78" i="5"/>
  <c r="V78" i="5"/>
  <c r="O78" i="5"/>
  <c r="AA78" i="5"/>
  <c r="P78" i="5"/>
  <c r="AB78" i="5"/>
  <c r="W78" i="5"/>
  <c r="Q78" i="5"/>
  <c r="AC78" i="5"/>
  <c r="R78" i="5"/>
  <c r="AD78" i="5"/>
  <c r="U78" i="5"/>
  <c r="AG78" i="5"/>
  <c r="AF72" i="5"/>
  <c r="AI72" i="5"/>
  <c r="S72" i="5"/>
  <c r="C73" i="5"/>
  <c r="E73" i="5" l="1"/>
  <c r="I73" i="5" s="1"/>
  <c r="E82" i="5"/>
  <c r="I82" i="5" s="1"/>
  <c r="J73" i="5"/>
  <c r="V73" i="5"/>
  <c r="AH73" i="5"/>
  <c r="R73" i="5"/>
  <c r="T73" i="5"/>
  <c r="K73" i="5"/>
  <c r="W73" i="5"/>
  <c r="AI73" i="5"/>
  <c r="AD73" i="5"/>
  <c r="U73" i="5"/>
  <c r="AG73" i="5"/>
  <c r="L73" i="5"/>
  <c r="X73" i="5"/>
  <c r="Q73" i="5"/>
  <c r="AF73" i="5"/>
  <c r="M73" i="5"/>
  <c r="Y73" i="5"/>
  <c r="N73" i="5"/>
  <c r="Z73" i="5"/>
  <c r="AC73" i="5"/>
  <c r="O73" i="5"/>
  <c r="AA73" i="5"/>
  <c r="P73" i="5"/>
  <c r="AB73" i="5"/>
  <c r="S73" i="5"/>
  <c r="AE73" i="5"/>
  <c r="P82" i="5"/>
  <c r="AB82" i="5"/>
  <c r="K82" i="5"/>
  <c r="L82" i="5"/>
  <c r="Z82" i="5"/>
  <c r="Q82" i="5"/>
  <c r="AC82" i="5"/>
  <c r="O82" i="5"/>
  <c r="AA82" i="5"/>
  <c r="R82" i="5"/>
  <c r="AD82" i="5"/>
  <c r="N82" i="5"/>
  <c r="S82" i="5"/>
  <c r="AE82" i="5"/>
  <c r="T82" i="5"/>
  <c r="AF82" i="5"/>
  <c r="AI82" i="5"/>
  <c r="U82" i="5"/>
  <c r="AG82" i="5"/>
  <c r="W82" i="5"/>
  <c r="X82" i="5"/>
  <c r="J82" i="5"/>
  <c r="V82" i="5"/>
  <c r="AH82" i="5"/>
  <c r="M82" i="5"/>
  <c r="Y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AG182" i="5"/>
  <c r="AH182" i="5"/>
  <c r="AI182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AI5" i="5" l="1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AI216" i="5"/>
  <c r="AH216" i="5"/>
  <c r="AG216" i="5"/>
  <c r="AF216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AI215" i="5"/>
  <c r="AH215" i="5"/>
  <c r="AG215" i="5"/>
  <c r="AF215" i="5"/>
  <c r="AE215" i="5"/>
  <c r="AD215" i="5"/>
  <c r="AC215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AI214" i="5"/>
  <c r="AH214" i="5"/>
  <c r="AG214" i="5"/>
  <c r="AF214" i="5"/>
  <c r="AE214" i="5"/>
  <c r="AD214" i="5"/>
  <c r="AC214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AI213" i="5"/>
  <c r="AH213" i="5"/>
  <c r="AG213" i="5"/>
  <c r="AF213" i="5"/>
  <c r="AE213" i="5"/>
  <c r="AD213" i="5"/>
  <c r="AC213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AI226" i="5"/>
  <c r="AH226" i="5"/>
  <c r="AG226" i="5"/>
  <c r="AF226" i="5"/>
  <c r="AE226" i="5"/>
  <c r="AD226" i="5"/>
  <c r="AC226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AI225" i="5"/>
  <c r="AH225" i="5"/>
  <c r="AG225" i="5"/>
  <c r="AF225" i="5"/>
  <c r="AE225" i="5"/>
  <c r="AD225" i="5"/>
  <c r="AC225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AI224" i="5"/>
  <c r="AH224" i="5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AI223" i="5"/>
  <c r="AH223" i="5"/>
  <c r="AG223" i="5"/>
  <c r="AF223" i="5"/>
  <c r="AE223" i="5"/>
  <c r="AD223" i="5"/>
  <c r="AC223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AI222" i="5"/>
  <c r="AH222" i="5"/>
  <c r="AG222" i="5"/>
  <c r="AF222" i="5"/>
  <c r="AE222" i="5"/>
  <c r="AD222" i="5"/>
  <c r="AC222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L7" i="5"/>
  <c r="W221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W219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W162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W209" i="5"/>
  <c r="V209" i="5"/>
  <c r="U209" i="5"/>
  <c r="T209" i="5"/>
  <c r="S209" i="5"/>
  <c r="R209" i="5"/>
  <c r="Q209" i="5"/>
  <c r="P209" i="5"/>
  <c r="O209" i="5"/>
  <c r="N209" i="5"/>
  <c r="M209" i="5"/>
  <c r="L209" i="5"/>
  <c r="K209" i="5"/>
  <c r="J209" i="5"/>
  <c r="W208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W207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W205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W201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W198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W212" i="5"/>
  <c r="V212" i="5"/>
  <c r="U212" i="5"/>
  <c r="T212" i="5"/>
  <c r="S212" i="5"/>
  <c r="R212" i="5"/>
  <c r="Q212" i="5"/>
  <c r="P212" i="5"/>
  <c r="O212" i="5"/>
  <c r="N212" i="5"/>
  <c r="M212" i="5"/>
  <c r="L212" i="5"/>
  <c r="K212" i="5"/>
  <c r="J212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W197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W195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W193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W192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W190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W189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W188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W187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W185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W184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W183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W180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W179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W174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W7" i="5"/>
  <c r="V7" i="5"/>
  <c r="U7" i="5"/>
  <c r="T7" i="5"/>
  <c r="S7" i="5"/>
  <c r="R7" i="5"/>
  <c r="Q7" i="5"/>
  <c r="P7" i="5"/>
  <c r="O7" i="5"/>
  <c r="N7" i="5"/>
  <c r="M7" i="5"/>
  <c r="K7" i="5"/>
  <c r="J7" i="5"/>
  <c r="AI221" i="5"/>
  <c r="AH221" i="5"/>
  <c r="AG221" i="5"/>
  <c r="AF221" i="5"/>
  <c r="AE221" i="5"/>
  <c r="AD221" i="5"/>
  <c r="AC221" i="5"/>
  <c r="AB221" i="5"/>
  <c r="AA221" i="5"/>
  <c r="Z221" i="5"/>
  <c r="Y221" i="5"/>
  <c r="X221" i="5"/>
  <c r="AI220" i="5"/>
  <c r="AH220" i="5"/>
  <c r="AG220" i="5"/>
  <c r="AF220" i="5"/>
  <c r="AE220" i="5"/>
  <c r="AD220" i="5"/>
  <c r="AC220" i="5"/>
  <c r="AB220" i="5"/>
  <c r="AA220" i="5"/>
  <c r="Z220" i="5"/>
  <c r="Y220" i="5"/>
  <c r="X220" i="5"/>
  <c r="AI219" i="5"/>
  <c r="AH219" i="5"/>
  <c r="AG219" i="5"/>
  <c r="AF219" i="5"/>
  <c r="AE219" i="5"/>
  <c r="AD219" i="5"/>
  <c r="AC219" i="5"/>
  <c r="AB219" i="5"/>
  <c r="AA219" i="5"/>
  <c r="Z219" i="5"/>
  <c r="Y219" i="5"/>
  <c r="X219" i="5"/>
  <c r="AI218" i="5"/>
  <c r="AH218" i="5"/>
  <c r="AG218" i="5"/>
  <c r="AF218" i="5"/>
  <c r="AE218" i="5"/>
  <c r="AD218" i="5"/>
  <c r="AC218" i="5"/>
  <c r="AB218" i="5"/>
  <c r="AA218" i="5"/>
  <c r="Z218" i="5"/>
  <c r="Y218" i="5"/>
  <c r="X218" i="5"/>
  <c r="AI217" i="5"/>
  <c r="AH217" i="5"/>
  <c r="AG217" i="5"/>
  <c r="AF217" i="5"/>
  <c r="AE217" i="5"/>
  <c r="AD217" i="5"/>
  <c r="AC217" i="5"/>
  <c r="AB217" i="5"/>
  <c r="AA217" i="5"/>
  <c r="Z217" i="5"/>
  <c r="Y217" i="5"/>
  <c r="X217" i="5"/>
  <c r="AI166" i="5"/>
  <c r="AH166" i="5"/>
  <c r="AG166" i="5"/>
  <c r="AF166" i="5"/>
  <c r="AE166" i="5"/>
  <c r="AD166" i="5"/>
  <c r="AC166" i="5"/>
  <c r="AB166" i="5"/>
  <c r="AA166" i="5"/>
  <c r="Z166" i="5"/>
  <c r="Y166" i="5"/>
  <c r="X166" i="5"/>
  <c r="AI165" i="5"/>
  <c r="AH165" i="5"/>
  <c r="AG165" i="5"/>
  <c r="AF165" i="5"/>
  <c r="AE165" i="5"/>
  <c r="AD165" i="5"/>
  <c r="AC165" i="5"/>
  <c r="AB165" i="5"/>
  <c r="AA165" i="5"/>
  <c r="Z165" i="5"/>
  <c r="Y165" i="5"/>
  <c r="X165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AI163" i="5"/>
  <c r="AH163" i="5"/>
  <c r="AG163" i="5"/>
  <c r="AF163" i="5"/>
  <c r="AE163" i="5"/>
  <c r="AD163" i="5"/>
  <c r="AC163" i="5"/>
  <c r="AB163" i="5"/>
  <c r="AA163" i="5"/>
  <c r="Z163" i="5"/>
  <c r="Y163" i="5"/>
  <c r="X163" i="5"/>
  <c r="AI162" i="5"/>
  <c r="AH162" i="5"/>
  <c r="AG162" i="5"/>
  <c r="AF162" i="5"/>
  <c r="AE162" i="5"/>
  <c r="AD162" i="5"/>
  <c r="AC162" i="5"/>
  <c r="AB162" i="5"/>
  <c r="AA162" i="5"/>
  <c r="Z162" i="5"/>
  <c r="Y162" i="5"/>
  <c r="X162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AI160" i="5"/>
  <c r="AH160" i="5"/>
  <c r="AG160" i="5"/>
  <c r="AF160" i="5"/>
  <c r="AE160" i="5"/>
  <c r="AD160" i="5"/>
  <c r="AC160" i="5"/>
  <c r="AB160" i="5"/>
  <c r="AA160" i="5"/>
  <c r="Z160" i="5"/>
  <c r="Y160" i="5"/>
  <c r="X160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AI209" i="5"/>
  <c r="AH209" i="5"/>
  <c r="AG209" i="5"/>
  <c r="AF209" i="5"/>
  <c r="AE209" i="5"/>
  <c r="AD209" i="5"/>
  <c r="AC209" i="5"/>
  <c r="AB209" i="5"/>
  <c r="AA209" i="5"/>
  <c r="Z209" i="5"/>
  <c r="Y209" i="5"/>
  <c r="X209" i="5"/>
  <c r="AI208" i="5"/>
  <c r="AH208" i="5"/>
  <c r="AG208" i="5"/>
  <c r="AF208" i="5"/>
  <c r="AE208" i="5"/>
  <c r="AD208" i="5"/>
  <c r="AC208" i="5"/>
  <c r="AB208" i="5"/>
  <c r="AA208" i="5"/>
  <c r="Z208" i="5"/>
  <c r="Y208" i="5"/>
  <c r="X208" i="5"/>
  <c r="AI207" i="5"/>
  <c r="AH207" i="5"/>
  <c r="AG207" i="5"/>
  <c r="AF207" i="5"/>
  <c r="AE207" i="5"/>
  <c r="AD207" i="5"/>
  <c r="AC207" i="5"/>
  <c r="AB207" i="5"/>
  <c r="AA207" i="5"/>
  <c r="Z207" i="5"/>
  <c r="Y207" i="5"/>
  <c r="X207" i="5"/>
  <c r="AI206" i="5"/>
  <c r="AH206" i="5"/>
  <c r="AG206" i="5"/>
  <c r="AF206" i="5"/>
  <c r="AE206" i="5"/>
  <c r="AD206" i="5"/>
  <c r="AC206" i="5"/>
  <c r="AB206" i="5"/>
  <c r="AA206" i="5"/>
  <c r="Z206" i="5"/>
  <c r="Y206" i="5"/>
  <c r="X206" i="5"/>
  <c r="AI205" i="5"/>
  <c r="AH205" i="5"/>
  <c r="AG205" i="5"/>
  <c r="AF205" i="5"/>
  <c r="AE205" i="5"/>
  <c r="AD205" i="5"/>
  <c r="AC205" i="5"/>
  <c r="AB205" i="5"/>
  <c r="AA205" i="5"/>
  <c r="Z205" i="5"/>
  <c r="Y205" i="5"/>
  <c r="X205" i="5"/>
  <c r="AI204" i="5"/>
  <c r="AH204" i="5"/>
  <c r="AG204" i="5"/>
  <c r="AF204" i="5"/>
  <c r="AE204" i="5"/>
  <c r="AD204" i="5"/>
  <c r="AC204" i="5"/>
  <c r="AB204" i="5"/>
  <c r="AA204" i="5"/>
  <c r="Z204" i="5"/>
  <c r="Y204" i="5"/>
  <c r="X204" i="5"/>
  <c r="AI203" i="5"/>
  <c r="AH203" i="5"/>
  <c r="AG203" i="5"/>
  <c r="AF203" i="5"/>
  <c r="AE203" i="5"/>
  <c r="AD203" i="5"/>
  <c r="AC203" i="5"/>
  <c r="AB203" i="5"/>
  <c r="AA203" i="5"/>
  <c r="Z203" i="5"/>
  <c r="Y203" i="5"/>
  <c r="X203" i="5"/>
  <c r="AI202" i="5"/>
  <c r="AH202" i="5"/>
  <c r="AG202" i="5"/>
  <c r="AF202" i="5"/>
  <c r="AE202" i="5"/>
  <c r="AD202" i="5"/>
  <c r="AC202" i="5"/>
  <c r="AB202" i="5"/>
  <c r="AA202" i="5"/>
  <c r="Z202" i="5"/>
  <c r="Y202" i="5"/>
  <c r="X202" i="5"/>
  <c r="AI201" i="5"/>
  <c r="AH201" i="5"/>
  <c r="AG201" i="5"/>
  <c r="AF201" i="5"/>
  <c r="AE201" i="5"/>
  <c r="AD201" i="5"/>
  <c r="AC201" i="5"/>
  <c r="AB201" i="5"/>
  <c r="AA201" i="5"/>
  <c r="Z201" i="5"/>
  <c r="Y201" i="5"/>
  <c r="X201" i="5"/>
  <c r="AI200" i="5"/>
  <c r="AH200" i="5"/>
  <c r="AG200" i="5"/>
  <c r="AF200" i="5"/>
  <c r="AE200" i="5"/>
  <c r="AD200" i="5"/>
  <c r="AC200" i="5"/>
  <c r="AB200" i="5"/>
  <c r="AA200" i="5"/>
  <c r="Z200" i="5"/>
  <c r="Y200" i="5"/>
  <c r="X200" i="5"/>
  <c r="AI199" i="5"/>
  <c r="AH199" i="5"/>
  <c r="AG199" i="5"/>
  <c r="AF199" i="5"/>
  <c r="AE199" i="5"/>
  <c r="AD199" i="5"/>
  <c r="AC199" i="5"/>
  <c r="AB199" i="5"/>
  <c r="AA199" i="5"/>
  <c r="Z199" i="5"/>
  <c r="Y199" i="5"/>
  <c r="X199" i="5"/>
  <c r="AI198" i="5"/>
  <c r="AH198" i="5"/>
  <c r="AG198" i="5"/>
  <c r="AF198" i="5"/>
  <c r="AE198" i="5"/>
  <c r="AD198" i="5"/>
  <c r="AC198" i="5"/>
  <c r="AB198" i="5"/>
  <c r="AA198" i="5"/>
  <c r="Z198" i="5"/>
  <c r="Y198" i="5"/>
  <c r="X198" i="5"/>
  <c r="AI212" i="5"/>
  <c r="AH212" i="5"/>
  <c r="AG212" i="5"/>
  <c r="AF212" i="5"/>
  <c r="AE212" i="5"/>
  <c r="AD212" i="5"/>
  <c r="AC212" i="5"/>
  <c r="AB212" i="5"/>
  <c r="AA212" i="5"/>
  <c r="Z212" i="5"/>
  <c r="Y212" i="5"/>
  <c r="X212" i="5"/>
  <c r="AI211" i="5"/>
  <c r="AH211" i="5"/>
  <c r="AG211" i="5"/>
  <c r="AF211" i="5"/>
  <c r="AE211" i="5"/>
  <c r="AD211" i="5"/>
  <c r="AC211" i="5"/>
  <c r="AB211" i="5"/>
  <c r="AA211" i="5"/>
  <c r="Z211" i="5"/>
  <c r="Y211" i="5"/>
  <c r="X211" i="5"/>
  <c r="AI210" i="5"/>
  <c r="AH210" i="5"/>
  <c r="AG210" i="5"/>
  <c r="AF210" i="5"/>
  <c r="AE210" i="5"/>
  <c r="AD210" i="5"/>
  <c r="AC210" i="5"/>
  <c r="AB210" i="5"/>
  <c r="AA210" i="5"/>
  <c r="Z210" i="5"/>
  <c r="Y210" i="5"/>
  <c r="X210" i="5"/>
  <c r="AI197" i="5"/>
  <c r="AH197" i="5"/>
  <c r="AG197" i="5"/>
  <c r="AF197" i="5"/>
  <c r="AE197" i="5"/>
  <c r="AD197" i="5"/>
  <c r="AC197" i="5"/>
  <c r="AB197" i="5"/>
  <c r="AA197" i="5"/>
  <c r="Z197" i="5"/>
  <c r="Y197" i="5"/>
  <c r="X197" i="5"/>
  <c r="AI196" i="5"/>
  <c r="AH196" i="5"/>
  <c r="AG196" i="5"/>
  <c r="AF196" i="5"/>
  <c r="AE196" i="5"/>
  <c r="AD196" i="5"/>
  <c r="AC196" i="5"/>
  <c r="AB196" i="5"/>
  <c r="AA196" i="5"/>
  <c r="Z196" i="5"/>
  <c r="Y196" i="5"/>
  <c r="X196" i="5"/>
  <c r="AI195" i="5"/>
  <c r="AH195" i="5"/>
  <c r="AG195" i="5"/>
  <c r="AF195" i="5"/>
  <c r="AE195" i="5"/>
  <c r="AD195" i="5"/>
  <c r="AC195" i="5"/>
  <c r="AB195" i="5"/>
  <c r="AA195" i="5"/>
  <c r="Z195" i="5"/>
  <c r="Y195" i="5"/>
  <c r="X195" i="5"/>
  <c r="AI194" i="5"/>
  <c r="AH194" i="5"/>
  <c r="AG194" i="5"/>
  <c r="AF194" i="5"/>
  <c r="AE194" i="5"/>
  <c r="AD194" i="5"/>
  <c r="AC194" i="5"/>
  <c r="AB194" i="5"/>
  <c r="AA194" i="5"/>
  <c r="Z194" i="5"/>
  <c r="Y194" i="5"/>
  <c r="X194" i="5"/>
  <c r="AI193" i="5"/>
  <c r="AH193" i="5"/>
  <c r="AG193" i="5"/>
  <c r="AF193" i="5"/>
  <c r="AE193" i="5"/>
  <c r="AD193" i="5"/>
  <c r="AC193" i="5"/>
  <c r="AB193" i="5"/>
  <c r="AA193" i="5"/>
  <c r="Z193" i="5"/>
  <c r="Y193" i="5"/>
  <c r="X193" i="5"/>
  <c r="AI192" i="5"/>
  <c r="AH192" i="5"/>
  <c r="AG192" i="5"/>
  <c r="AF192" i="5"/>
  <c r="AE192" i="5"/>
  <c r="AD192" i="5"/>
  <c r="AC192" i="5"/>
  <c r="AB192" i="5"/>
  <c r="AA192" i="5"/>
  <c r="Z192" i="5"/>
  <c r="Y192" i="5"/>
  <c r="X192" i="5"/>
  <c r="AI191" i="5"/>
  <c r="AH191" i="5"/>
  <c r="AG191" i="5"/>
  <c r="AF191" i="5"/>
  <c r="AE191" i="5"/>
  <c r="AD191" i="5"/>
  <c r="AC191" i="5"/>
  <c r="AB191" i="5"/>
  <c r="AA191" i="5"/>
  <c r="Z191" i="5"/>
  <c r="Y191" i="5"/>
  <c r="X191" i="5"/>
  <c r="AI190" i="5"/>
  <c r="AH190" i="5"/>
  <c r="AG190" i="5"/>
  <c r="AF190" i="5"/>
  <c r="AE190" i="5"/>
  <c r="AD190" i="5"/>
  <c r="AC190" i="5"/>
  <c r="AB190" i="5"/>
  <c r="AA190" i="5"/>
  <c r="Z190" i="5"/>
  <c r="Y190" i="5"/>
  <c r="X190" i="5"/>
  <c r="AI189" i="5"/>
  <c r="AH189" i="5"/>
  <c r="AG189" i="5"/>
  <c r="AF189" i="5"/>
  <c r="AE189" i="5"/>
  <c r="AD189" i="5"/>
  <c r="AC189" i="5"/>
  <c r="AB189" i="5"/>
  <c r="AA189" i="5"/>
  <c r="Z189" i="5"/>
  <c r="Y189" i="5"/>
  <c r="X189" i="5"/>
  <c r="AI188" i="5"/>
  <c r="AH188" i="5"/>
  <c r="AG188" i="5"/>
  <c r="AF188" i="5"/>
  <c r="AE188" i="5"/>
  <c r="AD188" i="5"/>
  <c r="AC188" i="5"/>
  <c r="AB188" i="5"/>
  <c r="AA188" i="5"/>
  <c r="Z188" i="5"/>
  <c r="Y188" i="5"/>
  <c r="X188" i="5"/>
  <c r="AI187" i="5"/>
  <c r="AH187" i="5"/>
  <c r="AG187" i="5"/>
  <c r="AF187" i="5"/>
  <c r="AE187" i="5"/>
  <c r="AD187" i="5"/>
  <c r="AC187" i="5"/>
  <c r="AB187" i="5"/>
  <c r="AA187" i="5"/>
  <c r="Z187" i="5"/>
  <c r="Y187" i="5"/>
  <c r="X187" i="5"/>
  <c r="AI186" i="5"/>
  <c r="AH186" i="5"/>
  <c r="AG186" i="5"/>
  <c r="AF186" i="5"/>
  <c r="AE186" i="5"/>
  <c r="AD186" i="5"/>
  <c r="AC186" i="5"/>
  <c r="AB186" i="5"/>
  <c r="AA186" i="5"/>
  <c r="Z186" i="5"/>
  <c r="Y186" i="5"/>
  <c r="X186" i="5"/>
  <c r="AI185" i="5"/>
  <c r="AH185" i="5"/>
  <c r="AG185" i="5"/>
  <c r="AF185" i="5"/>
  <c r="AE185" i="5"/>
  <c r="AD185" i="5"/>
  <c r="AC185" i="5"/>
  <c r="AB185" i="5"/>
  <c r="AA185" i="5"/>
  <c r="Z185" i="5"/>
  <c r="Y185" i="5"/>
  <c r="X185" i="5"/>
  <c r="AI184" i="5"/>
  <c r="AH184" i="5"/>
  <c r="AG184" i="5"/>
  <c r="AF184" i="5"/>
  <c r="AE184" i="5"/>
  <c r="AD184" i="5"/>
  <c r="AC184" i="5"/>
  <c r="AB184" i="5"/>
  <c r="AA184" i="5"/>
  <c r="Z184" i="5"/>
  <c r="Y184" i="5"/>
  <c r="X184" i="5"/>
  <c r="AI183" i="5"/>
  <c r="AH183" i="5"/>
  <c r="AG183" i="5"/>
  <c r="AF183" i="5"/>
  <c r="AE183" i="5"/>
  <c r="AD183" i="5"/>
  <c r="AC183" i="5"/>
  <c r="AB183" i="5"/>
  <c r="AA183" i="5"/>
  <c r="Z183" i="5"/>
  <c r="Y183" i="5"/>
  <c r="X183" i="5"/>
  <c r="AI181" i="5"/>
  <c r="AH181" i="5"/>
  <c r="AG181" i="5"/>
  <c r="AF181" i="5"/>
  <c r="AE181" i="5"/>
  <c r="AD181" i="5"/>
  <c r="AC181" i="5"/>
  <c r="AB181" i="5"/>
  <c r="AA181" i="5"/>
  <c r="Z181" i="5"/>
  <c r="Y181" i="5"/>
  <c r="X181" i="5"/>
  <c r="AI180" i="5"/>
  <c r="AH180" i="5"/>
  <c r="AG180" i="5"/>
  <c r="AF180" i="5"/>
  <c r="AE180" i="5"/>
  <c r="AD180" i="5"/>
  <c r="AC180" i="5"/>
  <c r="AB180" i="5"/>
  <c r="AA180" i="5"/>
  <c r="Z180" i="5"/>
  <c r="Y180" i="5"/>
  <c r="X180" i="5"/>
  <c r="AI179" i="5"/>
  <c r="AH179" i="5"/>
  <c r="AG179" i="5"/>
  <c r="AF179" i="5"/>
  <c r="AE179" i="5"/>
  <c r="AD179" i="5"/>
  <c r="AC179" i="5"/>
  <c r="AB179" i="5"/>
  <c r="AA179" i="5"/>
  <c r="Z179" i="5"/>
  <c r="Y179" i="5"/>
  <c r="X179" i="5"/>
  <c r="AI178" i="5"/>
  <c r="AH178" i="5"/>
  <c r="AG178" i="5"/>
  <c r="AF178" i="5"/>
  <c r="AE178" i="5"/>
  <c r="AD178" i="5"/>
  <c r="AC178" i="5"/>
  <c r="AB178" i="5"/>
  <c r="AA178" i="5"/>
  <c r="Z178" i="5"/>
  <c r="Y178" i="5"/>
  <c r="X178" i="5"/>
  <c r="AI176" i="5"/>
  <c r="AH176" i="5"/>
  <c r="AG176" i="5"/>
  <c r="AF176" i="5"/>
  <c r="AE176" i="5"/>
  <c r="AD176" i="5"/>
  <c r="AC176" i="5"/>
  <c r="AB176" i="5"/>
  <c r="AA176" i="5"/>
  <c r="Z176" i="5"/>
  <c r="Y176" i="5"/>
  <c r="X176" i="5"/>
  <c r="AI175" i="5"/>
  <c r="AH175" i="5"/>
  <c r="AG175" i="5"/>
  <c r="AF175" i="5"/>
  <c r="AE175" i="5"/>
  <c r="AD175" i="5"/>
  <c r="AC175" i="5"/>
  <c r="AB175" i="5"/>
  <c r="AA175" i="5"/>
  <c r="Z175" i="5"/>
  <c r="Y175" i="5"/>
  <c r="X175" i="5"/>
  <c r="AI174" i="5"/>
  <c r="AH174" i="5"/>
  <c r="AG174" i="5"/>
  <c r="AF174" i="5"/>
  <c r="AE174" i="5"/>
  <c r="AD174" i="5"/>
  <c r="AC174" i="5"/>
  <c r="AB174" i="5"/>
  <c r="AA174" i="5"/>
  <c r="Z174" i="5"/>
  <c r="Y174" i="5"/>
  <c r="X174" i="5"/>
  <c r="AI173" i="5"/>
  <c r="AH173" i="5"/>
  <c r="AG173" i="5"/>
  <c r="AF173" i="5"/>
  <c r="AE173" i="5"/>
  <c r="AD173" i="5"/>
  <c r="AC173" i="5"/>
  <c r="AB173" i="5"/>
  <c r="AA173" i="5"/>
  <c r="Z173" i="5"/>
  <c r="Y173" i="5"/>
  <c r="X173" i="5"/>
  <c r="AI172" i="5"/>
  <c r="AH172" i="5"/>
  <c r="AG172" i="5"/>
  <c r="AF172" i="5"/>
  <c r="AE172" i="5"/>
  <c r="AD172" i="5"/>
  <c r="AC172" i="5"/>
  <c r="AB172" i="5"/>
  <c r="AA172" i="5"/>
  <c r="Z172" i="5"/>
  <c r="Y172" i="5"/>
  <c r="X172" i="5"/>
  <c r="AI171" i="5"/>
  <c r="AH171" i="5"/>
  <c r="AG171" i="5"/>
  <c r="AF171" i="5"/>
  <c r="AE171" i="5"/>
  <c r="AD171" i="5"/>
  <c r="AC171" i="5"/>
  <c r="AB171" i="5"/>
  <c r="AA171" i="5"/>
  <c r="Z171" i="5"/>
  <c r="Y171" i="5"/>
  <c r="X171" i="5"/>
  <c r="AI170" i="5"/>
  <c r="AH170" i="5"/>
  <c r="AG170" i="5"/>
  <c r="AF170" i="5"/>
  <c r="AE170" i="5"/>
  <c r="AD170" i="5"/>
  <c r="AC170" i="5"/>
  <c r="AB170" i="5"/>
  <c r="AA170" i="5"/>
  <c r="Z170" i="5"/>
  <c r="Y170" i="5"/>
  <c r="X170" i="5"/>
  <c r="AI169" i="5"/>
  <c r="AH169" i="5"/>
  <c r="AG169" i="5"/>
  <c r="AF169" i="5"/>
  <c r="AE169" i="5"/>
  <c r="AD169" i="5"/>
  <c r="AC169" i="5"/>
  <c r="AB169" i="5"/>
  <c r="AA169" i="5"/>
  <c r="Z169" i="5"/>
  <c r="Y169" i="5"/>
  <c r="X169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AI167" i="5"/>
  <c r="AH167" i="5"/>
  <c r="AG167" i="5"/>
  <c r="AF167" i="5"/>
  <c r="AE167" i="5"/>
  <c r="AD167" i="5"/>
  <c r="AC167" i="5"/>
  <c r="AB167" i="5"/>
  <c r="AA167" i="5"/>
  <c r="Z167" i="5"/>
  <c r="Y167" i="5"/>
  <c r="X167" i="5"/>
  <c r="AI10" i="5"/>
  <c r="AH10" i="5"/>
  <c r="AG10" i="5"/>
  <c r="AF10" i="5"/>
  <c r="AE10" i="5"/>
  <c r="AD10" i="5"/>
  <c r="AC10" i="5"/>
  <c r="AB10" i="5"/>
  <c r="AA10" i="5"/>
  <c r="Z10" i="5"/>
  <c r="Y10" i="5"/>
  <c r="X10" i="5"/>
  <c r="AI8" i="5"/>
  <c r="AH8" i="5"/>
  <c r="AG8" i="5"/>
  <c r="AF8" i="5"/>
  <c r="AE8" i="5"/>
  <c r="AD8" i="5"/>
  <c r="AC8" i="5"/>
  <c r="AB8" i="5"/>
  <c r="AA8" i="5"/>
  <c r="Z8" i="5"/>
  <c r="Y8" i="5"/>
  <c r="X8" i="5"/>
  <c r="H5" i="5" l="1"/>
  <c r="I5" i="5" s="1"/>
  <c r="AI177" i="5" l="1"/>
  <c r="AH177" i="5"/>
  <c r="AG177" i="5"/>
  <c r="AF177" i="5"/>
  <c r="AE177" i="5"/>
  <c r="AD177" i="5"/>
  <c r="AC177" i="5"/>
  <c r="AB177" i="5"/>
  <c r="AA177" i="5"/>
  <c r="Z177" i="5"/>
  <c r="Y177" i="5"/>
  <c r="X177" i="5"/>
  <c r="AI7" i="5"/>
  <c r="AH7" i="5"/>
  <c r="AG7" i="5"/>
  <c r="AF7" i="5"/>
  <c r="AE7" i="5"/>
  <c r="AD7" i="5"/>
  <c r="AC7" i="5"/>
  <c r="AB7" i="5"/>
  <c r="AA7" i="5"/>
  <c r="Z7" i="5"/>
  <c r="Y7" i="5"/>
  <c r="X7" i="5"/>
</calcChain>
</file>

<file path=xl/sharedStrings.xml><?xml version="1.0" encoding="utf-8"?>
<sst xmlns="http://schemas.openxmlformats.org/spreadsheetml/2006/main" count="968" uniqueCount="749">
  <si>
    <t>План</t>
  </si>
  <si>
    <t>Дата начала</t>
  </si>
  <si>
    <t xml:space="preserve">Дата завершения </t>
  </si>
  <si>
    <t>Параметры графика</t>
  </si>
  <si>
    <t>Наименование работ</t>
  </si>
  <si>
    <t>Готовность, %</t>
  </si>
  <si>
    <t>отставание/ опережение, дней</t>
  </si>
  <si>
    <t>Получение разрешения на ввод объекта в эксплуатацию</t>
  </si>
  <si>
    <t>Факт</t>
  </si>
  <si>
    <t xml:space="preserve">Дата начала </t>
  </si>
  <si>
    <t>ПРОЕКТ В ЦЕЛОМ СТАРТ</t>
  </si>
  <si>
    <t>Оформление верхнеуровневой Дорожной карты проекта</t>
  </si>
  <si>
    <t>Оформление договора купли-продажи имущества/регистрация права на имущество. Оформление аренды ЗУ и регистрация права</t>
  </si>
  <si>
    <t xml:space="preserve">Исполнитель </t>
  </si>
  <si>
    <t>Документы</t>
  </si>
  <si>
    <t xml:space="preserve">Ответсвенный </t>
  </si>
  <si>
    <t>2026 год</t>
  </si>
  <si>
    <t>2027 год</t>
  </si>
  <si>
    <t>Мирзоян А.</t>
  </si>
  <si>
    <t xml:space="preserve">Договор заключен на </t>
  </si>
  <si>
    <t>Оформление договора юр лица (аренда помещения )</t>
  </si>
  <si>
    <t>ПЛАН ЗАПУСКА ПРОЕКТА</t>
  </si>
  <si>
    <t>Техническое задание на подготовку документации по планировке территории (ДПТ), ТЗ на подготовку инженерных изысканий</t>
  </si>
  <si>
    <t>Принятие решения уполномоченным органом о разрешении подготовки ДПТ (проект планировки территории и проект межевания территории, ППТ и ПМТ)</t>
  </si>
  <si>
    <t>Выполнение инженерных изысканий в объеме, предусмотренном ДПТ</t>
  </si>
  <si>
    <t>Выбор исполнителя на выполнение инженерных изысканий</t>
  </si>
  <si>
    <t>инженерно-геодезические изыскания</t>
  </si>
  <si>
    <t>инженерно-геологические изыскания</t>
  </si>
  <si>
    <t>инженерно-гидрометеорологические изыскания</t>
  </si>
  <si>
    <t>инженерно-экологические изыскания</t>
  </si>
  <si>
    <t>ТОМ 1. Разработка ДПТ (документация по планировке территории)</t>
  </si>
  <si>
    <t>Выбор исполнителя на разработку проекта планировки территории</t>
  </si>
  <si>
    <t>Том1. Основная (утверждаемая) часть проекта планировки территории</t>
  </si>
  <si>
    <t>1.Пояснительная записка</t>
  </si>
  <si>
    <t>2.Графические материалы:</t>
  </si>
  <si>
    <t>Чертеж планировки территории. Чертеж границ существующих и планируемых элементов планировочной структуры</t>
  </si>
  <si>
    <t>Чертеж планировки территории. Чертеж границ зон планируемого размещения объектов капитального строительства</t>
  </si>
  <si>
    <t>Чертеж планировки территории. Чертеж красных линий, чертеж линий обозначающих дороги, улицы, проезды, линии связи, объекты инж. И транспортной инфрас-р, проходы к водным объектам общего пользования их береговым полосам</t>
  </si>
  <si>
    <t>ТОМ 2 . Материалы по обоснованию проекта планировки территории</t>
  </si>
  <si>
    <t>Схема расположения элементов планировочной структуры в структуре поселения</t>
  </si>
  <si>
    <t>Схема использования территории в период подготовки проекта планировки территории</t>
  </si>
  <si>
    <t>Схема архитектурно-планировочной организации, благоустройства и озеленения территории</t>
  </si>
  <si>
    <t>Схема организации улично-дорожной сети, движения транспорта и пешеходов</t>
  </si>
  <si>
    <t>Схема размещения сетей и сооружений инженерно-технического обеспечения</t>
  </si>
  <si>
    <t>Схема вертикальной планировки, инженерной подготовки и инженерной защиты территории</t>
  </si>
  <si>
    <t>Схема границ зон с особыми условиями использования территории</t>
  </si>
  <si>
    <t>Разбивочный чертеж красных линий</t>
  </si>
  <si>
    <t>Схема очередности планируемого развития территории</t>
  </si>
  <si>
    <t>Схема транспортного обслуживания</t>
  </si>
  <si>
    <t>Проведение общественных обсуждений и слушаний по ДПТ</t>
  </si>
  <si>
    <t>Утверждение уполномоченным органом документации по планировке территории</t>
  </si>
  <si>
    <t>Выполнение межевых работ по образованию земельных участков, на основе ПМТ</t>
  </si>
  <si>
    <t>Передача ПМТ в Администрацию</t>
  </si>
  <si>
    <t>Подготовка распоряжения о назначении общественных слушаний</t>
  </si>
  <si>
    <t>Старт общественных слушаний</t>
  </si>
  <si>
    <t>Подготовка протокола и заключения по результатам общественных слушаний</t>
  </si>
  <si>
    <t>Публикация результатов</t>
  </si>
  <si>
    <t>Подготовка Проекта Постановления об утверждении ПМТ</t>
  </si>
  <si>
    <t>Подписание постановления об утверждении ПМТ</t>
  </si>
  <si>
    <t>Подача в документов в госкомрегистр. С целью перераспределения,определения кадастровой стоимости</t>
  </si>
  <si>
    <t>Подготовка и подписание соглашения о перераспределении</t>
  </si>
  <si>
    <t>Оплата и госрегистрация</t>
  </si>
  <si>
    <t>Заявление в уполномоченный орган на предоставлении разрешения на условно разрешенный вид использования земельного участка</t>
  </si>
  <si>
    <t>Обоснование необходимости предоставления разрешения на условно разрешенный вид использования земельного участка, графическая и текстовая часть</t>
  </si>
  <si>
    <t>Подготовка распоряжения о назначении общественных слушаний и публикация</t>
  </si>
  <si>
    <t>Публикация и старт ОС по объединению всех участков в один</t>
  </si>
  <si>
    <t>Проведение заседания комиссии по ПЗЗ , подготовка протокола, рекомендаций</t>
  </si>
  <si>
    <t>Подготовка протокола и заключения,публикация</t>
  </si>
  <si>
    <t>Подготовка и подписание Постановления о разрешении на УРВИ</t>
  </si>
  <si>
    <t>Подготовка и выдача технического задания на разработку эскизного проекта тендерному отделу</t>
  </si>
  <si>
    <t>Проведение тендера на разработку эскизного проекта</t>
  </si>
  <si>
    <t>Получение коммерческих предложений и выбор исполнителей на разработку эскизного проекта</t>
  </si>
  <si>
    <t>Получение градостроительного плана на земельный участок.</t>
  </si>
  <si>
    <t>Сбор документов для подготовки ГПЗУ</t>
  </si>
  <si>
    <t>Подготовка ГПЗУ (заявление)</t>
  </si>
  <si>
    <t>Направление ГПЗУ в Администрацию</t>
  </si>
  <si>
    <t>Получение приказа об утверждении ГПЗУ. Получение ГПЗУ</t>
  </si>
  <si>
    <t>Нейминг и разработка фирменного стиля</t>
  </si>
  <si>
    <t>Исследование целевой аудитории, анализ рынка, конкурентов, выдача уникального торгового предложения</t>
  </si>
  <si>
    <t>Получение эскизного проекта</t>
  </si>
  <si>
    <t>Формирование предварительной финансовой модели</t>
  </si>
  <si>
    <t>Сбор сведений из государственной информационной системы обеспечения градостроительной деятельности (при наличии):</t>
  </si>
  <si>
    <t>Документы территориального планирования субъектов РФ, муниципальных образований</t>
  </si>
  <si>
    <t>Градостроительное зонирование (сведения, документы и материалы)</t>
  </si>
  <si>
    <t>Сведения о наличии инженерных изысканий (архив)</t>
  </si>
  <si>
    <t>Зоны с особыми условиями территории (ЗОУИТ) (обязательно)</t>
  </si>
  <si>
    <t>План подземных и наземных коммуникаций (архивная топографическая съемка)</t>
  </si>
  <si>
    <t>Сведения о резервировании земель, сведения об ограниченности в обороте земель</t>
  </si>
  <si>
    <t>Особо охраняемые природные территории (федеральные, региональные, местные)</t>
  </si>
  <si>
    <t>Лесничества</t>
  </si>
  <si>
    <t>Сведения ЕГРН в электронном виде (КПТ)</t>
  </si>
  <si>
    <t>Выезд на место локации, фотосъемка ЗУ, аэрофотосъемка (при необходимости)</t>
  </si>
  <si>
    <t>Проведение тендера</t>
  </si>
  <si>
    <t>Сбор коммерческих предложений и выполнение работ по наличию взрывоопасных предметов</t>
  </si>
  <si>
    <t>Получение отчета по наличию взрывоопасных предметов</t>
  </si>
  <si>
    <t>Организация заключения договоров на санитарно-химические исследования почвы и радиационное обследование земельного участка, получение протоколов, экспертного заключения</t>
  </si>
  <si>
    <t>Получение заключения по значениям фоновой концентрации вредных веществ в атмосфере и сведений о средних многолетних метеорологических характеристиках района расположения объекта</t>
  </si>
  <si>
    <t>Утвержденное заказчиком и согласованное Управлением соцзащиты задание на проектирование</t>
  </si>
  <si>
    <t>ПОЛУЧЕНИЕ СОГЛАСОВАНИЙ (ЗОУИТ) (при необходимости)</t>
  </si>
  <si>
    <t>ПРИДОРОЖНЫЕ ПОЛОСЫ, решение об установлении придорожных полос частных автомобильных дорог или об изменении таких придорожных полос</t>
  </si>
  <si>
    <t>ПРИАЭРОДРОМНЫЕ ТЕРРИТОРИИ, решение об установлении или изменении приаэродромной территории</t>
  </si>
  <si>
    <t>ЗОНЫ ОХРАНЯЕМОГО ОБЪЕКТА, правовой акт Федеральной службы охраны Российской Федерации об установлении (изменении или о прекращении существования) зоны охраняемого объекта</t>
  </si>
  <si>
    <t>ЗОНЫ ЗАТОПЛЕНИЯ И ПОДТОПЛЕНИЯ, акт Федерального агентства водных ресурсов (его территориального органа) об установлении или изменении зон затопления, подтопления Запрос в уполномоченный орган</t>
  </si>
  <si>
    <t>ВОДООХРАННЫЕ ЗОНЫ И ГРАНИЦЫ ПРИБРЕЖНЫХ ЗАЩИТНЫХ ПОЛОС, ЗОНЫ ГОРНО-САНИТАРНОЙ ОХРАНЫ КУРОРТОВ</t>
  </si>
  <si>
    <t>Выполнение работ по инженерным изысканиям</t>
  </si>
  <si>
    <t>Сбор коммерческих предложений на выполнение инженерных изысканий</t>
  </si>
  <si>
    <t>Выбор исполнителя инженерных изысканий и заключение договора</t>
  </si>
  <si>
    <t>Инженерно-экологические изыскания</t>
  </si>
  <si>
    <t>Выполнение инженерно-экологических изысканий</t>
  </si>
  <si>
    <t>Формирование отчета инженерно-экологические изыскания</t>
  </si>
  <si>
    <t>Приемка работы инженерно-экологические изыскания</t>
  </si>
  <si>
    <t>Инженерно-геологические изыскания</t>
  </si>
  <si>
    <t>Выполнение инженерно-геологических изысканий</t>
  </si>
  <si>
    <t>Формирование отчета инженерно-геологические изыскания</t>
  </si>
  <si>
    <t>Приемка работы инженерно-геологических изыскания</t>
  </si>
  <si>
    <t>Инженерно-геодезические изыскания</t>
  </si>
  <si>
    <t>Выполнение инженерно-геодезические изысканий</t>
  </si>
  <si>
    <t>Подготовка отчета инженерно-геодезические изыскания</t>
  </si>
  <si>
    <t>Приемка работы инженерно-геодезические изыскания</t>
  </si>
  <si>
    <t>Инженерно-гидрометеорологические изыскания</t>
  </si>
  <si>
    <t>Выполнение инженерно-гидрометеорологические изысканий</t>
  </si>
  <si>
    <t>Подготовка отчета инженерно-гидрометеорологические изыскания</t>
  </si>
  <si>
    <t>Приемка работы инженерно-гидрометеорологические изыскания</t>
  </si>
  <si>
    <t>Выбор Генерального проектировщика проекта</t>
  </si>
  <si>
    <t>Сбор коммерческих предложений</t>
  </si>
  <si>
    <t>Проведение тендера, заключение договора с победителем</t>
  </si>
  <si>
    <t>Разработка проектной документации</t>
  </si>
  <si>
    <t>Раздел 1. (ПЗ) Пояснительная записка</t>
  </si>
  <si>
    <t>Раздел 2. (ПЗУ) Схема планировочной организации земельного участка</t>
  </si>
  <si>
    <t>Раздел 3. (АР) Архитектурные решения</t>
  </si>
  <si>
    <t>Раздел 4. (КР) Конструктивные и объемно-планировочные решения</t>
  </si>
  <si>
    <t>Раздел 5. (ИОС)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решений:</t>
  </si>
  <si>
    <t>«Система электроснабжения. Внутренние сети»</t>
  </si>
  <si>
    <t>«Электроосвещение и электрооборудование»</t>
  </si>
  <si>
    <t>«Молниезащита и заземление»</t>
  </si>
  <si>
    <t>«Освещение на благоустройстве»</t>
  </si>
  <si>
    <t>«Система водоснабжения. Внутренние сети»</t>
  </si>
  <si>
    <t>«Водомерные узлы холодного и горячего водоснабжения»</t>
  </si>
  <si>
    <t>«Система водоотведения. Внутренние сети»</t>
  </si>
  <si>
    <t>«Ливневая канализация»</t>
  </si>
  <si>
    <t>«Отопление»</t>
  </si>
  <si>
    <t>«Теплоснабжение. Индивидуальный тепловой пункт. Тепломеханическая и электротехническая часть, автоматизация и управление»</t>
  </si>
  <si>
    <t>«Внутриплощадочные наружные тепловые сети (согласно ТУ)»</t>
  </si>
  <si>
    <t>«Сети связи. Внутриплощадочные наружные сети (согласно ТУ)»</t>
  </si>
  <si>
    <t>«Сети связи. Интернет. Телефонизация. Телевидение. Радиофикация, СКУД, Диспетчеризация лифтов, Система охранного телевидения»</t>
  </si>
  <si>
    <t>«Сети связи. Автоматическая пожарная сигнализация и система оповещения и управления эвакуацией»</t>
  </si>
  <si>
    <t>Подраздел 5.6. «Автоматизация и диспетчеризация инженерных систем»</t>
  </si>
  <si>
    <t>Подраздел 5.7. «Технологические решения»</t>
  </si>
  <si>
    <t>Раздел 6. (ПОС) Проект организации строительства.</t>
  </si>
  <si>
    <t>Раздел 7. (ПОД) Проект организации работ по сносу или демонтажу объектов капитального строительства (при необходимости).</t>
  </si>
  <si>
    <t>Перечень мероприятий по охране окружающей среды</t>
  </si>
  <si>
    <t>Проект технологического регламента обращения со строительными отходами на объекте</t>
  </si>
  <si>
    <t>Раздел 9. (МПБ) Мероприятия по обеспечению пожарной безопасности, в составе книг:</t>
  </si>
  <si>
    <t>Мероприятия по обеспечению пожарной безопасности</t>
  </si>
  <si>
    <t>Автоматическая установка пожарной сигнализации. Система оповещения и управления эвакуацией людей при пожаре</t>
  </si>
  <si>
    <t>Автоматика противопожарной защиты</t>
  </si>
  <si>
    <t>Раздел 10. (ОДИ) Мероприятия по обеспечению доступа инвалидов</t>
  </si>
  <si>
    <t>Раздел 10.1. Мероприятия по обеспечению соблюдений требований энергетической эффективности и требований оснащенности зданий, строений, сооружений приборами учета и используемых энергетических ресурсов.</t>
  </si>
  <si>
    <t>Раздел 12. Иная документация:</t>
  </si>
  <si>
    <t>Раздел 12.1 (ТБЭ) Требования к обеспечению безопасной эксплуатации объекта капитального строительства.</t>
  </si>
  <si>
    <t>Раздел 12.2 Сведения о нормативной периодичности выполнения работ по капитальному ремонту многоквартирного дома, необходимых для обеспечения безопасной эксплуатации такого дома, об объеме и составе указанных работ.</t>
  </si>
  <si>
    <t>ТЭП</t>
  </si>
  <si>
    <t>Согласование решений с Генеральным подрядчиком</t>
  </si>
  <si>
    <t>Получение откорректированной ПД</t>
  </si>
  <si>
    <t>Повторная проверка ПД</t>
  </si>
  <si>
    <t>Принята проектная документация в полном объеме</t>
  </si>
  <si>
    <t>ТЗ на выбор исполнителя экспертизы ПД</t>
  </si>
  <si>
    <t>Проведение тендера и заключение договора</t>
  </si>
  <si>
    <t>Подготовка документации для прохождения экспертизы</t>
  </si>
  <si>
    <t>Направление проектной документации на экспертизу</t>
  </si>
  <si>
    <t>Получение замечаний экспертизы по проекту (экспертиза проекта)</t>
  </si>
  <si>
    <t>Устранение замечаний экспертизы по проекту</t>
  </si>
  <si>
    <t>Подача данных об устранении замечаний в экспертизу</t>
  </si>
  <si>
    <t>Получение заключения о прохождении экспертизы проекта</t>
  </si>
  <si>
    <t>Предоставление данных для декларирования проекта на сайте</t>
  </si>
  <si>
    <t>Разработка рабочей документации</t>
  </si>
  <si>
    <t>Система видеонаблюдения</t>
  </si>
  <si>
    <t>РД выдана в полном объеме</t>
  </si>
  <si>
    <t>Получение откорректированной РД</t>
  </si>
  <si>
    <t>Повторная проверка РД</t>
  </si>
  <si>
    <t>Получение разрешения на строительство</t>
  </si>
  <si>
    <t>Извещение о начале строительства госстройнадзора</t>
  </si>
  <si>
    <t>Формирование себестоимости (на основании технико-экономических показателей, проектной документации)</t>
  </si>
  <si>
    <t>Расчет средней продаваемой стоимости кв.м.(график продаж и затраты на коммерческий блок)</t>
  </si>
  <si>
    <t>Создание предварительного графика реализации проекта</t>
  </si>
  <si>
    <t>Получение проектного финансирования</t>
  </si>
  <si>
    <t>Предоставление входящих исходных данных по расходной и доходной частям проекта</t>
  </si>
  <si>
    <t>Формирование финансовой модели проекта (бюджет проекта с актуальной средней продаваемой ценой и себестоимостью кв.метра)</t>
  </si>
  <si>
    <t>Передача полного пакета документов для получения проектного финансирования в банк (в том числе, плана маркетинга)</t>
  </si>
  <si>
    <t>Принятие положительного решения кредитным комитетом банка</t>
  </si>
  <si>
    <t>Подписание кредитного договора</t>
  </si>
  <si>
    <t>Регистрации ипотеки</t>
  </si>
  <si>
    <t>Кредитный договор подписан (выдача первого транша)</t>
  </si>
  <si>
    <t>План реализации</t>
  </si>
  <si>
    <t>Аренда помещения под офис продаж</t>
  </si>
  <si>
    <t>Поиск помещения под офис продаж</t>
  </si>
  <si>
    <t>Выдача дизайн-проекта офиса продаж</t>
  </si>
  <si>
    <t>Реализация дизайн проекта офиса продаж и его оснащение (мебель, техника)</t>
  </si>
  <si>
    <t>Подготовка к основным строительно-монтажным работам</t>
  </si>
  <si>
    <t>Утверждение ПОС (проект организации строительства)</t>
  </si>
  <si>
    <t>Определение высоты ограждения и его установки (высота: 5-6 метров со стороны трассы, другие стороны 2-3 метра)</t>
  </si>
  <si>
    <t>Установка ограждения земельного участка, оснащение баннеров освещением</t>
  </si>
  <si>
    <t>Санитарная очистка леса</t>
  </si>
  <si>
    <t>Подведение внутриплощадочных инженерных сетей (электроснабжение, водоснабжение и водоотведение), необходимых для начала строительства</t>
  </si>
  <si>
    <t>Выполнение работ по строительству внутриплощадочных дорог</t>
  </si>
  <si>
    <t>ДДУ</t>
  </si>
  <si>
    <t>Разработка поэтажного плана МКД всех этажей с отображением всех объектов недвижимости нумерацией квартир и указанием площади</t>
  </si>
  <si>
    <t>Разработка плана МКД буклет (передача отделу по сопровождению сделок)</t>
  </si>
  <si>
    <t>Разработка и утверждение ДДУ</t>
  </si>
  <si>
    <t>Реклама</t>
  </si>
  <si>
    <t>Выдача технического задания на благоустройство территории</t>
  </si>
  <si>
    <t>Разработка рендеров</t>
  </si>
  <si>
    <t>Разработка планировок квартир, кладовок, коммерческих помещений</t>
  </si>
  <si>
    <t>Разработка буклета</t>
  </si>
  <si>
    <t>Разработка страницы сайта, актуализация информации в социальных сетях, разработка контент-плана</t>
  </si>
  <si>
    <t>Размещение наружной рекламы (радио, телевидение, пресса, реклама на транспорте, сувенирах и т.д.)</t>
  </si>
  <si>
    <t>Утверждение ценообразования (квартир, кладовок, коммерческих помещений)</t>
  </si>
  <si>
    <t>Проведение Ивент для агентств недвижимости</t>
  </si>
  <si>
    <t>Старт продаж</t>
  </si>
  <si>
    <t>Выдача дизайн-проекта</t>
  </si>
  <si>
    <t>Передача исходных данных (ПД, РД, эскизный проект)</t>
  </si>
  <si>
    <t>Разработка дизайн-проекта интерьера вестибюля, МОП, УК, входной группы.</t>
  </si>
  <si>
    <t>Разработка дизайн-проекта на благоустройство территории ЖК</t>
  </si>
  <si>
    <t>Получение заключения о соответствии построенного объекта (ЗОС)</t>
  </si>
  <si>
    <t>Сведения о наличии документации по планировке территории (ППТ)</t>
  </si>
  <si>
    <t>Охранная зона объектов электроэнергетики (объектов электросетевого хозяйства и объектов по производству электрической энергии)</t>
  </si>
  <si>
    <t>ТОМ 3, ТОМ 4 -Разработка и утверждение проекта межевания территории (ПМТ)</t>
  </si>
  <si>
    <t>Разработка и выдача технического задания ГАП, продуктологи</t>
  </si>
  <si>
    <t>Заключение договора на выполнение  проекта с победителем тендера</t>
  </si>
  <si>
    <t>Разработка проекта</t>
  </si>
  <si>
    <t>Согласование проекта с ГАП, продуктологами, иногда собственниками</t>
  </si>
  <si>
    <t>Изменение категории земельных участков (при необходимости)</t>
  </si>
  <si>
    <t>Маренко И.Г.</t>
  </si>
  <si>
    <t>ППТ. Утверждение документации по планировке территории (ППТ) (при необходимости)</t>
  </si>
  <si>
    <t>4.4.</t>
  </si>
  <si>
    <t>ТОМ 1, 2, 3, 4 ППТ и ПМТ разработаны в полном объеме</t>
  </si>
  <si>
    <t>2.2.</t>
  </si>
  <si>
    <t>2.3.</t>
  </si>
  <si>
    <t>2.4.</t>
  </si>
  <si>
    <t>Разработка  проекта АГО  (при необходимости)</t>
  </si>
  <si>
    <t>Нейминг и разработка фирменного стиля - маркетологи совместно с ГАП</t>
  </si>
  <si>
    <t>Акт обследования территории на предмет выявления взрывоопасных предметов (при необходимости)</t>
  </si>
  <si>
    <t>ОБЪЕКТЫ КУЛЬТУРНОГО НАСЛЕДИЯ. Зоны охраны объектов культурного наследия (в т.ч. объединенная зона охраны объектов культурного наследия ). Защитная зона объекта культурного наследия (ОКН)</t>
  </si>
  <si>
    <t xml:space="preserve">Охранная зона железных дорог </t>
  </si>
  <si>
    <t>Охранная зона трубопроводов 
(газопроводов, нефтепроводов и нефтепродуктопровод ов, аммиакопроводов)</t>
  </si>
  <si>
    <t>Охранная зона линий и сооружений связи</t>
  </si>
  <si>
    <t>Зона охраняемого военного объекта, охранная зона военного объекта, запретные и специальные зоны, устанавливаемые в связи с размещением указанных объектов</t>
  </si>
  <si>
    <t>Охранная зона особо охраняемой природной территории 
(государственного природного заповедника, национального парка, природного парка, памятника природы)</t>
  </si>
  <si>
    <t>Сведения о границах охранной зоны стационарных пунктов наблюдений за сотоянием окружающей среды, ее загрязнением</t>
  </si>
  <si>
    <t>РЫБООХРАННАЯ ЗОНА. Согласование с Федеральным агентством по рыболовству строительства, реконструкции объекта капитального строительства, оказывающих влияние на состояние водных биологических ресурсов и среды их обитания</t>
  </si>
  <si>
    <t>Зоны санитарной охраны источников питьевого и хозяйственно-бытового водоснабжения, а также устанавливаемые в случаях, предусмотренных Водным кодексом Российской Федерации, в отношении подземных водных объектов зоны специальной охраны</t>
  </si>
  <si>
    <t>САНИТАРНО-ЗАЩИТНАЯ ЗОНА, решение об установлении санитарно-защитной зоны, о ее изменении или прекращении ее существования</t>
  </si>
  <si>
    <t>Округ санитарной (горно-санитарной) охраны лечебно-оздоровительных местностей, курортов и природных лечебных ресурсов</t>
  </si>
  <si>
    <t>Зона ограничений передающего радиотехнического объекта, являющегося объектом капитального строительства</t>
  </si>
  <si>
    <t>Охранная зона пунктов государственной геодезической сети, государственной нивелирной сети и государственной гравиметрической сети</t>
  </si>
  <si>
    <t>Охранная зона тепловых сетей</t>
  </si>
  <si>
    <t>9</t>
  </si>
  <si>
    <t>9.1</t>
  </si>
  <si>
    <t>9.2</t>
  </si>
  <si>
    <t>9.3</t>
  </si>
  <si>
    <t>10</t>
  </si>
  <si>
    <t>10.1</t>
  </si>
  <si>
    <t>10.2</t>
  </si>
  <si>
    <t>10.3</t>
  </si>
  <si>
    <t>11</t>
  </si>
  <si>
    <t>11.1</t>
  </si>
  <si>
    <t>Подписание ЗУ на Инвестиционном проекте</t>
  </si>
  <si>
    <t xml:space="preserve">Согласование проекта с органами государственной власти </t>
  </si>
  <si>
    <t>Зона минимальных расстояний до магистральных или промышленных трубопроводов  (газопроводов, нефтепроводов и нефтепродуктопроводов, аммиакопроводов)</t>
  </si>
  <si>
    <t>Оформление заявок в РСО на вынос сетей из пятна застройки и ЗУ</t>
  </si>
  <si>
    <t>Договор + Техусловия на вынос  сети холодного водоснабжения</t>
  </si>
  <si>
    <t>Договор + Техусловия на вынос сети горячего водоснабжения</t>
  </si>
  <si>
    <t>Договор + Техусловия на вынос сети водоотведения</t>
  </si>
  <si>
    <t>Договор + Техусловия на вынос сети ливневой канализации</t>
  </si>
  <si>
    <t>Договор + Техусловия на вынос сети электроснабжения</t>
  </si>
  <si>
    <t>Договор + Техусловия на вынос сети теплоснабжения</t>
  </si>
  <si>
    <t>Договор + Техусловия на вынос сети газоснабжения</t>
  </si>
  <si>
    <t>Техусловия на вынос сети телефонизации</t>
  </si>
  <si>
    <t>Техусловия на вынос сети  интернета</t>
  </si>
  <si>
    <t>ТЗ на выполнение инженерных изысканий</t>
  </si>
  <si>
    <t>9.6.1</t>
  </si>
  <si>
    <t>9.6.2</t>
  </si>
  <si>
    <t>9.6.3</t>
  </si>
  <si>
    <t>Получение согласованной топографической съемки</t>
  </si>
  <si>
    <t>-</t>
  </si>
  <si>
    <t xml:space="preserve">Проведение археологических работ </t>
  </si>
  <si>
    <t xml:space="preserve">Акт государственной историко-культурной экспертизы </t>
  </si>
  <si>
    <t>Справка об отсутсвии объектов культурного наследия</t>
  </si>
  <si>
    <t xml:space="preserve">Получение порубочных билетов </t>
  </si>
  <si>
    <t>Получение разрешения на условно-разрешённый вид использования земельного участка (если требуется) и отклонения от предельных параметров</t>
  </si>
  <si>
    <t xml:space="preserve">Согласование ТКО для строительства </t>
  </si>
  <si>
    <t>Разработка и выдача технического задания на выбор генерального проектировщика</t>
  </si>
  <si>
    <t>«Система водоснабжения. Наружные сети»</t>
  </si>
  <si>
    <t>«Система водоотведения. Внутриплощадочные наружные сети»</t>
  </si>
  <si>
    <t>«Вентиляция и кондиционирование воздуха»</t>
  </si>
  <si>
    <t>Сети связи</t>
  </si>
  <si>
    <t>Расчет пожарных рисков (в случае необходимости)</t>
  </si>
  <si>
    <t>Система газоснабжения</t>
  </si>
  <si>
    <t>План наружного газопровода</t>
  </si>
  <si>
    <t>План котельной</t>
  </si>
  <si>
    <t>Расчетная схема наружного газопровода</t>
  </si>
  <si>
    <t>Сохранение конечной версий ПД в электронном виде в папке</t>
  </si>
  <si>
    <t>Проверка АР - ГАП</t>
  </si>
  <si>
    <t>Передача результатов по проверке ПД проектной организации</t>
  </si>
  <si>
    <t>Формирование шахматки архитекторами</t>
  </si>
  <si>
    <t>Передача шахматки в отдел продаж, фин блоку, маркетологам</t>
  </si>
  <si>
    <t>Получение расчетов по мощностям от проектной организации</t>
  </si>
  <si>
    <t xml:space="preserve">Подача заявки </t>
  </si>
  <si>
    <t>Получение ТУ и/или договора ТП</t>
  </si>
  <si>
    <t>Сети холодного водоснабжения</t>
  </si>
  <si>
    <t>Срок действия ТУ</t>
  </si>
  <si>
    <t>Срок выполнения мероприятий по ТП</t>
  </si>
  <si>
    <t>Сети горячего водоснабжения</t>
  </si>
  <si>
    <t>Сети водоотведения хоз. бытовой канализации</t>
  </si>
  <si>
    <t>Сети ливневой канализации</t>
  </si>
  <si>
    <t>Сети электроснабжения</t>
  </si>
  <si>
    <t>Сети теплоснабжения</t>
  </si>
  <si>
    <t>Сети газоснабжения</t>
  </si>
  <si>
    <t>Сети телефонизации</t>
  </si>
  <si>
    <t>Сети диспетчеризации</t>
  </si>
  <si>
    <t>Сети телевидения и интернета</t>
  </si>
  <si>
    <t>Примыкание к дорогам</t>
  </si>
  <si>
    <t>Наружное освещение</t>
  </si>
  <si>
    <t>12</t>
  </si>
  <si>
    <t>12.1</t>
  </si>
  <si>
    <t>12.2</t>
  </si>
  <si>
    <t>12.3</t>
  </si>
  <si>
    <t>12.4</t>
  </si>
  <si>
    <t>13</t>
  </si>
  <si>
    <t>13.1</t>
  </si>
  <si>
    <t>13.2</t>
  </si>
  <si>
    <t>13.3</t>
  </si>
  <si>
    <t>13.4</t>
  </si>
  <si>
    <t>Раздел 8. (ООС) Перечень мероприятий по охране окружающей среды:</t>
  </si>
  <si>
    <t xml:space="preserve">Система электроснабжения. Внутриплощадочные наружные </t>
  </si>
  <si>
    <t>Система водоснабжения</t>
  </si>
  <si>
    <t>Система водоотведения</t>
  </si>
  <si>
    <t>Отопление, вентиляция и кондиционирование воздуха, тепловые сети</t>
  </si>
  <si>
    <t>3</t>
  </si>
  <si>
    <t xml:space="preserve">Проверка поступившей ПД </t>
  </si>
  <si>
    <t>13.14</t>
  </si>
  <si>
    <t>Размещение ПД в Элма</t>
  </si>
  <si>
    <t>Экспертиза проектной документации</t>
  </si>
  <si>
    <t>14</t>
  </si>
  <si>
    <t>14.1</t>
  </si>
  <si>
    <t>14.2</t>
  </si>
  <si>
    <t>15</t>
  </si>
  <si>
    <t>Разрешения на строительство</t>
  </si>
  <si>
    <t>Подача заявления</t>
  </si>
  <si>
    <t>15.1</t>
  </si>
  <si>
    <t>15.2</t>
  </si>
  <si>
    <t>16</t>
  </si>
  <si>
    <t>Проверка поступевшей РД</t>
  </si>
  <si>
    <t>17</t>
  </si>
  <si>
    <t>17.1</t>
  </si>
  <si>
    <t>Наружные сети теплоснабжения (ТС) (при необходимости)</t>
  </si>
  <si>
    <t>Внутриплощадочные сети газоснабжения (ГС) (при необходимости)</t>
  </si>
  <si>
    <t>Наружные сети газоснабжения (ГСН) (при необходимости)</t>
  </si>
  <si>
    <t>Внутреннее газоснабжение (ГСВ) (при необходимости)</t>
  </si>
  <si>
    <t>Интернет</t>
  </si>
  <si>
    <t xml:space="preserve">Котлован.Фундаменты, подвал  </t>
  </si>
  <si>
    <t>Конструкции железобетонные, 1 этажа, типовых этажей и внутренней лестницы. Технический этаж, Конструктивные решения. Входные группы и т.д</t>
  </si>
  <si>
    <t>Система контроля учета доступа (СКУД)</t>
  </si>
  <si>
    <t>Домофония</t>
  </si>
  <si>
    <t>Радио, ТВ</t>
  </si>
  <si>
    <t>Автоматизированный системный коммерческий учёт энергоресурсов (АСКУЭ)</t>
  </si>
  <si>
    <t>Раздел АС0, АС1, АР</t>
  </si>
  <si>
    <t>Раздел ГП</t>
  </si>
  <si>
    <t>Раздел ОВ, ВК</t>
  </si>
  <si>
    <t>Раздел НЭС, ЭС, ТП</t>
  </si>
  <si>
    <t>Раздел ЭЛ, АПС, СС, СКУД, ИТП, АХП, ТС, НВК</t>
  </si>
  <si>
    <t>ВОР  (СМЕТЫ)</t>
  </si>
  <si>
    <t>Раздел. Генеральный план и благоустройство</t>
  </si>
  <si>
    <t xml:space="preserve">Раздел. Архитектурно-строительные решения АР1 </t>
  </si>
  <si>
    <t>Раздел. Конструкции железобетонные АС0, АС1 в составе:</t>
  </si>
  <si>
    <t>Раздел. Внутренние системы электроснабжения и освещения  (ЭОМ)</t>
  </si>
  <si>
    <t>Раздел. Внутренние системы водоснабжения и канализации (ВК)</t>
  </si>
  <si>
    <t>Раздел. Отопление, вентиляция и кондиционирование воздуха (ОВ)</t>
  </si>
  <si>
    <t>Раздел. Индивидуальный тепловой пункт (ИТП)</t>
  </si>
  <si>
    <t>Раздел. Сети связи. (СС), в составе:</t>
  </si>
  <si>
    <t>Раздел. Пожарная сигнализация  (ПС)</t>
  </si>
  <si>
    <t>Раздел. Внутриплощадочные сети электроснабжения 0,4 кВ. (ЭС).</t>
  </si>
  <si>
    <t>Раздел. Наружные электрические сети 10 кВт (ЭН)</t>
  </si>
  <si>
    <t>Раздел. Внутриплощадочные сети наружного электроосвещения (ЭО)</t>
  </si>
  <si>
    <t>Раздел. Внутриплощадочные сети водоснабжения и водоотведения (НВК)</t>
  </si>
  <si>
    <t>Раздел. Внеплощадочные сети водоснабжения  (НВ)</t>
  </si>
  <si>
    <t>Раздел. Внеплощадочные сети водоотведения (НК)</t>
  </si>
  <si>
    <t>Раздел. Внутриплощадочные сети теплоснабжения  (ТС)</t>
  </si>
  <si>
    <t>Раздел. Внутриплощадочные сети связи (НСС)</t>
  </si>
  <si>
    <t>ПРОЕКТ Тепломеханические решения КОТЕЛЬНАЯ  (ТМ)</t>
  </si>
  <si>
    <t xml:space="preserve">Проверка ВОР в соотвествии с выданной РД в полном объеме всех разделов </t>
  </si>
  <si>
    <t>Передача результатов по проверке РД проектной организации</t>
  </si>
  <si>
    <t>Сохранение конечной версий РД в электронном виде в папке</t>
  </si>
  <si>
    <t>Принята рабочая  документация в полном объеме</t>
  </si>
  <si>
    <t>Передача конечной версии РД в производство работ на бумажном носителе со штампов в производство работ</t>
  </si>
  <si>
    <t>Загрузка в ЭЛМА проверенной РД</t>
  </si>
  <si>
    <t>Получение технических условий на оснащение объекта инженерными сетями (для строительства).</t>
  </si>
  <si>
    <t>Получение от ГП запрос на мощности по электроснабжению, водоснабжению, водоотведению</t>
  </si>
  <si>
    <t xml:space="preserve">Заявка  в РСО на временное подключение </t>
  </si>
  <si>
    <t>Получение  и заключение Договора и ТУ</t>
  </si>
  <si>
    <t xml:space="preserve">Заключение договора </t>
  </si>
  <si>
    <t>Запрос и подача заявления опературу по вывозу ТКО</t>
  </si>
  <si>
    <t>Передача заключенного договора в Администрацию</t>
  </si>
  <si>
    <t>Заключение договоров на аренду под размещения бытового городка, складирования материалов и тд</t>
  </si>
  <si>
    <t>Запрос и подача зявления в Администрацию</t>
  </si>
  <si>
    <t>Заключение договора аренды</t>
  </si>
  <si>
    <t>Обеспечение строительной площадки ресурсами</t>
  </si>
  <si>
    <t>Вынос на площадку геодезической разбивочной основы.</t>
  </si>
  <si>
    <t>Сформировать  бюджет проекта (подготовительный период)</t>
  </si>
  <si>
    <t xml:space="preserve">Формирование предварительной финансовой модели проекта </t>
  </si>
  <si>
    <t>1.1</t>
  </si>
  <si>
    <t>1.2</t>
  </si>
  <si>
    <t>1.3</t>
  </si>
  <si>
    <t>2</t>
  </si>
  <si>
    <t>4</t>
  </si>
  <si>
    <t>2.1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</si>
  <si>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</si>
  <si>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</si>
  <si>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</si>
  <si>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</si>
  <si>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</si>
  <si>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</si>
  <si>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</si>
  <si>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</si>
  <si>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</si>
  <si>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</si>
  <si>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</si>
  <si>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Сбор исходно-разрешительной документации (ИРД)</t>
  </si>
  <si>
    <t>2.2.1</t>
  </si>
  <si>
    <t>2.2.2</t>
  </si>
  <si>
    <t>2.2.3</t>
  </si>
  <si>
    <t>2.2.4</t>
  </si>
  <si>
    <t>2.2.5</t>
  </si>
  <si>
    <t>2.2.6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</si>
  <si>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</si>
  <si>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</si>
  <si>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</si>
  <si>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</si>
  <si>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</si>
  <si>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</si>
  <si>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</si>
  <si>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</si>
  <si>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</si>
  <si>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</si>
  <si>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2.3.11</t>
  </si>
  <si>
    <t>2.3.12</t>
  </si>
  <si>
    <t>2.3.13</t>
  </si>
  <si>
    <t>2.3.14</t>
  </si>
  <si>
    <t>2.3.15</t>
  </si>
  <si>
    <t>2.3.16</t>
  </si>
  <si>
    <t>2.3.17</t>
  </si>
  <si>
    <t>2.3.18</t>
  </si>
  <si>
    <t>2.3.19</t>
  </si>
  <si>
    <t>2.3.20</t>
  </si>
  <si>
    <t>2.3.21</t>
  </si>
  <si>
    <t>2.3.1.1</t>
  </si>
  <si>
    <t>2.3.1.2</t>
  </si>
  <si>
    <t>2.3.1.3</t>
  </si>
  <si>
    <t>2.3.1.4</t>
  </si>
  <si>
    <t>Проектная документация по сохранению ОКН - при необходимости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</si>
  <si>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</si>
  <si>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</si>
  <si>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</si>
  <si>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</si>
  <si>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</si>
  <si>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</si>
  <si>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</si>
  <si>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</si>
  <si>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</si>
  <si>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2.5</t>
  </si>
  <si>
    <t>2.6</t>
  </si>
  <si>
    <t>3.1</t>
  </si>
  <si>
    <t>3.2</t>
  </si>
  <si>
    <t>3.3</t>
  </si>
  <si>
    <t>3.4</t>
  </si>
  <si>
    <t>3.5</t>
  </si>
  <si>
    <t>3.5.1</t>
  </si>
  <si>
    <t>3.5.2</t>
  </si>
  <si>
    <t>3.5.3</t>
  </si>
  <si>
    <t>3.6</t>
  </si>
  <si>
    <t>3.6.1</t>
  </si>
  <si>
    <t>3.6.2</t>
  </si>
  <si>
    <t>3.6.3</t>
  </si>
  <si>
    <t>3.7</t>
  </si>
  <si>
    <t>3.7.1</t>
  </si>
  <si>
    <t>3.7.2</t>
  </si>
  <si>
    <t>3.7.3</t>
  </si>
  <si>
    <t>3.7.4</t>
  </si>
  <si>
    <t>3.8</t>
  </si>
  <si>
    <t>3.8.1</t>
  </si>
  <si>
    <t>3.8.2</t>
  </si>
  <si>
    <t>3.8.3</t>
  </si>
  <si>
    <t>4.1</t>
  </si>
  <si>
    <t>4.2</t>
  </si>
  <si>
    <t>4.3</t>
  </si>
  <si>
    <t>Заключение договора с Проектировщиками на расчет мощностей по водоснабжению, водоотведению (хоз быт и ливневой канализации), электроснабжению, газоснабжению для получения ТУ от РСО</t>
  </si>
  <si>
    <t>4.4.1</t>
  </si>
  <si>
    <t>5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</si>
  <si>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</si>
  <si>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</si>
  <si>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</si>
  <si>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</si>
  <si>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</si>
  <si>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</si>
  <si>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</si>
  <si>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</si>
  <si>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</si>
  <si>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</si>
  <si>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</si>
  <si>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</si>
  <si>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5.1.1</t>
  </si>
  <si>
    <t>5.1.2</t>
  </si>
  <si>
    <t>5.1.3</t>
  </si>
  <si>
    <t>5.1.4</t>
  </si>
  <si>
    <t>5.2.1</t>
  </si>
  <si>
    <t>5.2.2</t>
  </si>
  <si>
    <t>5.2.3</t>
  </si>
  <si>
    <t>5.2.4</t>
  </si>
  <si>
    <t>5.3.1</t>
  </si>
  <si>
    <t>5.3.2</t>
  </si>
  <si>
    <t>5.3.3</t>
  </si>
  <si>
    <t>5.3.4</t>
  </si>
  <si>
    <t>5.4.1</t>
  </si>
  <si>
    <t>5.4.2</t>
  </si>
  <si>
    <t>5.4.3</t>
  </si>
  <si>
    <t>5.4.4</t>
  </si>
  <si>
    <t>5.5.1</t>
  </si>
  <si>
    <t>5.5.2</t>
  </si>
  <si>
    <t>5.5.3</t>
  </si>
  <si>
    <t>5.5.4</t>
  </si>
  <si>
    <t>5.6.1</t>
  </si>
  <si>
    <t>5.6.2</t>
  </si>
  <si>
    <t>5.6.3</t>
  </si>
  <si>
    <t>5.6.4</t>
  </si>
  <si>
    <t>5.7.1</t>
  </si>
  <si>
    <t>5.7.2</t>
  </si>
  <si>
    <t>5.7.3</t>
  </si>
  <si>
    <t>5.7.4</t>
  </si>
  <si>
    <t>5.8.1</t>
  </si>
  <si>
    <t>5.8.2</t>
  </si>
  <si>
    <t>5.8.3</t>
  </si>
  <si>
    <t>5.8.4</t>
  </si>
  <si>
    <t>5.9.1</t>
  </si>
  <si>
    <t>5.9.2</t>
  </si>
  <si>
    <t>5.9.3</t>
  </si>
  <si>
    <t>5.9.4</t>
  </si>
  <si>
    <t>5.10.1</t>
  </si>
  <si>
    <t>5.10.2</t>
  </si>
  <si>
    <t>5.10.3</t>
  </si>
  <si>
    <t>5.10.4</t>
  </si>
  <si>
    <t>5.11.1</t>
  </si>
  <si>
    <t>5.11.2</t>
  </si>
  <si>
    <t>5.11.3</t>
  </si>
  <si>
    <t>5.11.4</t>
  </si>
  <si>
    <t>5.12.1</t>
  </si>
  <si>
    <t>5.12.2</t>
  </si>
  <si>
    <t>5.12.3</t>
  </si>
  <si>
    <t>5.12.4</t>
  </si>
  <si>
    <t>6</t>
  </si>
  <si>
    <t>7</t>
  </si>
  <si>
    <t>7.1</t>
  </si>
  <si>
    <t>7.2</t>
  </si>
  <si>
    <t>7.3</t>
  </si>
  <si>
    <t>7.4</t>
  </si>
  <si>
    <t>7.5</t>
  </si>
  <si>
    <t>7.6</t>
  </si>
  <si>
    <t>7.7</t>
  </si>
  <si>
    <t xml:space="preserve">Получение технических условий и договоров на технологическое присоединение после получения расчетов от Проектировщиков </t>
  </si>
  <si>
    <t>8</t>
  </si>
  <si>
    <t>9.3.1</t>
  </si>
  <si>
    <t>9.3.2</t>
  </si>
  <si>
    <t>9.3.3</t>
  </si>
  <si>
    <t>9.3.4</t>
  </si>
  <si>
    <t>9.3.5</t>
  </si>
  <si>
    <t>9.4.</t>
  </si>
  <si>
    <t>9.4.1</t>
  </si>
  <si>
    <t>9.4.2</t>
  </si>
  <si>
    <t>9.4.3</t>
  </si>
  <si>
    <t>9.4.4</t>
  </si>
  <si>
    <t>9.4.5</t>
  </si>
  <si>
    <t>9.5.</t>
  </si>
  <si>
    <t>9.5.1.</t>
  </si>
  <si>
    <t>9.5.2.</t>
  </si>
  <si>
    <t>9.6.</t>
  </si>
  <si>
    <t>9.6.4</t>
  </si>
  <si>
    <t>9.6.5</t>
  </si>
  <si>
    <t>9.6.6</t>
  </si>
  <si>
    <t>9.6.7</t>
  </si>
  <si>
    <t>9.6.8</t>
  </si>
  <si>
    <t>9.6.9</t>
  </si>
  <si>
    <t>9.6.10</t>
  </si>
  <si>
    <t>9.6.11</t>
  </si>
  <si>
    <t>9.7.</t>
  </si>
  <si>
    <t>9.7.1.</t>
  </si>
  <si>
    <t>9.7.2.</t>
  </si>
  <si>
    <t>11.2</t>
  </si>
  <si>
    <t>11.3</t>
  </si>
  <si>
    <t>11.4</t>
  </si>
  <si>
    <t>11.5</t>
  </si>
  <si>
    <t>11.6</t>
  </si>
  <si>
    <t>11.7</t>
  </si>
  <si>
    <t>11.8</t>
  </si>
  <si>
    <t>13.1.1</t>
  </si>
  <si>
    <t>13.1.2</t>
  </si>
  <si>
    <t>13.1.3</t>
  </si>
  <si>
    <t>13.2.1</t>
  </si>
  <si>
    <t>13.2.2</t>
  </si>
  <si>
    <t>13.2.3</t>
  </si>
  <si>
    <t>13.3.1</t>
  </si>
  <si>
    <t>13.3.2</t>
  </si>
  <si>
    <t>13.4.1</t>
  </si>
  <si>
    <t>13.4.2</t>
  </si>
  <si>
    <t>13.4.3</t>
  </si>
  <si>
    <t>13.4.4</t>
  </si>
  <si>
    <t>13.4.5</t>
  </si>
  <si>
    <t>13.4.6</t>
  </si>
  <si>
    <t>13.4.7</t>
  </si>
  <si>
    <t>14.3</t>
  </si>
  <si>
    <t>14.4</t>
  </si>
  <si>
    <t>14.5</t>
  </si>
  <si>
    <t>14.5.1</t>
  </si>
  <si>
    <t>14.5.2</t>
  </si>
  <si>
    <t>14.5.3</t>
  </si>
  <si>
    <t>14.5.4</t>
  </si>
  <si>
    <t>14.5.5</t>
  </si>
  <si>
    <t>14.5.6.</t>
  </si>
  <si>
    <t>14.6</t>
  </si>
  <si>
    <t>14.7</t>
  </si>
  <si>
    <t>14.8</t>
  </si>
  <si>
    <t>14.9</t>
  </si>
  <si>
    <t>14.10</t>
  </si>
  <si>
    <t>14.11</t>
  </si>
  <si>
    <t>14.5.1.1</t>
  </si>
  <si>
    <t>14.5.1.2</t>
  </si>
  <si>
    <t>14.5.1.3</t>
  </si>
  <si>
    <t>14.5.1.4</t>
  </si>
  <si>
    <t>14.5.2.1</t>
  </si>
  <si>
    <t>14.5.2.2</t>
  </si>
  <si>
    <t>14.5.2.3</t>
  </si>
  <si>
    <t>14.5.3.1</t>
  </si>
  <si>
    <t>14.5.3.2</t>
  </si>
  <si>
    <t>14.5.3.3</t>
  </si>
  <si>
    <t>14.5.4.1</t>
  </si>
  <si>
    <t>14.5.4.2</t>
  </si>
  <si>
    <t>14.5.4.3</t>
  </si>
  <si>
    <t>14.5.4.4</t>
  </si>
  <si>
    <t>14.5.5.1</t>
  </si>
  <si>
    <t>14.5.5.2</t>
  </si>
  <si>
    <t>14.5.5.3</t>
  </si>
  <si>
    <t>14.5.5.4</t>
  </si>
  <si>
    <t>14.5.5.5</t>
  </si>
  <si>
    <t>14.5.6.1</t>
  </si>
  <si>
    <t>14.5.6.2</t>
  </si>
  <si>
    <t>14.5.6.3</t>
  </si>
  <si>
    <t>14.8.1</t>
  </si>
  <si>
    <t>14.8.2</t>
  </si>
  <si>
    <t>14.9.1</t>
  </si>
  <si>
    <t>14.9.2</t>
  </si>
  <si>
    <t>14.9.3</t>
  </si>
  <si>
    <t>14.9.4</t>
  </si>
  <si>
    <t>14.10.1</t>
  </si>
  <si>
    <t>14.11.1</t>
  </si>
  <si>
    <t>14.11.2</t>
  </si>
  <si>
    <t>15.3</t>
  </si>
  <si>
    <t>15.4</t>
  </si>
  <si>
    <t>15.5</t>
  </si>
  <si>
    <t>15.6</t>
  </si>
  <si>
    <t>15.7</t>
  </si>
  <si>
    <t>16.1</t>
  </si>
  <si>
    <t>16.2</t>
  </si>
  <si>
    <t>16.3</t>
  </si>
  <si>
    <t>16.4</t>
  </si>
  <si>
    <t>16.5</t>
  </si>
  <si>
    <t>16.6</t>
  </si>
  <si>
    <t>16.7</t>
  </si>
  <si>
    <t>16.8</t>
  </si>
  <si>
    <t>16.9</t>
  </si>
  <si>
    <t>17.2</t>
  </si>
  <si>
    <t>17.3</t>
  </si>
  <si>
    <t>17.3.1</t>
  </si>
  <si>
    <t>17.3.2</t>
  </si>
  <si>
    <t>17.4</t>
  </si>
  <si>
    <t>17.5</t>
  </si>
  <si>
    <t>17.6</t>
  </si>
  <si>
    <t>17.7</t>
  </si>
  <si>
    <t>17.8</t>
  </si>
  <si>
    <t>17.8.1</t>
  </si>
  <si>
    <t>17.8.2</t>
  </si>
  <si>
    <t>17.8.3</t>
  </si>
  <si>
    <t>17.8.4</t>
  </si>
  <si>
    <t>17.8.5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</si>
  <si>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</si>
  <si>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</si>
  <si>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</si>
  <si>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</si>
  <si>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</si>
  <si>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</si>
  <si>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</si>
  <si>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</si>
  <si>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17.16.1</t>
  </si>
  <si>
    <t>17.16.2</t>
  </si>
  <si>
    <t>17.16.3</t>
  </si>
  <si>
    <t>17.16.4</t>
  </si>
  <si>
    <t>17.17</t>
  </si>
  <si>
    <t>17.18</t>
  </si>
  <si>
    <t>17.19</t>
  </si>
  <si>
    <t>17.20</t>
  </si>
  <si>
    <t>18</t>
  </si>
  <si>
    <t>18.1</t>
  </si>
  <si>
    <t>18.1.1</t>
  </si>
  <si>
    <t>18.1.2</t>
  </si>
  <si>
    <t>18.1.3</t>
  </si>
  <si>
    <t>18.1.4</t>
  </si>
  <si>
    <t>18.1.5</t>
  </si>
  <si>
    <t>18.1.6</t>
  </si>
  <si>
    <t>18.1.7</t>
  </si>
  <si>
    <t>19</t>
  </si>
  <si>
    <t>19.1</t>
  </si>
  <si>
    <t>19.2</t>
  </si>
  <si>
    <t>20</t>
  </si>
  <si>
    <t>21</t>
  </si>
  <si>
    <t>22</t>
  </si>
  <si>
    <t>23</t>
  </si>
  <si>
    <t>24</t>
  </si>
  <si>
    <t>20.1</t>
  </si>
  <si>
    <t>20.2</t>
  </si>
  <si>
    <t>20.3</t>
  </si>
  <si>
    <t>21.1</t>
  </si>
  <si>
    <t>21.2</t>
  </si>
  <si>
    <t>21.3</t>
  </si>
  <si>
    <t>21.4</t>
  </si>
  <si>
    <t>21.5</t>
  </si>
  <si>
    <t>21.6</t>
  </si>
  <si>
    <t>21.7</t>
  </si>
  <si>
    <t>21.8</t>
  </si>
  <si>
    <t>21.9</t>
  </si>
  <si>
    <t>22.1</t>
  </si>
  <si>
    <t>22.2</t>
  </si>
  <si>
    <t>22.3</t>
  </si>
  <si>
    <r>
      <t xml:space="preserve">Согласование рекламных конструкций </t>
    </r>
    <r>
      <rPr>
        <b/>
        <i/>
        <sz val="10"/>
        <rFont val="Times New Roman"/>
        <family val="1"/>
        <charset val="204"/>
      </rPr>
      <t>(с контактным номером или ценой)</t>
    </r>
  </si>
  <si>
    <t>Разработка/Согласование/Утверждение материалов генерального плана посадки и благоустройства объекта (внутри компании, при необходимости с городом)</t>
  </si>
  <si>
    <t>Проверка - ПТО, РП, Продуктологи
(Выводы о наличии нарушений требований норм проектирования, нарушений требований КОТР и ТЗ, Составление перечня изм-ий проектных решений, Оформление альтер-ых проектных реш-ий, определение экон-го эффек)</t>
  </si>
  <si>
    <t>18.1.8</t>
  </si>
  <si>
    <t>18.1.9</t>
  </si>
  <si>
    <t>18.1.10</t>
  </si>
  <si>
    <t>18.1.11</t>
  </si>
  <si>
    <t>18.1.12</t>
  </si>
  <si>
    <t>21.10</t>
  </si>
  <si>
    <t xml:space="preserve">Заказ и согласование ПАСПОРТА  ОБЪЕКТА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</si>
</sst>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\ _₽_-;\-* #,##0.00\ _₽_-;_-* &quot;-&quot;??\ _₽_-;_-@_-"/>
    <numFmt numFmtId="165" formatCode="[$-419]General"/>
    <numFmt numFmtId="166" formatCode="_-* #,##0.00_р_._-;\-* #,##0.00_р_._-;_-* &quot;-&quot;??_р_._-;_-@_-"/>
    <numFmt numFmtId="167" formatCode="_-* #,##0_-;\-* #,##0_-;_-* &quot;-&quot;??_-;_-@_-"/>
    <numFmt numFmtId="168" formatCode="_-* #,##0_р_._-;\-* #,##0_р_._-;_-* &quot;-&quot;??_р_._-;_-@_-"/>
    <numFmt numFmtId="169" formatCode="[$-419]mmmm;@"/>
  </numFmts>
  <fonts count="6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"/>
      <color indexed="8"/>
      <name val="Courier"/>
      <family val="3"/>
    </font>
    <font>
      <sz val="11"/>
      <color indexed="8"/>
      <name val="Calibri"/>
      <family val="2"/>
    </font>
    <font>
      <sz val="11"/>
      <color rgb="FF000000"/>
      <name val="Calibri"/>
      <family val="2"/>
      <charset val="204"/>
    </font>
    <font>
      <sz val="10"/>
      <name val="Helv"/>
    </font>
    <font>
      <u/>
      <sz val="11"/>
      <color theme="10"/>
      <name val="Calibri"/>
      <family val="2"/>
      <charset val="204"/>
      <scheme val="minor"/>
    </font>
    <font>
      <sz val="10"/>
      <name val="Arial Cyr"/>
      <family val="2"/>
      <charset val="204"/>
    </font>
    <font>
      <sz val="8"/>
      <name val="Arial"/>
      <family val="2"/>
      <charset val="204"/>
    </font>
    <font>
      <sz val="8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color rgb="FF0000FF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i/>
      <sz val="9"/>
      <color rgb="FFFF0000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i/>
      <sz val="12"/>
      <color rgb="FFC00000"/>
      <name val="Times New Roman"/>
      <family val="1"/>
      <charset val="204"/>
    </font>
    <font>
      <b/>
      <i/>
      <sz val="11"/>
      <color indexed="8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sz val="9"/>
      <color rgb="FFF8F8F8"/>
      <name val="Times New Roman"/>
      <family val="1"/>
      <charset val="204"/>
    </font>
    <font>
      <sz val="11"/>
      <color rgb="FF9C0006"/>
      <name val="Calibri"/>
      <family val="2"/>
      <charset val="204"/>
      <scheme val="minor"/>
    </font>
    <font>
      <b/>
      <sz val="9"/>
      <name val="Arial"/>
      <family val="2"/>
      <charset val="204"/>
    </font>
    <font>
      <sz val="9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sz val="9"/>
      <name val="Arial"/>
      <family val="2"/>
      <charset val="204"/>
    </font>
    <font>
      <sz val="9"/>
      <color rgb="FFFF0000"/>
      <name val="Arial"/>
      <family val="2"/>
      <charset val="204"/>
    </font>
    <font>
      <b/>
      <sz val="9"/>
      <color rgb="FFFF0000"/>
      <name val="Arial"/>
      <family val="2"/>
      <charset val="204"/>
    </font>
    <font>
      <sz val="9"/>
      <color theme="0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b/>
      <sz val="10"/>
      <name val="Arial"/>
      <family val="2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9"/>
      <color rgb="FFFFFFFF"/>
      <name val="Times New Roman"/>
      <family val="1"/>
      <charset val="204"/>
    </font>
    <font>
      <sz val="10"/>
      <color theme="0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0"/>
      <color rgb="FFF8F8F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rgb="FFF8F8F8"/>
      <name val="Arial"/>
      <family val="2"/>
      <charset val="204"/>
    </font>
    <font>
      <sz val="10"/>
      <color rgb="FF7030A0"/>
      <name val="Arial"/>
      <family val="2"/>
      <charset val="204"/>
    </font>
    <font>
      <sz val="10"/>
      <color theme="0"/>
      <name val="Arial"/>
      <family val="2"/>
      <charset val="204"/>
    </font>
    <font>
      <sz val="10"/>
      <color rgb="FFED0000"/>
      <name val="Arial"/>
      <family val="2"/>
      <charset val="204"/>
    </font>
    <font>
      <b/>
      <sz val="10"/>
      <color theme="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10"/>
      <color rgb="FFF8F8F8"/>
      <name val="Arial"/>
      <family val="2"/>
      <charset val="204"/>
    </font>
    <font>
      <i/>
      <sz val="10"/>
      <color rgb="FFFF0000"/>
      <name val="Times New Roman"/>
      <family val="1"/>
      <charset val="204"/>
    </font>
    <font>
      <i/>
      <sz val="10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b/>
      <sz val="10"/>
      <color rgb="FFFF0000"/>
      <name val="Arial"/>
      <family val="2"/>
      <charset val="204"/>
    </font>
    <font>
      <b/>
      <sz val="10"/>
      <color rgb="FFF8F8F8"/>
      <name val="Times New Roman"/>
      <family val="1"/>
      <charset val="204"/>
    </font>
    <font>
      <b/>
      <sz val="10"/>
      <color rgb="FFFFFFFF"/>
      <name val="Times New Roman"/>
      <family val="1"/>
      <charset val="204"/>
    </font>
    <font>
      <b/>
      <sz val="10"/>
      <color theme="4" tint="-0.249977111117893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9">
    <xf numFmtId="0" fontId="0" fillId="0" borderId="0"/>
    <xf numFmtId="0" fontId="5" fillId="0" borderId="8">
      <protection locked="0"/>
    </xf>
    <xf numFmtId="0" fontId="5" fillId="0" borderId="8">
      <protection locked="0"/>
    </xf>
    <xf numFmtId="0" fontId="6" fillId="0" borderId="0"/>
    <xf numFmtId="165" fontId="7" fillId="0" borderId="0" applyBorder="0" applyProtection="0"/>
    <xf numFmtId="0" fontId="1" fillId="0" borderId="0"/>
    <xf numFmtId="0" fontId="1" fillId="0" borderId="0"/>
    <xf numFmtId="0" fontId="8" fillId="0" borderId="0"/>
    <xf numFmtId="0" fontId="9" fillId="0" borderId="0" applyNumberFormat="0" applyFill="0" applyBorder="0" applyAlignment="0" applyProtection="0"/>
    <xf numFmtId="0" fontId="10" fillId="0" borderId="0"/>
    <xf numFmtId="0" fontId="3" fillId="0" borderId="0"/>
    <xf numFmtId="0" fontId="11" fillId="0" borderId="0"/>
    <xf numFmtId="0" fontId="4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0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6" fillId="11" borderId="0" applyNumberFormat="0" applyBorder="0" applyAlignment="0" applyProtection="0"/>
    <xf numFmtId="0" fontId="2" fillId="0" borderId="0"/>
  </cellStyleXfs>
  <cellXfs count="457">
    <xf numFmtId="0" fontId="0" fillId="0" borderId="0" xfId="0"/>
    <xf numFmtId="0" fontId="13" fillId="0" borderId="0" xfId="0" applyFont="1"/>
    <xf numFmtId="0" fontId="13" fillId="3" borderId="29" xfId="0" applyFont="1" applyFill="1" applyBorder="1"/>
    <xf numFmtId="0" fontId="13" fillId="3" borderId="40" xfId="0" applyFont="1" applyFill="1" applyBorder="1"/>
    <xf numFmtId="0" fontId="16" fillId="3" borderId="9" xfId="0" applyFont="1" applyFill="1" applyBorder="1"/>
    <xf numFmtId="0" fontId="16" fillId="3" borderId="10" xfId="0" applyFont="1" applyFill="1" applyBorder="1"/>
    <xf numFmtId="169" fontId="18" fillId="3" borderId="2" xfId="0" applyNumberFormat="1" applyFont="1" applyFill="1" applyBorder="1" applyAlignment="1">
      <alignment horizontal="center" vertical="center" textRotation="90"/>
    </xf>
    <xf numFmtId="169" fontId="18" fillId="3" borderId="3" xfId="0" applyNumberFormat="1" applyFont="1" applyFill="1" applyBorder="1" applyAlignment="1">
      <alignment horizontal="center" vertical="center" textRotation="90"/>
    </xf>
    <xf numFmtId="169" fontId="18" fillId="3" borderId="5" xfId="0" applyNumberFormat="1" applyFont="1" applyFill="1" applyBorder="1" applyAlignment="1">
      <alignment horizontal="center" vertical="center" textRotation="90"/>
    </xf>
    <xf numFmtId="169" fontId="18" fillId="3" borderId="6" xfId="0" applyNumberFormat="1" applyFont="1" applyFill="1" applyBorder="1" applyAlignment="1">
      <alignment horizontal="center" vertical="center" textRotation="90"/>
    </xf>
    <xf numFmtId="169" fontId="18" fillId="3" borderId="7" xfId="0" applyNumberFormat="1" applyFont="1" applyFill="1" applyBorder="1" applyAlignment="1">
      <alignment horizontal="center" vertical="center" textRotation="90"/>
    </xf>
    <xf numFmtId="0" fontId="19" fillId="7" borderId="12" xfId="0" applyFont="1" applyFill="1" applyBorder="1" applyAlignment="1">
      <alignment horizontal="center" vertical="center" wrapText="1"/>
    </xf>
    <xf numFmtId="0" fontId="19" fillId="7" borderId="20" xfId="0" applyFont="1" applyFill="1" applyBorder="1" applyAlignment="1">
      <alignment horizontal="center" vertical="center" wrapText="1"/>
    </xf>
    <xf numFmtId="0" fontId="19" fillId="7" borderId="15" xfId="0" applyFont="1" applyFill="1" applyBorder="1" applyAlignment="1">
      <alignment horizontal="center" vertical="center" wrapText="1"/>
    </xf>
    <xf numFmtId="0" fontId="19" fillId="7" borderId="21" xfId="0" applyFont="1" applyFill="1" applyBorder="1" applyAlignment="1">
      <alignment horizontal="center" vertical="center" wrapText="1"/>
    </xf>
    <xf numFmtId="0" fontId="19" fillId="7" borderId="46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19" fillId="7" borderId="16" xfId="0" applyFont="1" applyFill="1" applyBorder="1" applyAlignment="1">
      <alignment horizontal="center" vertical="center" wrapText="1"/>
    </xf>
    <xf numFmtId="0" fontId="19" fillId="7" borderId="29" xfId="0" applyFont="1" applyFill="1" applyBorder="1" applyAlignment="1">
      <alignment horizontal="center" vertical="center" wrapText="1"/>
    </xf>
    <xf numFmtId="0" fontId="13" fillId="7" borderId="15" xfId="0" applyFont="1" applyFill="1" applyBorder="1"/>
    <xf numFmtId="0" fontId="13" fillId="7" borderId="10" xfId="0" applyFont="1" applyFill="1" applyBorder="1"/>
    <xf numFmtId="0" fontId="13" fillId="7" borderId="20" xfId="0" applyFont="1" applyFill="1" applyBorder="1"/>
    <xf numFmtId="0" fontId="13" fillId="7" borderId="25" xfId="0" applyFont="1" applyFill="1" applyBorder="1"/>
    <xf numFmtId="0" fontId="13" fillId="7" borderId="21" xfId="0" applyFont="1" applyFill="1" applyBorder="1"/>
    <xf numFmtId="0" fontId="19" fillId="7" borderId="36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shrinkToFit="1"/>
    </xf>
    <xf numFmtId="0" fontId="23" fillId="7" borderId="3" xfId="0" applyFont="1" applyFill="1" applyBorder="1" applyAlignment="1">
      <alignment shrinkToFit="1"/>
    </xf>
    <xf numFmtId="0" fontId="23" fillId="7" borderId="1" xfId="0" applyFont="1" applyFill="1" applyBorder="1" applyAlignment="1">
      <alignment shrinkToFit="1"/>
    </xf>
    <xf numFmtId="0" fontId="24" fillId="7" borderId="38" xfId="0" applyFont="1" applyFill="1" applyBorder="1" applyAlignment="1">
      <alignment horizontal="left" vertical="center" shrinkToFit="1"/>
    </xf>
    <xf numFmtId="0" fontId="24" fillId="7" borderId="33" xfId="0" applyFont="1" applyFill="1" applyBorder="1" applyAlignment="1">
      <alignment horizontal="left" vertical="center" shrinkToFit="1"/>
    </xf>
    <xf numFmtId="0" fontId="13" fillId="0" borderId="0" xfId="0" applyFont="1" applyAlignment="1">
      <alignment shrinkToFit="1"/>
    </xf>
    <xf numFmtId="0" fontId="16" fillId="0" borderId="0" xfId="0" applyFont="1"/>
    <xf numFmtId="0" fontId="16" fillId="5" borderId="44" xfId="0" applyFont="1" applyFill="1" applyBorder="1" applyAlignment="1">
      <alignment vertical="center" wrapText="1"/>
    </xf>
    <xf numFmtId="0" fontId="23" fillId="4" borderId="2" xfId="0" applyFont="1" applyFill="1" applyBorder="1"/>
    <xf numFmtId="0" fontId="23" fillId="4" borderId="3" xfId="0" applyFont="1" applyFill="1" applyBorder="1"/>
    <xf numFmtId="0" fontId="23" fillId="4" borderId="1" xfId="0" applyFont="1" applyFill="1" applyBorder="1"/>
    <xf numFmtId="0" fontId="23" fillId="4" borderId="4" xfId="0" applyFont="1" applyFill="1" applyBorder="1"/>
    <xf numFmtId="0" fontId="26" fillId="2" borderId="39" xfId="0" applyFont="1" applyFill="1" applyBorder="1" applyAlignment="1">
      <alignment horizontal="left" vertical="center" wrapText="1"/>
    </xf>
    <xf numFmtId="0" fontId="27" fillId="2" borderId="30" xfId="0" applyFont="1" applyFill="1" applyBorder="1" applyAlignment="1">
      <alignment horizontal="left" vertical="top" wrapText="1"/>
    </xf>
    <xf numFmtId="0" fontId="28" fillId="2" borderId="45" xfId="0" applyFont="1" applyFill="1" applyBorder="1" applyAlignment="1">
      <alignment horizontal="left" vertical="top" wrapText="1"/>
    </xf>
    <xf numFmtId="0" fontId="28" fillId="0" borderId="45" xfId="0" applyFont="1" applyBorder="1" applyAlignment="1">
      <alignment horizontal="left" vertical="top" wrapText="1"/>
    </xf>
    <xf numFmtId="0" fontId="26" fillId="0" borderId="39" xfId="0" applyFont="1" applyBorder="1" applyAlignment="1">
      <alignment horizontal="left" vertical="center" wrapText="1"/>
    </xf>
    <xf numFmtId="0" fontId="27" fillId="0" borderId="30" xfId="0" applyFont="1" applyBorder="1" applyAlignment="1">
      <alignment horizontal="left" vertical="top" wrapText="1"/>
    </xf>
    <xf numFmtId="0" fontId="23" fillId="6" borderId="2" xfId="0" applyFont="1" applyFill="1" applyBorder="1"/>
    <xf numFmtId="0" fontId="23" fillId="6" borderId="3" xfId="0" applyFont="1" applyFill="1" applyBorder="1"/>
    <xf numFmtId="0" fontId="23" fillId="6" borderId="1" xfId="0" applyFont="1" applyFill="1" applyBorder="1"/>
    <xf numFmtId="0" fontId="26" fillId="6" borderId="39" xfId="0" applyFont="1" applyFill="1" applyBorder="1" applyAlignment="1">
      <alignment horizontal="left" vertical="top" wrapText="1"/>
    </xf>
    <xf numFmtId="0" fontId="26" fillId="6" borderId="30" xfId="0" applyFont="1" applyFill="1" applyBorder="1" applyAlignment="1">
      <alignment horizontal="left" vertical="top" wrapText="1"/>
    </xf>
    <xf numFmtId="0" fontId="15" fillId="6" borderId="44" xfId="0" applyFont="1" applyFill="1" applyBorder="1" applyAlignment="1">
      <alignment vertical="center" wrapText="1" shrinkToFit="1"/>
    </xf>
    <xf numFmtId="0" fontId="23" fillId="6" borderId="2" xfId="0" applyFont="1" applyFill="1" applyBorder="1" applyAlignment="1">
      <alignment shrinkToFit="1"/>
    </xf>
    <xf numFmtId="0" fontId="23" fillId="6" borderId="3" xfId="0" applyFont="1" applyFill="1" applyBorder="1" applyAlignment="1">
      <alignment shrinkToFit="1"/>
    </xf>
    <xf numFmtId="0" fontId="23" fillId="6" borderId="1" xfId="0" applyFont="1" applyFill="1" applyBorder="1" applyAlignment="1">
      <alignment shrinkToFit="1"/>
    </xf>
    <xf numFmtId="0" fontId="24" fillId="6" borderId="39" xfId="0" applyFont="1" applyFill="1" applyBorder="1" applyAlignment="1">
      <alignment horizontal="left" vertical="top" shrinkToFit="1"/>
    </xf>
    <xf numFmtId="0" fontId="24" fillId="6" borderId="30" xfId="0" applyFont="1" applyFill="1" applyBorder="1" applyAlignment="1">
      <alignment horizontal="left" vertical="top" shrinkToFit="1"/>
    </xf>
    <xf numFmtId="0" fontId="21" fillId="0" borderId="44" xfId="0" applyFont="1" applyBorder="1" applyAlignment="1">
      <alignment vertical="center" wrapText="1" shrinkToFit="1"/>
    </xf>
    <xf numFmtId="0" fontId="23" fillId="4" borderId="2" xfId="0" applyFont="1" applyFill="1" applyBorder="1" applyAlignment="1">
      <alignment shrinkToFit="1"/>
    </xf>
    <xf numFmtId="0" fontId="23" fillId="4" borderId="3" xfId="0" applyFont="1" applyFill="1" applyBorder="1" applyAlignment="1">
      <alignment shrinkToFit="1"/>
    </xf>
    <xf numFmtId="0" fontId="23" fillId="4" borderId="1" xfId="0" applyFont="1" applyFill="1" applyBorder="1" applyAlignment="1">
      <alignment shrinkToFit="1"/>
    </xf>
    <xf numFmtId="0" fontId="24" fillId="2" borderId="39" xfId="0" applyFont="1" applyFill="1" applyBorder="1" applyAlignment="1">
      <alignment horizontal="left" vertical="center" shrinkToFit="1"/>
    </xf>
    <xf numFmtId="0" fontId="24" fillId="2" borderId="30" xfId="0" applyFont="1" applyFill="1" applyBorder="1" applyAlignment="1">
      <alignment horizontal="left" vertical="center" shrinkToFit="1"/>
    </xf>
    <xf numFmtId="0" fontId="24" fillId="2" borderId="37" xfId="0" applyFont="1" applyFill="1" applyBorder="1" applyAlignment="1">
      <alignment horizontal="left" vertical="center" shrinkToFit="1"/>
    </xf>
    <xf numFmtId="0" fontId="24" fillId="2" borderId="34" xfId="0" applyFont="1" applyFill="1" applyBorder="1" applyAlignment="1">
      <alignment horizontal="left" vertical="center" shrinkToFit="1"/>
    </xf>
    <xf numFmtId="0" fontId="24" fillId="2" borderId="39" xfId="0" applyFont="1" applyFill="1" applyBorder="1" applyAlignment="1">
      <alignment horizontal="left" vertical="top" shrinkToFit="1"/>
    </xf>
    <xf numFmtId="0" fontId="24" fillId="2" borderId="30" xfId="0" applyFont="1" applyFill="1" applyBorder="1" applyAlignment="1">
      <alignment horizontal="left" vertical="top" shrinkToFit="1"/>
    </xf>
    <xf numFmtId="0" fontId="24" fillId="2" borderId="37" xfId="0" applyFont="1" applyFill="1" applyBorder="1" applyAlignment="1">
      <alignment horizontal="left" vertical="top" shrinkToFit="1"/>
    </xf>
    <xf numFmtId="0" fontId="24" fillId="2" borderId="34" xfId="0" applyFont="1" applyFill="1" applyBorder="1" applyAlignment="1">
      <alignment horizontal="left" vertical="top" shrinkToFit="1"/>
    </xf>
    <xf numFmtId="0" fontId="15" fillId="6" borderId="44" xfId="0" applyFont="1" applyFill="1" applyBorder="1" applyAlignment="1">
      <alignment vertical="center" wrapText="1"/>
    </xf>
    <xf numFmtId="0" fontId="15" fillId="7" borderId="44" xfId="0" applyFont="1" applyFill="1" applyBorder="1" applyAlignment="1">
      <alignment vertical="center" wrapText="1" shrinkToFit="1"/>
    </xf>
    <xf numFmtId="0" fontId="26" fillId="7" borderId="39" xfId="0" applyFont="1" applyFill="1" applyBorder="1" applyAlignment="1">
      <alignment horizontal="left" vertical="top" shrinkToFit="1"/>
    </xf>
    <xf numFmtId="0" fontId="26" fillId="7" borderId="30" xfId="0" applyFont="1" applyFill="1" applyBorder="1" applyAlignment="1">
      <alignment horizontal="left" vertical="top" shrinkToFit="1"/>
    </xf>
    <xf numFmtId="0" fontId="26" fillId="6" borderId="39" xfId="0" applyFont="1" applyFill="1" applyBorder="1" applyAlignment="1">
      <alignment horizontal="left" vertical="top" shrinkToFit="1"/>
    </xf>
    <xf numFmtId="0" fontId="26" fillId="6" borderId="30" xfId="0" applyFont="1" applyFill="1" applyBorder="1" applyAlignment="1">
      <alignment horizontal="left" vertical="top" shrinkToFit="1"/>
    </xf>
    <xf numFmtId="0" fontId="30" fillId="6" borderId="44" xfId="0" applyFont="1" applyFill="1" applyBorder="1" applyAlignment="1">
      <alignment vertical="center" wrapText="1" shrinkToFit="1"/>
    </xf>
    <xf numFmtId="0" fontId="21" fillId="5" borderId="44" xfId="0" applyFont="1" applyFill="1" applyBorder="1" applyAlignment="1">
      <alignment vertical="center" wrapText="1" shrinkToFit="1"/>
    </xf>
    <xf numFmtId="0" fontId="26" fillId="2" borderId="39" xfId="0" applyFont="1" applyFill="1" applyBorder="1" applyAlignment="1">
      <alignment horizontal="left" vertical="top" shrinkToFit="1"/>
    </xf>
    <xf numFmtId="0" fontId="26" fillId="2" borderId="30" xfId="0" applyFont="1" applyFill="1" applyBorder="1" applyAlignment="1">
      <alignment horizontal="left" vertical="top" shrinkToFit="1"/>
    </xf>
    <xf numFmtId="0" fontId="31" fillId="5" borderId="44" xfId="0" applyFont="1" applyFill="1" applyBorder="1" applyAlignment="1">
      <alignment vertical="center" wrapText="1" shrinkToFit="1"/>
    </xf>
    <xf numFmtId="0" fontId="26" fillId="6" borderId="39" xfId="0" applyFont="1" applyFill="1" applyBorder="1" applyAlignment="1">
      <alignment horizontal="left" vertical="center" shrinkToFit="1"/>
    </xf>
    <xf numFmtId="0" fontId="26" fillId="6" borderId="30" xfId="0" applyFont="1" applyFill="1" applyBorder="1" applyAlignment="1">
      <alignment horizontal="left" vertical="center" shrinkToFit="1"/>
    </xf>
    <xf numFmtId="0" fontId="26" fillId="2" borderId="37" xfId="0" applyFont="1" applyFill="1" applyBorder="1" applyAlignment="1">
      <alignment horizontal="left" vertical="center" shrinkToFit="1"/>
    </xf>
    <xf numFmtId="0" fontId="26" fillId="2" borderId="34" xfId="0" applyFont="1" applyFill="1" applyBorder="1" applyAlignment="1">
      <alignment horizontal="left" vertical="center" shrinkToFit="1"/>
    </xf>
    <xf numFmtId="0" fontId="26" fillId="2" borderId="38" xfId="0" applyFont="1" applyFill="1" applyBorder="1" applyAlignment="1">
      <alignment horizontal="left" vertical="top" shrinkToFit="1"/>
    </xf>
    <xf numFmtId="0" fontId="26" fillId="2" borderId="33" xfId="0" applyFont="1" applyFill="1" applyBorder="1" applyAlignment="1">
      <alignment horizontal="left" vertical="top" shrinkToFit="1"/>
    </xf>
    <xf numFmtId="0" fontId="26" fillId="2" borderId="37" xfId="0" applyFont="1" applyFill="1" applyBorder="1" applyAlignment="1">
      <alignment horizontal="left" vertical="top" shrinkToFit="1"/>
    </xf>
    <xf numFmtId="0" fontId="26" fillId="2" borderId="34" xfId="0" applyFont="1" applyFill="1" applyBorder="1" applyAlignment="1">
      <alignment horizontal="left" vertical="top" shrinkToFit="1"/>
    </xf>
    <xf numFmtId="0" fontId="26" fillId="6" borderId="37" xfId="0" applyFont="1" applyFill="1" applyBorder="1" applyAlignment="1">
      <alignment horizontal="left" vertical="center" shrinkToFit="1"/>
    </xf>
    <xf numFmtId="0" fontId="26" fillId="6" borderId="34" xfId="0" applyFont="1" applyFill="1" applyBorder="1" applyAlignment="1">
      <alignment horizontal="left" vertical="center" shrinkToFit="1"/>
    </xf>
    <xf numFmtId="0" fontId="26" fillId="2" borderId="38" xfId="0" applyFont="1" applyFill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left" vertical="center" shrinkToFit="1"/>
    </xf>
    <xf numFmtId="0" fontId="26" fillId="2" borderId="39" xfId="0" applyFont="1" applyFill="1" applyBorder="1" applyAlignment="1">
      <alignment vertical="top" shrinkToFit="1"/>
    </xf>
    <xf numFmtId="0" fontId="26" fillId="2" borderId="30" xfId="0" applyFont="1" applyFill="1" applyBorder="1" applyAlignment="1">
      <alignment vertical="top" shrinkToFit="1"/>
    </xf>
    <xf numFmtId="0" fontId="24" fillId="2" borderId="38" xfId="0" applyFont="1" applyFill="1" applyBorder="1" applyAlignment="1">
      <alignment horizontal="left" vertical="center" shrinkToFit="1"/>
    </xf>
    <xf numFmtId="0" fontId="24" fillId="2" borderId="33" xfId="0" applyFont="1" applyFill="1" applyBorder="1" applyAlignment="1">
      <alignment horizontal="left" vertical="center" shrinkToFit="1"/>
    </xf>
    <xf numFmtId="0" fontId="32" fillId="0" borderId="39" xfId="0" applyFont="1" applyBorder="1" applyAlignment="1">
      <alignment vertical="top" shrinkToFit="1"/>
    </xf>
    <xf numFmtId="0" fontId="32" fillId="0" borderId="30" xfId="0" applyFont="1" applyBorder="1" applyAlignment="1">
      <alignment vertical="top" shrinkToFit="1"/>
    </xf>
    <xf numFmtId="0" fontId="26" fillId="2" borderId="39" xfId="0" applyFont="1" applyFill="1" applyBorder="1" applyAlignment="1">
      <alignment horizontal="left" vertical="center" shrinkToFit="1"/>
    </xf>
    <xf numFmtId="0" fontId="26" fillId="2" borderId="30" xfId="0" applyFont="1" applyFill="1" applyBorder="1" applyAlignment="1">
      <alignment horizontal="left" vertical="center" shrinkToFit="1"/>
    </xf>
    <xf numFmtId="0" fontId="33" fillId="4" borderId="2" xfId="0" applyFont="1" applyFill="1" applyBorder="1" applyAlignment="1">
      <alignment shrinkToFit="1"/>
    </xf>
    <xf numFmtId="0" fontId="33" fillId="4" borderId="3" xfId="0" applyFont="1" applyFill="1" applyBorder="1" applyAlignment="1">
      <alignment shrinkToFit="1"/>
    </xf>
    <xf numFmtId="0" fontId="33" fillId="4" borderId="1" xfId="0" applyFont="1" applyFill="1" applyBorder="1" applyAlignment="1">
      <alignment shrinkToFit="1"/>
    </xf>
    <xf numFmtId="0" fontId="21" fillId="0" borderId="0" xfId="0" applyFont="1" applyAlignment="1">
      <alignment shrinkToFit="1"/>
    </xf>
    <xf numFmtId="0" fontId="24" fillId="7" borderId="37" xfId="0" applyFont="1" applyFill="1" applyBorder="1" applyAlignment="1">
      <alignment horizontal="left" vertical="center" shrinkToFit="1"/>
    </xf>
    <xf numFmtId="0" fontId="24" fillId="7" borderId="34" xfId="0" applyFont="1" applyFill="1" applyBorder="1" applyAlignment="1">
      <alignment horizontal="left" vertical="center" shrinkToFit="1"/>
    </xf>
    <xf numFmtId="0" fontId="24" fillId="2" borderId="24" xfId="0" applyFont="1" applyFill="1" applyBorder="1" applyAlignment="1">
      <alignment horizontal="left" vertical="center" shrinkToFit="1"/>
    </xf>
    <xf numFmtId="0" fontId="24" fillId="2" borderId="40" xfId="0" applyFont="1" applyFill="1" applyBorder="1" applyAlignment="1">
      <alignment horizontal="left" vertical="center" shrinkToFit="1"/>
    </xf>
    <xf numFmtId="49" fontId="15" fillId="6" borderId="30" xfId="0" applyNumberFormat="1" applyFont="1" applyFill="1" applyBorder="1" applyAlignment="1">
      <alignment horizontal="center" vertical="center" shrinkToFit="1"/>
    </xf>
    <xf numFmtId="0" fontId="24" fillId="6" borderId="38" xfId="0" applyFont="1" applyFill="1" applyBorder="1" applyAlignment="1">
      <alignment horizontal="left" vertical="center" shrinkToFit="1"/>
    </xf>
    <xf numFmtId="0" fontId="24" fillId="6" borderId="33" xfId="0" applyFont="1" applyFill="1" applyBorder="1" applyAlignment="1">
      <alignment horizontal="left" vertical="center" shrinkToFit="1"/>
    </xf>
    <xf numFmtId="49" fontId="13" fillId="0" borderId="30" xfId="0" applyNumberFormat="1" applyFont="1" applyBorder="1" applyAlignment="1">
      <alignment horizontal="center" vertical="center" shrinkToFit="1"/>
    </xf>
    <xf numFmtId="49" fontId="16" fillId="6" borderId="30" xfId="0" applyNumberFormat="1" applyFont="1" applyFill="1" applyBorder="1" applyAlignment="1">
      <alignment horizontal="center" vertical="center" shrinkToFit="1"/>
    </xf>
    <xf numFmtId="49" fontId="16" fillId="7" borderId="30" xfId="0" applyNumberFormat="1" applyFont="1" applyFill="1" applyBorder="1" applyAlignment="1">
      <alignment horizontal="center" vertical="center"/>
    </xf>
    <xf numFmtId="0" fontId="24" fillId="7" borderId="38" xfId="0" applyFont="1" applyFill="1" applyBorder="1" applyAlignment="1">
      <alignment horizontal="left" vertical="center" wrapText="1"/>
    </xf>
    <xf numFmtId="0" fontId="24" fillId="7" borderId="33" xfId="0" applyFont="1" applyFill="1" applyBorder="1" applyAlignment="1">
      <alignment horizontal="left" vertical="center" wrapText="1"/>
    </xf>
    <xf numFmtId="49" fontId="13" fillId="0" borderId="30" xfId="0" applyNumberFormat="1" applyFont="1" applyBorder="1" applyAlignment="1">
      <alignment horizontal="center" vertical="center"/>
    </xf>
    <xf numFmtId="0" fontId="24" fillId="2" borderId="38" xfId="0" applyFont="1" applyFill="1" applyBorder="1" applyAlignment="1">
      <alignment horizontal="left" vertical="center" wrapText="1"/>
    </xf>
    <xf numFmtId="0" fontId="24" fillId="2" borderId="33" xfId="0" applyFont="1" applyFill="1" applyBorder="1" applyAlignment="1">
      <alignment horizontal="left" vertical="center" wrapText="1"/>
    </xf>
    <xf numFmtId="49" fontId="13" fillId="6" borderId="30" xfId="0" applyNumberFormat="1" applyFont="1" applyFill="1" applyBorder="1" applyAlignment="1">
      <alignment horizontal="center" vertical="center"/>
    </xf>
    <xf numFmtId="0" fontId="24" fillId="6" borderId="38" xfId="0" applyFont="1" applyFill="1" applyBorder="1" applyAlignment="1">
      <alignment horizontal="left" vertical="center" wrapText="1"/>
    </xf>
    <xf numFmtId="0" fontId="24" fillId="6" borderId="33" xfId="0" applyFont="1" applyFill="1" applyBorder="1" applyAlignment="1">
      <alignment horizontal="left" vertical="center" wrapText="1"/>
    </xf>
    <xf numFmtId="49" fontId="13" fillId="2" borderId="30" xfId="0" applyNumberFormat="1" applyFont="1" applyFill="1" applyBorder="1" applyAlignment="1">
      <alignment horizontal="center" vertical="center"/>
    </xf>
    <xf numFmtId="0" fontId="13" fillId="2" borderId="0" xfId="0" applyFont="1" applyFill="1"/>
    <xf numFmtId="49" fontId="21" fillId="0" borderId="30" xfId="0" applyNumberFormat="1" applyFont="1" applyBorder="1" applyAlignment="1">
      <alignment horizontal="center" vertical="center"/>
    </xf>
    <xf numFmtId="49" fontId="15" fillId="7" borderId="30" xfId="0" applyNumberFormat="1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left" vertical="center" wrapText="1"/>
    </xf>
    <xf numFmtId="0" fontId="32" fillId="7" borderId="33" xfId="0" applyFont="1" applyFill="1" applyBorder="1" applyAlignment="1">
      <alignment horizontal="left" vertical="center" wrapText="1"/>
    </xf>
    <xf numFmtId="49" fontId="21" fillId="2" borderId="30" xfId="0" applyNumberFormat="1" applyFont="1" applyFill="1" applyBorder="1" applyAlignment="1">
      <alignment horizontal="center" vertical="center"/>
    </xf>
    <xf numFmtId="0" fontId="32" fillId="2" borderId="38" xfId="0" applyFont="1" applyFill="1" applyBorder="1" applyAlignment="1">
      <alignment horizontal="left" vertical="center" wrapText="1"/>
    </xf>
    <xf numFmtId="0" fontId="32" fillId="2" borderId="33" xfId="0" applyFont="1" applyFill="1" applyBorder="1" applyAlignment="1">
      <alignment horizontal="left" vertical="center" wrapText="1"/>
    </xf>
    <xf numFmtId="49" fontId="21" fillId="6" borderId="30" xfId="0" applyNumberFormat="1" applyFont="1" applyFill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49" fontId="16" fillId="6" borderId="30" xfId="0" applyNumberFormat="1" applyFont="1" applyFill="1" applyBorder="1" applyAlignment="1">
      <alignment horizontal="center" vertical="center"/>
    </xf>
    <xf numFmtId="14" fontId="22" fillId="7" borderId="17" xfId="0" applyNumberFormat="1" applyFont="1" applyFill="1" applyBorder="1" applyAlignment="1">
      <alignment horizontal="center" vertical="center"/>
    </xf>
    <xf numFmtId="14" fontId="22" fillId="7" borderId="18" xfId="0" applyNumberFormat="1" applyFont="1" applyFill="1" applyBorder="1" applyAlignment="1">
      <alignment horizontal="center" vertical="center"/>
    </xf>
    <xf numFmtId="0" fontId="16" fillId="6" borderId="0" xfId="0" applyFont="1" applyFill="1"/>
    <xf numFmtId="0" fontId="32" fillId="6" borderId="38" xfId="0" applyFont="1" applyFill="1" applyBorder="1" applyAlignment="1">
      <alignment horizontal="left" vertical="center" wrapText="1"/>
    </xf>
    <xf numFmtId="0" fontId="32" fillId="6" borderId="33" xfId="0" applyFont="1" applyFill="1" applyBorder="1" applyAlignment="1">
      <alignment horizontal="left" vertical="center" wrapText="1"/>
    </xf>
    <xf numFmtId="0" fontId="13" fillId="8" borderId="0" xfId="0" applyFont="1" applyFill="1"/>
    <xf numFmtId="0" fontId="24" fillId="8" borderId="38" xfId="0" applyFont="1" applyFill="1" applyBorder="1" applyAlignment="1">
      <alignment horizontal="left" vertical="center" wrapText="1"/>
    </xf>
    <xf numFmtId="0" fontId="24" fillId="8" borderId="33" xfId="0" applyFont="1" applyFill="1" applyBorder="1" applyAlignment="1">
      <alignment horizontal="left" vertical="center" wrapText="1"/>
    </xf>
    <xf numFmtId="0" fontId="28" fillId="9" borderId="44" xfId="0" applyFont="1" applyFill="1" applyBorder="1" applyAlignment="1">
      <alignment horizontal="left" vertical="center" wrapText="1"/>
    </xf>
    <xf numFmtId="0" fontId="23" fillId="9" borderId="2" xfId="0" applyFont="1" applyFill="1" applyBorder="1"/>
    <xf numFmtId="0" fontId="23" fillId="9" borderId="3" xfId="0" applyFont="1" applyFill="1" applyBorder="1"/>
    <xf numFmtId="0" fontId="23" fillId="9" borderId="1" xfId="0" applyFont="1" applyFill="1" applyBorder="1"/>
    <xf numFmtId="0" fontId="26" fillId="9" borderId="39" xfId="0" applyFont="1" applyFill="1" applyBorder="1" applyAlignment="1">
      <alignment horizontal="left" vertical="top" wrapText="1"/>
    </xf>
    <xf numFmtId="0" fontId="26" fillId="9" borderId="30" xfId="0" applyFont="1" applyFill="1" applyBorder="1" applyAlignment="1">
      <alignment horizontal="left" vertical="top" wrapText="1"/>
    </xf>
    <xf numFmtId="0" fontId="35" fillId="6" borderId="2" xfId="0" applyFont="1" applyFill="1" applyBorder="1"/>
    <xf numFmtId="0" fontId="35" fillId="6" borderId="3" xfId="0" applyFont="1" applyFill="1" applyBorder="1"/>
    <xf numFmtId="49" fontId="16" fillId="7" borderId="30" xfId="0" applyNumberFormat="1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shrinkToFit="1"/>
    </xf>
    <xf numFmtId="0" fontId="13" fillId="7" borderId="34" xfId="0" applyFont="1" applyFill="1" applyBorder="1" applyAlignment="1">
      <alignment shrinkToFit="1"/>
    </xf>
    <xf numFmtId="0" fontId="13" fillId="7" borderId="31" xfId="0" applyFont="1" applyFill="1" applyBorder="1"/>
    <xf numFmtId="0" fontId="17" fillId="10" borderId="44" xfId="0" applyFont="1" applyFill="1" applyBorder="1" applyAlignment="1">
      <alignment horizontal="left" vertical="center" wrapText="1"/>
    </xf>
    <xf numFmtId="0" fontId="16" fillId="10" borderId="2" xfId="0" applyFont="1" applyFill="1" applyBorder="1"/>
    <xf numFmtId="0" fontId="16" fillId="10" borderId="14" xfId="0" applyFont="1" applyFill="1" applyBorder="1"/>
    <xf numFmtId="0" fontId="16" fillId="10" borderId="1" xfId="0" applyFont="1" applyFill="1" applyBorder="1"/>
    <xf numFmtId="0" fontId="16" fillId="10" borderId="4" xfId="0" applyFont="1" applyFill="1" applyBorder="1"/>
    <xf numFmtId="0" fontId="16" fillId="10" borderId="3" xfId="0" applyFont="1" applyFill="1" applyBorder="1"/>
    <xf numFmtId="0" fontId="25" fillId="10" borderId="39" xfId="0" applyFont="1" applyFill="1" applyBorder="1" applyAlignment="1">
      <alignment horizontal="left" vertical="top" wrapText="1"/>
    </xf>
    <xf numFmtId="0" fontId="25" fillId="10" borderId="30" xfId="0" applyFont="1" applyFill="1" applyBorder="1" applyAlignment="1">
      <alignment horizontal="left" vertical="top" wrapText="1"/>
    </xf>
    <xf numFmtId="49" fontId="13" fillId="6" borderId="30" xfId="0" applyNumberFormat="1" applyFont="1" applyFill="1" applyBorder="1" applyAlignment="1">
      <alignment horizontal="center" vertical="center" shrinkToFit="1"/>
    </xf>
    <xf numFmtId="49" fontId="13" fillId="7" borderId="30" xfId="0" applyNumberFormat="1" applyFont="1" applyFill="1" applyBorder="1" applyAlignment="1">
      <alignment horizontal="center" vertical="center" shrinkToFit="1"/>
    </xf>
    <xf numFmtId="49" fontId="16" fillId="10" borderId="34" xfId="0" applyNumberFormat="1" applyFont="1" applyFill="1" applyBorder="1" applyAlignment="1">
      <alignment horizontal="center" vertical="center"/>
    </xf>
    <xf numFmtId="49" fontId="16" fillId="9" borderId="30" xfId="0" applyNumberFormat="1" applyFont="1" applyFill="1" applyBorder="1" applyAlignment="1">
      <alignment horizontal="center" vertical="center"/>
    </xf>
    <xf numFmtId="49" fontId="21" fillId="0" borderId="30" xfId="0" applyNumberFormat="1" applyFont="1" applyBorder="1" applyAlignment="1">
      <alignment horizontal="center" vertical="center" shrinkToFit="1"/>
    </xf>
    <xf numFmtId="14" fontId="39" fillId="6" borderId="2" xfId="0" applyNumberFormat="1" applyFont="1" applyFill="1" applyBorder="1" applyAlignment="1">
      <alignment horizontal="center" vertical="center"/>
    </xf>
    <xf numFmtId="14" fontId="39" fillId="0" borderId="2" xfId="0" applyNumberFormat="1" applyFont="1" applyBorder="1" applyAlignment="1">
      <alignment horizontal="center" vertical="center" shrinkToFit="1"/>
    </xf>
    <xf numFmtId="0" fontId="40" fillId="0" borderId="0" xfId="0" applyFont="1"/>
    <xf numFmtId="14" fontId="42" fillId="0" borderId="17" xfId="0" applyNumberFormat="1" applyFont="1" applyBorder="1" applyAlignment="1">
      <alignment horizontal="center" vertical="center" shrinkToFit="1"/>
    </xf>
    <xf numFmtId="14" fontId="42" fillId="0" borderId="18" xfId="0" applyNumberFormat="1" applyFont="1" applyBorder="1" applyAlignment="1">
      <alignment horizontal="center" vertical="center" shrinkToFit="1"/>
    </xf>
    <xf numFmtId="14" fontId="37" fillId="7" borderId="17" xfId="0" applyNumberFormat="1" applyFont="1" applyFill="1" applyBorder="1" applyAlignment="1">
      <alignment horizontal="center" vertical="center"/>
    </xf>
    <xf numFmtId="14" fontId="37" fillId="7" borderId="18" xfId="0" applyNumberFormat="1" applyFont="1" applyFill="1" applyBorder="1" applyAlignment="1">
      <alignment horizontal="center" vertical="center"/>
    </xf>
    <xf numFmtId="14" fontId="43" fillId="0" borderId="17" xfId="0" applyNumberFormat="1" applyFont="1" applyBorder="1" applyAlignment="1">
      <alignment horizontal="center" vertical="center"/>
    </xf>
    <xf numFmtId="14" fontId="43" fillId="0" borderId="18" xfId="0" applyNumberFormat="1" applyFont="1" applyBorder="1" applyAlignment="1">
      <alignment horizontal="center" vertical="center"/>
    </xf>
    <xf numFmtId="14" fontId="43" fillId="6" borderId="17" xfId="0" applyNumberFormat="1" applyFont="1" applyFill="1" applyBorder="1" applyAlignment="1">
      <alignment horizontal="center" vertical="center"/>
    </xf>
    <xf numFmtId="14" fontId="43" fillId="6" borderId="18" xfId="0" applyNumberFormat="1" applyFont="1" applyFill="1" applyBorder="1" applyAlignment="1">
      <alignment horizontal="center" vertical="center"/>
    </xf>
    <xf numFmtId="14" fontId="43" fillId="7" borderId="17" xfId="0" applyNumberFormat="1" applyFont="1" applyFill="1" applyBorder="1" applyAlignment="1">
      <alignment horizontal="center" vertical="center"/>
    </xf>
    <xf numFmtId="14" fontId="43" fillId="7" borderId="18" xfId="0" applyNumberFormat="1" applyFont="1" applyFill="1" applyBorder="1" applyAlignment="1">
      <alignment horizontal="center" vertical="center"/>
    </xf>
    <xf numFmtId="14" fontId="43" fillId="8" borderId="17" xfId="0" applyNumberFormat="1" applyFont="1" applyFill="1" applyBorder="1" applyAlignment="1">
      <alignment horizontal="center" vertical="center"/>
    </xf>
    <xf numFmtId="14" fontId="43" fillId="8" borderId="18" xfId="0" applyNumberFormat="1" applyFont="1" applyFill="1" applyBorder="1" applyAlignment="1">
      <alignment horizontal="center" vertical="center"/>
    </xf>
    <xf numFmtId="14" fontId="44" fillId="6" borderId="17" xfId="0" applyNumberFormat="1" applyFont="1" applyFill="1" applyBorder="1" applyAlignment="1">
      <alignment horizontal="center" vertical="center"/>
    </xf>
    <xf numFmtId="14" fontId="44" fillId="6" borderId="18" xfId="0" applyNumberFormat="1" applyFont="1" applyFill="1" applyBorder="1" applyAlignment="1">
      <alignment horizontal="center" vertical="center"/>
    </xf>
    <xf numFmtId="1" fontId="45" fillId="12" borderId="30" xfId="47" applyNumberFormat="1" applyFont="1" applyFill="1" applyBorder="1" applyAlignment="1">
      <alignment horizontal="center" vertical="center" wrapText="1"/>
    </xf>
    <xf numFmtId="14" fontId="39" fillId="0" borderId="4" xfId="0" applyNumberFormat="1" applyFont="1" applyBorder="1" applyAlignment="1">
      <alignment horizontal="center" vertical="center" shrinkToFit="1"/>
    </xf>
    <xf numFmtId="14" fontId="38" fillId="7" borderId="4" xfId="0" applyNumberFormat="1" applyFont="1" applyFill="1" applyBorder="1" applyAlignment="1">
      <alignment horizontal="center" vertical="center"/>
    </xf>
    <xf numFmtId="14" fontId="38" fillId="7" borderId="2" xfId="0" applyNumberFormat="1" applyFont="1" applyFill="1" applyBorder="1" applyAlignment="1">
      <alignment horizontal="center" vertical="center"/>
    </xf>
    <xf numFmtId="14" fontId="39" fillId="0" borderId="4" xfId="0" applyNumberFormat="1" applyFont="1" applyBorder="1" applyAlignment="1">
      <alignment horizontal="center" vertical="center"/>
    </xf>
    <xf numFmtId="14" fontId="39" fillId="0" borderId="2" xfId="0" applyNumberFormat="1" applyFont="1" applyBorder="1" applyAlignment="1">
      <alignment horizontal="center" vertical="center"/>
    </xf>
    <xf numFmtId="14" fontId="39" fillId="6" borderId="4" xfId="0" applyNumberFormat="1" applyFont="1" applyFill="1" applyBorder="1" applyAlignment="1">
      <alignment horizontal="center" vertical="center"/>
    </xf>
    <xf numFmtId="14" fontId="39" fillId="7" borderId="4" xfId="0" applyNumberFormat="1" applyFont="1" applyFill="1" applyBorder="1" applyAlignment="1">
      <alignment horizontal="center" vertical="center"/>
    </xf>
    <xf numFmtId="14" fontId="39" fillId="7" borderId="2" xfId="0" applyNumberFormat="1" applyFont="1" applyFill="1" applyBorder="1" applyAlignment="1">
      <alignment horizontal="center" vertical="center"/>
    </xf>
    <xf numFmtId="14" fontId="39" fillId="8" borderId="4" xfId="0" applyNumberFormat="1" applyFont="1" applyFill="1" applyBorder="1" applyAlignment="1">
      <alignment horizontal="center" vertical="center"/>
    </xf>
    <xf numFmtId="14" fontId="39" fillId="8" borderId="2" xfId="0" applyNumberFormat="1" applyFont="1" applyFill="1" applyBorder="1" applyAlignment="1">
      <alignment horizontal="center" vertical="center"/>
    </xf>
    <xf numFmtId="14" fontId="41" fillId="6" borderId="4" xfId="0" applyNumberFormat="1" applyFont="1" applyFill="1" applyBorder="1" applyAlignment="1">
      <alignment horizontal="center" vertical="center"/>
    </xf>
    <xf numFmtId="14" fontId="41" fillId="6" borderId="2" xfId="0" applyNumberFormat="1" applyFont="1" applyFill="1" applyBorder="1" applyAlignment="1">
      <alignment horizontal="center" vertical="center"/>
    </xf>
    <xf numFmtId="0" fontId="46" fillId="3" borderId="19" xfId="0" applyFont="1" applyFill="1" applyBorder="1" applyAlignment="1">
      <alignment horizontal="center" vertical="center" wrapText="1"/>
    </xf>
    <xf numFmtId="0" fontId="46" fillId="3" borderId="7" xfId="0" applyFont="1" applyFill="1" applyBorder="1" applyAlignment="1">
      <alignment horizontal="center" vertical="center" wrapText="1"/>
    </xf>
    <xf numFmtId="0" fontId="37" fillId="3" borderId="17" xfId="0" applyFont="1" applyFill="1" applyBorder="1" applyAlignment="1">
      <alignment horizontal="center" vertical="center" wrapText="1"/>
    </xf>
    <xf numFmtId="0" fontId="37" fillId="3" borderId="18" xfId="0" applyFont="1" applyFill="1" applyBorder="1" applyAlignment="1">
      <alignment horizontal="center" vertical="center" wrapText="1"/>
    </xf>
    <xf numFmtId="0" fontId="37" fillId="3" borderId="11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1" fontId="45" fillId="6" borderId="30" xfId="47" applyNumberFormat="1" applyFont="1" applyFill="1" applyBorder="1" applyAlignment="1">
      <alignment horizontal="center" vertical="center" wrapText="1"/>
    </xf>
    <xf numFmtId="49" fontId="48" fillId="7" borderId="30" xfId="0" applyNumberFormat="1" applyFont="1" applyFill="1" applyBorder="1" applyAlignment="1">
      <alignment horizontal="center" vertical="center" shrinkToFit="1"/>
    </xf>
    <xf numFmtId="49" fontId="46" fillId="6" borderId="30" xfId="0" applyNumberFormat="1" applyFont="1" applyFill="1" applyBorder="1" applyAlignment="1">
      <alignment horizontal="center" vertical="center" shrinkToFit="1"/>
    </xf>
    <xf numFmtId="49" fontId="19" fillId="0" borderId="30" xfId="0" applyNumberFormat="1" applyFont="1" applyBorder="1" applyAlignment="1">
      <alignment horizontal="center" vertical="center" shrinkToFit="1"/>
    </xf>
    <xf numFmtId="49" fontId="49" fillId="0" borderId="30" xfId="0" applyNumberFormat="1" applyFont="1" applyBorder="1" applyAlignment="1">
      <alignment horizontal="center" vertical="center" shrinkToFit="1"/>
    </xf>
    <xf numFmtId="49" fontId="49" fillId="0" borderId="30" xfId="0" applyNumberFormat="1" applyFont="1" applyBorder="1" applyAlignment="1">
      <alignment horizontal="center" vertical="center"/>
    </xf>
    <xf numFmtId="49" fontId="49" fillId="2" borderId="30" xfId="0" applyNumberFormat="1" applyFont="1" applyFill="1" applyBorder="1" applyAlignment="1">
      <alignment horizontal="center" vertical="center"/>
    </xf>
    <xf numFmtId="0" fontId="49" fillId="0" borderId="0" xfId="0" applyFont="1"/>
    <xf numFmtId="49" fontId="19" fillId="0" borderId="30" xfId="0" applyNumberFormat="1" applyFont="1" applyBorder="1" applyAlignment="1">
      <alignment horizontal="center" vertical="center"/>
    </xf>
    <xf numFmtId="49" fontId="15" fillId="6" borderId="30" xfId="0" applyNumberFormat="1" applyFont="1" applyFill="1" applyBorder="1" applyAlignment="1">
      <alignment horizontal="center" vertical="center"/>
    </xf>
    <xf numFmtId="0" fontId="50" fillId="6" borderId="2" xfId="0" applyFont="1" applyFill="1" applyBorder="1" applyAlignment="1">
      <alignment shrinkToFit="1"/>
    </xf>
    <xf numFmtId="0" fontId="50" fillId="6" borderId="3" xfId="0" applyFont="1" applyFill="1" applyBorder="1" applyAlignment="1">
      <alignment shrinkToFit="1"/>
    </xf>
    <xf numFmtId="0" fontId="50" fillId="4" borderId="2" xfId="0" applyFont="1" applyFill="1" applyBorder="1" applyAlignment="1">
      <alignment shrinkToFit="1"/>
    </xf>
    <xf numFmtId="0" fontId="50" fillId="4" borderId="3" xfId="0" applyFont="1" applyFill="1" applyBorder="1" applyAlignment="1">
      <alignment shrinkToFit="1"/>
    </xf>
    <xf numFmtId="14" fontId="3" fillId="6" borderId="1" xfId="0" applyNumberFormat="1" applyFont="1" applyFill="1" applyBorder="1" applyAlignment="1">
      <alignment horizontal="center" vertical="center" shrinkToFit="1"/>
    </xf>
    <xf numFmtId="14" fontId="3" fillId="6" borderId="2" xfId="0" applyNumberFormat="1" applyFont="1" applyFill="1" applyBorder="1" applyAlignment="1">
      <alignment horizontal="center" vertical="center" shrinkToFit="1"/>
    </xf>
    <xf numFmtId="14" fontId="19" fillId="6" borderId="4" xfId="0" applyNumberFormat="1" applyFont="1" applyFill="1" applyBorder="1" applyAlignment="1">
      <alignment horizontal="center" vertical="center" shrinkToFit="1"/>
    </xf>
    <xf numFmtId="14" fontId="19" fillId="6" borderId="2" xfId="0" applyNumberFormat="1" applyFont="1" applyFill="1" applyBorder="1" applyAlignment="1">
      <alignment horizontal="center" vertical="center" shrinkToFit="1"/>
    </xf>
    <xf numFmtId="1" fontId="51" fillId="6" borderId="30" xfId="47" applyNumberFormat="1" applyFont="1" applyFill="1" applyBorder="1" applyAlignment="1">
      <alignment horizontal="center" vertical="center" wrapText="1"/>
    </xf>
    <xf numFmtId="14" fontId="52" fillId="0" borderId="1" xfId="0" applyNumberFormat="1" applyFont="1" applyBorder="1" applyAlignment="1">
      <alignment horizontal="center" vertical="center" shrinkToFit="1"/>
    </xf>
    <xf numFmtId="14" fontId="52" fillId="0" borderId="2" xfId="0" applyNumberFormat="1" applyFont="1" applyBorder="1" applyAlignment="1">
      <alignment horizontal="center" vertical="center" shrinkToFit="1"/>
    </xf>
    <xf numFmtId="1" fontId="51" fillId="12" borderId="30" xfId="47" applyNumberFormat="1" applyFont="1" applyFill="1" applyBorder="1" applyAlignment="1">
      <alignment horizontal="center" vertical="center" wrapText="1"/>
    </xf>
    <xf numFmtId="14" fontId="3" fillId="6" borderId="1" xfId="0" applyNumberFormat="1" applyFont="1" applyFill="1" applyBorder="1" applyAlignment="1">
      <alignment horizontal="center" vertical="center"/>
    </xf>
    <xf numFmtId="14" fontId="3" fillId="6" borderId="2" xfId="0" applyNumberFormat="1" applyFont="1" applyFill="1" applyBorder="1" applyAlignment="1">
      <alignment horizontal="center" vertical="center"/>
    </xf>
    <xf numFmtId="14" fontId="19" fillId="6" borderId="2" xfId="0" applyNumberFormat="1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 shrinkToFit="1"/>
    </xf>
    <xf numFmtId="14" fontId="3" fillId="7" borderId="2" xfId="0" applyNumberFormat="1" applyFont="1" applyFill="1" applyBorder="1" applyAlignment="1">
      <alignment horizontal="center" vertical="center" shrinkToFit="1"/>
    </xf>
    <xf numFmtId="14" fontId="52" fillId="6" borderId="1" xfId="0" applyNumberFormat="1" applyFont="1" applyFill="1" applyBorder="1" applyAlignment="1">
      <alignment horizontal="center" vertical="center" shrinkToFit="1"/>
    </xf>
    <xf numFmtId="14" fontId="52" fillId="6" borderId="2" xfId="0" applyNumberFormat="1" applyFont="1" applyFill="1" applyBorder="1" applyAlignment="1">
      <alignment horizontal="center" vertical="center" shrinkToFit="1"/>
    </xf>
    <xf numFmtId="14" fontId="54" fillId="6" borderId="4" xfId="0" applyNumberFormat="1" applyFont="1" applyFill="1" applyBorder="1" applyAlignment="1">
      <alignment horizontal="center" vertical="center" shrinkToFit="1"/>
    </xf>
    <xf numFmtId="14" fontId="54" fillId="6" borderId="2" xfId="0" applyNumberFormat="1" applyFont="1" applyFill="1" applyBorder="1" applyAlignment="1">
      <alignment horizontal="center" vertical="center" shrinkToFit="1"/>
    </xf>
    <xf numFmtId="14" fontId="54" fillId="0" borderId="4" xfId="0" applyNumberFormat="1" applyFont="1" applyBorder="1" applyAlignment="1">
      <alignment horizontal="center" vertical="center" shrinkToFit="1"/>
    </xf>
    <xf numFmtId="14" fontId="54" fillId="0" borderId="2" xfId="0" applyNumberFormat="1" applyFont="1" applyBorder="1" applyAlignment="1">
      <alignment horizontal="center" vertical="center" shrinkToFit="1"/>
    </xf>
    <xf numFmtId="14" fontId="54" fillId="7" borderId="2" xfId="0" applyNumberFormat="1" applyFont="1" applyFill="1" applyBorder="1" applyAlignment="1">
      <alignment horizontal="center" vertical="center" shrinkToFit="1"/>
    </xf>
    <xf numFmtId="14" fontId="3" fillId="0" borderId="17" xfId="0" applyNumberFormat="1" applyFont="1" applyBorder="1" applyAlignment="1">
      <alignment horizontal="center" vertical="center" shrinkToFit="1"/>
    </xf>
    <xf numFmtId="14" fontId="3" fillId="0" borderId="18" xfId="0" applyNumberFormat="1" applyFont="1" applyBorder="1" applyAlignment="1">
      <alignment horizontal="center" vertical="center" shrinkToFit="1"/>
    </xf>
    <xf numFmtId="14" fontId="55" fillId="7" borderId="1" xfId="0" applyNumberFormat="1" applyFont="1" applyFill="1" applyBorder="1" applyAlignment="1">
      <alignment horizontal="center" vertical="center" shrinkToFit="1"/>
    </xf>
    <xf numFmtId="14" fontId="55" fillId="7" borderId="2" xfId="0" applyNumberFormat="1" applyFont="1" applyFill="1" applyBorder="1" applyAlignment="1">
      <alignment horizontal="center" vertical="center" shrinkToFit="1"/>
    </xf>
    <xf numFmtId="14" fontId="52" fillId="0" borderId="17" xfId="0" applyNumberFormat="1" applyFont="1" applyBorder="1" applyAlignment="1">
      <alignment horizontal="center" vertical="center" shrinkToFit="1"/>
    </xf>
    <xf numFmtId="14" fontId="52" fillId="0" borderId="18" xfId="0" applyNumberFormat="1" applyFont="1" applyBorder="1" applyAlignment="1">
      <alignment horizontal="center" vertical="center" shrinkToFit="1"/>
    </xf>
    <xf numFmtId="14" fontId="52" fillId="0" borderId="48" xfId="0" applyNumberFormat="1" applyFont="1" applyBorder="1" applyAlignment="1">
      <alignment horizontal="center" vertical="center" shrinkToFit="1"/>
    </xf>
    <xf numFmtId="14" fontId="52" fillId="0" borderId="42" xfId="0" applyNumberFormat="1" applyFont="1" applyBorder="1" applyAlignment="1">
      <alignment horizontal="center" vertical="center" shrinkToFit="1"/>
    </xf>
    <xf numFmtId="14" fontId="3" fillId="7" borderId="17" xfId="0" applyNumberFormat="1" applyFont="1" applyFill="1" applyBorder="1" applyAlignment="1">
      <alignment horizontal="center" vertical="center" shrinkToFit="1"/>
    </xf>
    <xf numFmtId="14" fontId="3" fillId="7" borderId="18" xfId="0" applyNumberFormat="1" applyFont="1" applyFill="1" applyBorder="1" applyAlignment="1">
      <alignment horizontal="center" vertical="center" shrinkToFit="1"/>
    </xf>
    <xf numFmtId="14" fontId="19" fillId="0" borderId="4" xfId="0" applyNumberFormat="1" applyFont="1" applyBorder="1" applyAlignment="1">
      <alignment horizontal="center" vertical="center" shrinkToFit="1"/>
    </xf>
    <xf numFmtId="14" fontId="19" fillId="0" borderId="2" xfId="0" applyNumberFormat="1" applyFont="1" applyBorder="1" applyAlignment="1">
      <alignment horizontal="center" vertical="center" shrinkToFit="1"/>
    </xf>
    <xf numFmtId="14" fontId="56" fillId="0" borderId="17" xfId="0" applyNumberFormat="1" applyFont="1" applyBorder="1" applyAlignment="1">
      <alignment horizontal="center" vertical="center"/>
    </xf>
    <xf numFmtId="14" fontId="56" fillId="0" borderId="18" xfId="0" applyNumberFormat="1" applyFont="1" applyBorder="1" applyAlignment="1">
      <alignment horizontal="center" vertical="center"/>
    </xf>
    <xf numFmtId="14" fontId="19" fillId="0" borderId="4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47" fillId="7" borderId="17" xfId="0" applyNumberFormat="1" applyFont="1" applyFill="1" applyBorder="1" applyAlignment="1">
      <alignment horizontal="center" vertical="center"/>
    </xf>
    <xf numFmtId="14" fontId="47" fillId="7" borderId="18" xfId="0" applyNumberFormat="1" applyFont="1" applyFill="1" applyBorder="1" applyAlignment="1">
      <alignment horizontal="center" vertical="center"/>
    </xf>
    <xf numFmtId="1" fontId="51" fillId="7" borderId="30" xfId="47" applyNumberFormat="1" applyFont="1" applyFill="1" applyBorder="1" applyAlignment="1">
      <alignment horizontal="center" vertical="center" wrapText="1"/>
    </xf>
    <xf numFmtId="14" fontId="52" fillId="6" borderId="17" xfId="0" applyNumberFormat="1" applyFont="1" applyFill="1" applyBorder="1" applyAlignment="1">
      <alignment horizontal="center" vertical="center" shrinkToFit="1"/>
    </xf>
    <xf numFmtId="14" fontId="52" fillId="6" borderId="18" xfId="0" applyNumberFormat="1" applyFont="1" applyFill="1" applyBorder="1" applyAlignment="1">
      <alignment horizontal="center" vertical="center" shrinkToFit="1"/>
    </xf>
    <xf numFmtId="14" fontId="3" fillId="6" borderId="17" xfId="0" applyNumberFormat="1" applyFont="1" applyFill="1" applyBorder="1" applyAlignment="1">
      <alignment horizontal="center" vertical="center" shrinkToFit="1"/>
    </xf>
    <xf numFmtId="14" fontId="3" fillId="6" borderId="18" xfId="0" applyNumberFormat="1" applyFont="1" applyFill="1" applyBorder="1" applyAlignment="1">
      <alignment horizontal="center" vertical="center" shrinkToFit="1"/>
    </xf>
    <xf numFmtId="14" fontId="54" fillId="6" borderId="41" xfId="0" applyNumberFormat="1" applyFont="1" applyFill="1" applyBorder="1" applyAlignment="1">
      <alignment horizontal="center" vertical="center" shrinkToFit="1"/>
    </xf>
    <xf numFmtId="14" fontId="54" fillId="6" borderId="18" xfId="0" applyNumberFormat="1" applyFont="1" applyFill="1" applyBorder="1" applyAlignment="1">
      <alignment horizontal="center" vertical="center" shrinkToFit="1"/>
    </xf>
    <xf numFmtId="14" fontId="3" fillId="2" borderId="17" xfId="0" applyNumberFormat="1" applyFont="1" applyFill="1" applyBorder="1" applyAlignment="1">
      <alignment horizontal="center" vertical="center" shrinkToFit="1"/>
    </xf>
    <xf numFmtId="14" fontId="3" fillId="2" borderId="18" xfId="0" applyNumberFormat="1" applyFont="1" applyFill="1" applyBorder="1" applyAlignment="1">
      <alignment horizontal="center" vertical="center" shrinkToFit="1"/>
    </xf>
    <xf numFmtId="14" fontId="52" fillId="0" borderId="17" xfId="0" applyNumberFormat="1" applyFont="1" applyBorder="1" applyAlignment="1">
      <alignment horizontal="center" vertical="center"/>
    </xf>
    <xf numFmtId="14" fontId="52" fillId="0" borderId="18" xfId="0" applyNumberFormat="1" applyFont="1" applyBorder="1" applyAlignment="1">
      <alignment horizontal="center" vertical="center"/>
    </xf>
    <xf numFmtId="14" fontId="54" fillId="6" borderId="4" xfId="0" applyNumberFormat="1" applyFont="1" applyFill="1" applyBorder="1" applyAlignment="1">
      <alignment horizontal="center" vertical="center"/>
    </xf>
    <xf numFmtId="14" fontId="54" fillId="6" borderId="2" xfId="0" applyNumberFormat="1" applyFont="1" applyFill="1" applyBorder="1" applyAlignment="1">
      <alignment horizontal="center" vertical="center"/>
    </xf>
    <xf numFmtId="14" fontId="3" fillId="6" borderId="4" xfId="0" applyNumberFormat="1" applyFont="1" applyFill="1" applyBorder="1" applyAlignment="1">
      <alignment horizontal="center" vertical="center" shrinkToFit="1"/>
    </xf>
    <xf numFmtId="1" fontId="57" fillId="6" borderId="30" xfId="47" applyNumberFormat="1" applyFont="1" applyFill="1" applyBorder="1" applyAlignment="1">
      <alignment horizontal="center" vertical="center" wrapText="1"/>
    </xf>
    <xf numFmtId="1" fontId="57" fillId="12" borderId="30" xfId="47" applyNumberFormat="1" applyFont="1" applyFill="1" applyBorder="1" applyAlignment="1">
      <alignment horizontal="center" vertical="center" wrapText="1"/>
    </xf>
    <xf numFmtId="14" fontId="55" fillId="7" borderId="4" xfId="0" applyNumberFormat="1" applyFont="1" applyFill="1" applyBorder="1" applyAlignment="1">
      <alignment horizontal="center" vertical="center" shrinkToFit="1"/>
    </xf>
    <xf numFmtId="14" fontId="52" fillId="6" borderId="4" xfId="0" applyNumberFormat="1" applyFont="1" applyFill="1" applyBorder="1" applyAlignment="1">
      <alignment horizontal="center" vertical="center" shrinkToFit="1"/>
    </xf>
    <xf numFmtId="14" fontId="52" fillId="0" borderId="4" xfId="0" applyNumberFormat="1" applyFont="1" applyBorder="1" applyAlignment="1">
      <alignment horizontal="center" vertical="center" shrinkToFit="1"/>
    </xf>
    <xf numFmtId="0" fontId="52" fillId="6" borderId="2" xfId="0" applyFont="1" applyFill="1" applyBorder="1" applyAlignment="1">
      <alignment horizontal="center" vertical="center" shrinkToFit="1"/>
    </xf>
    <xf numFmtId="14" fontId="52" fillId="7" borderId="4" xfId="0" applyNumberFormat="1" applyFont="1" applyFill="1" applyBorder="1" applyAlignment="1">
      <alignment horizontal="center" vertical="center" shrinkToFit="1"/>
    </xf>
    <xf numFmtId="14" fontId="52" fillId="7" borderId="2" xfId="0" applyNumberFormat="1" applyFont="1" applyFill="1" applyBorder="1" applyAlignment="1">
      <alignment horizontal="center" vertical="center" shrinkToFit="1"/>
    </xf>
    <xf numFmtId="14" fontId="58" fillId="0" borderId="4" xfId="0" applyNumberFormat="1" applyFont="1" applyBorder="1" applyAlignment="1">
      <alignment horizontal="center" vertical="center" shrinkToFit="1"/>
    </xf>
    <xf numFmtId="14" fontId="58" fillId="0" borderId="2" xfId="0" applyNumberFormat="1" applyFont="1" applyBorder="1" applyAlignment="1">
      <alignment horizontal="center" vertical="center" shrinkToFit="1"/>
    </xf>
    <xf numFmtId="14" fontId="52" fillId="0" borderId="47" xfId="0" applyNumberFormat="1" applyFont="1" applyBorder="1" applyAlignment="1">
      <alignment horizontal="center" vertical="center" shrinkToFit="1"/>
    </xf>
    <xf numFmtId="14" fontId="52" fillId="0" borderId="43" xfId="0" applyNumberFormat="1" applyFont="1" applyBorder="1" applyAlignment="1">
      <alignment horizontal="center" vertical="center" shrinkToFit="1"/>
    </xf>
    <xf numFmtId="14" fontId="3" fillId="0" borderId="4" xfId="0" applyNumberFormat="1" applyFont="1" applyBorder="1" applyAlignment="1">
      <alignment horizontal="center" vertical="center" shrinkToFit="1"/>
    </xf>
    <xf numFmtId="14" fontId="3" fillId="0" borderId="2" xfId="0" applyNumberFormat="1" applyFont="1" applyBorder="1" applyAlignment="1">
      <alignment horizontal="center" vertical="center" shrinkToFit="1"/>
    </xf>
    <xf numFmtId="14" fontId="3" fillId="0" borderId="4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" fontId="57" fillId="7" borderId="30" xfId="47" applyNumberFormat="1" applyFont="1" applyFill="1" applyBorder="1" applyAlignment="1">
      <alignment horizontal="center" vertical="center" wrapText="1"/>
    </xf>
    <xf numFmtId="14" fontId="52" fillId="6" borderId="41" xfId="0" applyNumberFormat="1" applyFont="1" applyFill="1" applyBorder="1" applyAlignment="1">
      <alignment horizontal="center" vertical="center" shrinkToFit="1"/>
    </xf>
    <xf numFmtId="14" fontId="52" fillId="2" borderId="41" xfId="0" applyNumberFormat="1" applyFont="1" applyFill="1" applyBorder="1" applyAlignment="1">
      <alignment horizontal="center" vertical="center" shrinkToFit="1"/>
    </xf>
    <xf numFmtId="14" fontId="52" fillId="2" borderId="18" xfId="0" applyNumberFormat="1" applyFont="1" applyFill="1" applyBorder="1" applyAlignment="1">
      <alignment horizontal="center" vertical="center" shrinkToFit="1"/>
    </xf>
    <xf numFmtId="14" fontId="52" fillId="0" borderId="4" xfId="0" applyNumberFormat="1" applyFont="1" applyBorder="1" applyAlignment="1">
      <alignment horizontal="center" vertical="center"/>
    </xf>
    <xf numFmtId="14" fontId="52" fillId="0" borderId="2" xfId="0" applyNumberFormat="1" applyFont="1" applyBorder="1" applyAlignment="1">
      <alignment horizontal="center" vertical="center"/>
    </xf>
    <xf numFmtId="14" fontId="52" fillId="6" borderId="4" xfId="0" applyNumberFormat="1" applyFont="1" applyFill="1" applyBorder="1" applyAlignment="1">
      <alignment horizontal="center" vertical="center"/>
    </xf>
    <xf numFmtId="14" fontId="52" fillId="6" borderId="2" xfId="0" applyNumberFormat="1" applyFont="1" applyFill="1" applyBorder="1" applyAlignment="1">
      <alignment horizontal="center" vertical="center"/>
    </xf>
    <xf numFmtId="14" fontId="19" fillId="7" borderId="17" xfId="0" applyNumberFormat="1" applyFont="1" applyFill="1" applyBorder="1" applyAlignment="1">
      <alignment horizontal="center" vertical="center" shrinkToFit="1"/>
    </xf>
    <xf numFmtId="14" fontId="19" fillId="7" borderId="18" xfId="0" applyNumberFormat="1" applyFont="1" applyFill="1" applyBorder="1" applyAlignment="1">
      <alignment horizontal="center" vertical="center" shrinkToFit="1"/>
    </xf>
    <xf numFmtId="9" fontId="46" fillId="7" borderId="19" xfId="45" applyFont="1" applyFill="1" applyBorder="1" applyAlignment="1">
      <alignment horizontal="center" vertical="center" shrinkToFit="1"/>
    </xf>
    <xf numFmtId="9" fontId="46" fillId="7" borderId="3" xfId="45" applyFont="1" applyFill="1" applyBorder="1" applyAlignment="1">
      <alignment horizontal="center" vertical="center" shrinkToFit="1"/>
    </xf>
    <xf numFmtId="168" fontId="59" fillId="7" borderId="30" xfId="46" applyNumberFormat="1" applyFont="1" applyFill="1" applyBorder="1" applyAlignment="1">
      <alignment horizontal="center" vertical="center" shrinkToFit="1"/>
    </xf>
    <xf numFmtId="14" fontId="60" fillId="10" borderId="1" xfId="0" applyNumberFormat="1" applyFont="1" applyFill="1" applyBorder="1" applyAlignment="1">
      <alignment horizontal="center" vertical="center"/>
    </xf>
    <xf numFmtId="14" fontId="60" fillId="10" borderId="2" xfId="0" applyNumberFormat="1" applyFont="1" applyFill="1" applyBorder="1" applyAlignment="1">
      <alignment horizontal="center" vertical="center"/>
    </xf>
    <xf numFmtId="9" fontId="60" fillId="10" borderId="3" xfId="45" applyFont="1" applyFill="1" applyBorder="1" applyAlignment="1">
      <alignment horizontal="center" vertical="center"/>
    </xf>
    <xf numFmtId="14" fontId="60" fillId="10" borderId="4" xfId="0" applyNumberFormat="1" applyFont="1" applyFill="1" applyBorder="1" applyAlignment="1">
      <alignment horizontal="center" vertical="center"/>
    </xf>
    <xf numFmtId="0" fontId="60" fillId="10" borderId="2" xfId="0" applyFont="1" applyFill="1" applyBorder="1" applyAlignment="1">
      <alignment horizontal="center" vertical="center"/>
    </xf>
    <xf numFmtId="9" fontId="54" fillId="10" borderId="3" xfId="45" applyFont="1" applyFill="1" applyBorder="1" applyAlignment="1">
      <alignment horizontal="center" vertical="center"/>
    </xf>
    <xf numFmtId="167" fontId="46" fillId="10" borderId="30" xfId="46" applyNumberFormat="1" applyFont="1" applyFill="1" applyBorder="1" applyAlignment="1">
      <alignment horizontal="center" vertical="center" wrapText="1"/>
    </xf>
    <xf numFmtId="14" fontId="47" fillId="0" borderId="1" xfId="0" applyNumberFormat="1" applyFont="1" applyBorder="1" applyAlignment="1">
      <alignment horizontal="center" vertical="center"/>
    </xf>
    <xf numFmtId="14" fontId="47" fillId="0" borderId="2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3" fillId="9" borderId="1" xfId="0" applyNumberFormat="1" applyFont="1" applyFill="1" applyBorder="1" applyAlignment="1">
      <alignment horizontal="center" vertical="center"/>
    </xf>
    <xf numFmtId="14" fontId="52" fillId="9" borderId="2" xfId="0" applyNumberFormat="1" applyFont="1" applyFill="1" applyBorder="1" applyAlignment="1">
      <alignment horizontal="center" vertical="center"/>
    </xf>
    <xf numFmtId="14" fontId="19" fillId="9" borderId="4" xfId="0" applyNumberFormat="1" applyFont="1" applyFill="1" applyBorder="1" applyAlignment="1">
      <alignment horizontal="center" vertical="center"/>
    </xf>
    <xf numFmtId="14" fontId="19" fillId="9" borderId="2" xfId="0" applyNumberFormat="1" applyFont="1" applyFill="1" applyBorder="1" applyAlignment="1">
      <alignment horizontal="center" vertical="center"/>
    </xf>
    <xf numFmtId="14" fontId="47" fillId="7" borderId="17" xfId="0" applyNumberFormat="1" applyFont="1" applyFill="1" applyBorder="1" applyAlignment="1">
      <alignment horizontal="center" vertical="center" shrinkToFit="1"/>
    </xf>
    <xf numFmtId="14" fontId="47" fillId="7" borderId="18" xfId="0" applyNumberFormat="1" applyFont="1" applyFill="1" applyBorder="1" applyAlignment="1">
      <alignment horizontal="center" vertical="center" shrinkToFit="1"/>
    </xf>
    <xf numFmtId="14" fontId="19" fillId="6" borderId="17" xfId="0" applyNumberFormat="1" applyFont="1" applyFill="1" applyBorder="1" applyAlignment="1">
      <alignment horizontal="center" vertical="center" shrinkToFit="1"/>
    </xf>
    <xf numFmtId="14" fontId="19" fillId="6" borderId="18" xfId="0" applyNumberFormat="1" applyFont="1" applyFill="1" applyBorder="1" applyAlignment="1">
      <alignment horizontal="center" vertical="center" shrinkToFit="1"/>
    </xf>
    <xf numFmtId="14" fontId="54" fillId="0" borderId="18" xfId="0" applyNumberFormat="1" applyFont="1" applyBorder="1" applyAlignment="1">
      <alignment horizontal="center" vertical="center" shrinkToFit="1"/>
    </xf>
    <xf numFmtId="14" fontId="3" fillId="7" borderId="17" xfId="0" applyNumberFormat="1" applyFont="1" applyFill="1" applyBorder="1" applyAlignment="1">
      <alignment horizontal="center" vertical="center"/>
    </xf>
    <xf numFmtId="14" fontId="3" fillId="7" borderId="18" xfId="0" applyNumberFormat="1" applyFont="1" applyFill="1" applyBorder="1" applyAlignment="1">
      <alignment horizontal="center" vertical="center"/>
    </xf>
    <xf numFmtId="14" fontId="3" fillId="7" borderId="4" xfId="0" applyNumberFormat="1" applyFont="1" applyFill="1" applyBorder="1" applyAlignment="1">
      <alignment horizontal="center" vertical="center"/>
    </xf>
    <xf numFmtId="14" fontId="3" fillId="7" borderId="2" xfId="0" applyNumberFormat="1" applyFont="1" applyFill="1" applyBorder="1" applyAlignment="1">
      <alignment horizontal="center" vertical="center"/>
    </xf>
    <xf numFmtId="14" fontId="3" fillId="0" borderId="41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14" fontId="3" fillId="0" borderId="18" xfId="0" applyNumberFormat="1" applyFont="1" applyBorder="1" applyAlignment="1">
      <alignment horizontal="center" vertical="center"/>
    </xf>
    <xf numFmtId="14" fontId="3" fillId="6" borderId="17" xfId="0" applyNumberFormat="1" applyFont="1" applyFill="1" applyBorder="1" applyAlignment="1">
      <alignment horizontal="center" vertical="center"/>
    </xf>
    <xf numFmtId="14" fontId="3" fillId="6" borderId="18" xfId="0" applyNumberFormat="1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14" fontId="47" fillId="6" borderId="17" xfId="0" applyNumberFormat="1" applyFont="1" applyFill="1" applyBorder="1" applyAlignment="1">
      <alignment horizontal="center" vertical="center"/>
    </xf>
    <xf numFmtId="14" fontId="47" fillId="6" borderId="18" xfId="0" applyNumberFormat="1" applyFont="1" applyFill="1" applyBorder="1" applyAlignment="1">
      <alignment horizontal="center" vertical="center"/>
    </xf>
    <xf numFmtId="14" fontId="47" fillId="6" borderId="4" xfId="0" applyNumberFormat="1" applyFont="1" applyFill="1" applyBorder="1" applyAlignment="1">
      <alignment horizontal="center" vertical="center"/>
    </xf>
    <xf numFmtId="14" fontId="47" fillId="6" borderId="2" xfId="0" applyNumberFormat="1" applyFont="1" applyFill="1" applyBorder="1" applyAlignment="1">
      <alignment horizontal="center" vertical="center"/>
    </xf>
    <xf numFmtId="14" fontId="3" fillId="2" borderId="17" xfId="0" applyNumberFormat="1" applyFont="1" applyFill="1" applyBorder="1" applyAlignment="1">
      <alignment horizontal="center" vertical="center"/>
    </xf>
    <xf numFmtId="14" fontId="3" fillId="2" borderId="18" xfId="0" applyNumberFormat="1" applyFont="1" applyFill="1" applyBorder="1" applyAlignment="1">
      <alignment horizontal="center" vertical="center"/>
    </xf>
    <xf numFmtId="14" fontId="47" fillId="2" borderId="4" xfId="0" applyNumberFormat="1" applyFont="1" applyFill="1" applyBorder="1" applyAlignment="1">
      <alignment horizontal="center" vertical="center"/>
    </xf>
    <xf numFmtId="14" fontId="47" fillId="2" borderId="2" xfId="0" applyNumberFormat="1" applyFont="1" applyFill="1" applyBorder="1" applyAlignment="1">
      <alignment horizontal="center" vertical="center"/>
    </xf>
    <xf numFmtId="14" fontId="46" fillId="7" borderId="4" xfId="0" applyNumberFormat="1" applyFont="1" applyFill="1" applyBorder="1" applyAlignment="1">
      <alignment horizontal="center" vertical="center"/>
    </xf>
    <xf numFmtId="14" fontId="46" fillId="7" borderId="2" xfId="0" applyNumberFormat="1" applyFont="1" applyFill="1" applyBorder="1" applyAlignment="1">
      <alignment horizontal="center" vertical="center"/>
    </xf>
    <xf numFmtId="14" fontId="19" fillId="6" borderId="4" xfId="0" applyNumberFormat="1" applyFont="1" applyFill="1" applyBorder="1" applyAlignment="1">
      <alignment horizontal="center" vertical="center"/>
    </xf>
    <xf numFmtId="14" fontId="56" fillId="6" borderId="17" xfId="0" applyNumberFormat="1" applyFont="1" applyFill="1" applyBorder="1" applyAlignment="1">
      <alignment horizontal="center" vertical="center"/>
    </xf>
    <xf numFmtId="14" fontId="56" fillId="6" borderId="18" xfId="0" applyNumberFormat="1" applyFont="1" applyFill="1" applyBorder="1" applyAlignment="1">
      <alignment horizontal="center" vertical="center"/>
    </xf>
    <xf numFmtId="14" fontId="52" fillId="6" borderId="1" xfId="0" applyNumberFormat="1" applyFont="1" applyFill="1" applyBorder="1" applyAlignment="1">
      <alignment horizontal="center" vertical="center"/>
    </xf>
    <xf numFmtId="49" fontId="13" fillId="2" borderId="30" xfId="0" applyNumberFormat="1" applyFont="1" applyFill="1" applyBorder="1" applyAlignment="1">
      <alignment horizontal="center" vertical="center" shrinkToFit="1"/>
    </xf>
    <xf numFmtId="49" fontId="49" fillId="0" borderId="30" xfId="0" applyNumberFormat="1" applyFont="1" applyBorder="1" applyAlignment="1">
      <alignment horizontal="left" vertical="center" indent="1" shrinkToFit="1"/>
    </xf>
    <xf numFmtId="14" fontId="3" fillId="0" borderId="17" xfId="0" applyNumberFormat="1" applyFont="1" applyBorder="1" applyAlignment="1">
      <alignment horizontal="left" vertical="center" indent="1" shrinkToFit="1"/>
    </xf>
    <xf numFmtId="14" fontId="3" fillId="0" borderId="18" xfId="0" applyNumberFormat="1" applyFont="1" applyBorder="1" applyAlignment="1">
      <alignment horizontal="left" vertical="center" indent="1" shrinkToFit="1"/>
    </xf>
    <xf numFmtId="14" fontId="19" fillId="0" borderId="4" xfId="0" applyNumberFormat="1" applyFont="1" applyBorder="1" applyAlignment="1">
      <alignment horizontal="left" vertical="center" indent="1" shrinkToFit="1"/>
    </xf>
    <xf numFmtId="14" fontId="19" fillId="0" borderId="2" xfId="0" applyNumberFormat="1" applyFont="1" applyBorder="1" applyAlignment="1">
      <alignment horizontal="left" vertical="center" indent="1" shrinkToFit="1"/>
    </xf>
    <xf numFmtId="1" fontId="51" fillId="12" borderId="30" xfId="47" applyNumberFormat="1" applyFont="1" applyFill="1" applyBorder="1" applyAlignment="1">
      <alignment horizontal="left" vertical="center" wrapText="1" indent="1"/>
    </xf>
    <xf numFmtId="0" fontId="23" fillId="7" borderId="2" xfId="0" applyFont="1" applyFill="1" applyBorder="1" applyAlignment="1">
      <alignment horizontal="left" indent="1" shrinkToFit="1"/>
    </xf>
    <xf numFmtId="0" fontId="23" fillId="7" borderId="3" xfId="0" applyFont="1" applyFill="1" applyBorder="1" applyAlignment="1">
      <alignment horizontal="left" indent="1" shrinkToFit="1"/>
    </xf>
    <xf numFmtId="0" fontId="23" fillId="7" borderId="1" xfId="0" applyFont="1" applyFill="1" applyBorder="1" applyAlignment="1">
      <alignment horizontal="left" indent="1" shrinkToFit="1"/>
    </xf>
    <xf numFmtId="0" fontId="24" fillId="2" borderId="38" xfId="0" applyFont="1" applyFill="1" applyBorder="1" applyAlignment="1">
      <alignment horizontal="left" vertical="center" indent="1" shrinkToFit="1"/>
    </xf>
    <xf numFmtId="0" fontId="24" fillId="2" borderId="33" xfId="0" applyFont="1" applyFill="1" applyBorder="1" applyAlignment="1">
      <alignment horizontal="left" vertical="center" indent="1" shrinkToFit="1"/>
    </xf>
    <xf numFmtId="0" fontId="13" fillId="0" borderId="0" xfId="0" applyFont="1" applyAlignment="1">
      <alignment horizontal="left" indent="1" shrinkToFit="1"/>
    </xf>
    <xf numFmtId="49" fontId="19" fillId="0" borderId="30" xfId="0" applyNumberFormat="1" applyFont="1" applyBorder="1" applyAlignment="1">
      <alignment horizontal="left" vertical="center" indent="1" shrinkToFit="1"/>
    </xf>
    <xf numFmtId="14" fontId="19" fillId="0" borderId="17" xfId="0" applyNumberFormat="1" applyFont="1" applyBorder="1" applyAlignment="1">
      <alignment horizontal="left" vertical="center" indent="1" shrinkToFit="1"/>
    </xf>
    <xf numFmtId="14" fontId="19" fillId="0" borderId="18" xfId="0" applyNumberFormat="1" applyFont="1" applyBorder="1" applyAlignment="1">
      <alignment horizontal="left" vertical="center" indent="1" shrinkToFit="1"/>
    </xf>
    <xf numFmtId="0" fontId="21" fillId="0" borderId="0" xfId="0" applyFont="1" applyAlignment="1">
      <alignment horizontal="left" indent="1" shrinkToFit="1"/>
    </xf>
    <xf numFmtId="0" fontId="62" fillId="7" borderId="2" xfId="0" applyFont="1" applyFill="1" applyBorder="1" applyAlignment="1">
      <alignment shrinkToFit="1"/>
    </xf>
    <xf numFmtId="0" fontId="62" fillId="7" borderId="3" xfId="0" applyFont="1" applyFill="1" applyBorder="1" applyAlignment="1">
      <alignment shrinkToFit="1"/>
    </xf>
    <xf numFmtId="0" fontId="62" fillId="7" borderId="1" xfId="0" applyFont="1" applyFill="1" applyBorder="1" applyAlignment="1">
      <alignment shrinkToFit="1"/>
    </xf>
    <xf numFmtId="0" fontId="63" fillId="2" borderId="38" xfId="0" applyFont="1" applyFill="1" applyBorder="1" applyAlignment="1">
      <alignment horizontal="left" vertical="center" shrinkToFit="1"/>
    </xf>
    <xf numFmtId="0" fontId="63" fillId="2" borderId="33" xfId="0" applyFont="1" applyFill="1" applyBorder="1" applyAlignment="1">
      <alignment horizontal="left" vertical="center" shrinkToFit="1"/>
    </xf>
    <xf numFmtId="0" fontId="49" fillId="0" borderId="0" xfId="0" applyFont="1" applyAlignment="1">
      <alignment shrinkToFit="1"/>
    </xf>
    <xf numFmtId="0" fontId="49" fillId="0" borderId="0" xfId="0" applyFont="1" applyAlignment="1">
      <alignment horizontal="left" indent="1"/>
    </xf>
    <xf numFmtId="0" fontId="63" fillId="2" borderId="38" xfId="0" applyFont="1" applyFill="1" applyBorder="1" applyAlignment="1">
      <alignment horizontal="left" vertical="center" wrapText="1"/>
    </xf>
    <xf numFmtId="0" fontId="63" fillId="2" borderId="33" xfId="0" applyFont="1" applyFill="1" applyBorder="1" applyAlignment="1">
      <alignment horizontal="left" vertical="center" wrapText="1"/>
    </xf>
    <xf numFmtId="49" fontId="48" fillId="6" borderId="30" xfId="0" applyNumberFormat="1" applyFont="1" applyFill="1" applyBorder="1" applyAlignment="1">
      <alignment horizontal="center" vertical="center"/>
    </xf>
    <xf numFmtId="14" fontId="65" fillId="6" borderId="17" xfId="0" applyNumberFormat="1" applyFont="1" applyFill="1" applyBorder="1" applyAlignment="1">
      <alignment horizontal="center" vertical="center"/>
    </xf>
    <xf numFmtId="14" fontId="65" fillId="6" borderId="18" xfId="0" applyNumberFormat="1" applyFont="1" applyFill="1" applyBorder="1" applyAlignment="1">
      <alignment horizontal="center" vertical="center"/>
    </xf>
    <xf numFmtId="14" fontId="60" fillId="6" borderId="4" xfId="0" applyNumberFormat="1" applyFont="1" applyFill="1" applyBorder="1" applyAlignment="1">
      <alignment horizontal="center" vertical="center"/>
    </xf>
    <xf numFmtId="14" fontId="60" fillId="6" borderId="2" xfId="0" applyNumberFormat="1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left" vertical="center" wrapText="1"/>
    </xf>
    <xf numFmtId="0" fontId="29" fillId="6" borderId="33" xfId="0" applyFont="1" applyFill="1" applyBorder="1" applyAlignment="1">
      <alignment horizontal="left" vertical="center" wrapText="1"/>
    </xf>
    <xf numFmtId="0" fontId="48" fillId="6" borderId="0" xfId="0" applyFont="1" applyFill="1"/>
    <xf numFmtId="0" fontId="13" fillId="6" borderId="0" xfId="0" applyFont="1" applyFill="1"/>
    <xf numFmtId="14" fontId="39" fillId="5" borderId="4" xfId="0" applyNumberFormat="1" applyFont="1" applyFill="1" applyBorder="1" applyAlignment="1">
      <alignment horizontal="center" vertical="center"/>
    </xf>
    <xf numFmtId="14" fontId="39" fillId="5" borderId="2" xfId="0" applyNumberFormat="1" applyFont="1" applyFill="1" applyBorder="1" applyAlignment="1">
      <alignment horizontal="center" vertical="center"/>
    </xf>
    <xf numFmtId="14" fontId="43" fillId="5" borderId="17" xfId="0" applyNumberFormat="1" applyFont="1" applyFill="1" applyBorder="1" applyAlignment="1">
      <alignment horizontal="center" vertical="center"/>
    </xf>
    <xf numFmtId="14" fontId="43" fillId="5" borderId="18" xfId="0" applyNumberFormat="1" applyFont="1" applyFill="1" applyBorder="1" applyAlignment="1">
      <alignment horizontal="center" vertical="center"/>
    </xf>
    <xf numFmtId="9" fontId="46" fillId="2" borderId="3" xfId="48" applyNumberFormat="1" applyFont="1" applyFill="1" applyBorder="1" applyAlignment="1">
      <alignment horizontal="center" vertical="center"/>
    </xf>
    <xf numFmtId="9" fontId="46" fillId="9" borderId="3" xfId="48" applyNumberFormat="1" applyFont="1" applyFill="1" applyBorder="1" applyAlignment="1">
      <alignment horizontal="center" vertical="center"/>
    </xf>
    <xf numFmtId="9" fontId="46" fillId="7" borderId="3" xfId="48" applyNumberFormat="1" applyFont="1" applyFill="1" applyBorder="1" applyAlignment="1">
      <alignment horizontal="center" vertical="center"/>
    </xf>
    <xf numFmtId="9" fontId="46" fillId="6" borderId="3" xfId="48" applyNumberFormat="1" applyFont="1" applyFill="1" applyBorder="1" applyAlignment="1">
      <alignment horizontal="center" vertical="center"/>
    </xf>
    <xf numFmtId="9" fontId="66" fillId="2" borderId="3" xfId="48" applyNumberFormat="1" applyFont="1" applyFill="1" applyBorder="1" applyAlignment="1">
      <alignment horizontal="center" vertical="center"/>
    </xf>
    <xf numFmtId="9" fontId="46" fillId="2" borderId="3" xfId="48" applyNumberFormat="1" applyFont="1" applyFill="1" applyBorder="1" applyAlignment="1">
      <alignment horizontal="left" vertical="center" indent="1"/>
    </xf>
    <xf numFmtId="9" fontId="67" fillId="2" borderId="3" xfId="48" applyNumberFormat="1" applyFont="1" applyFill="1" applyBorder="1" applyAlignment="1">
      <alignment horizontal="left" vertical="center" indent="1"/>
    </xf>
    <xf numFmtId="9" fontId="46" fillId="5" borderId="3" xfId="48" applyNumberFormat="1" applyFont="1" applyFill="1" applyBorder="1" applyAlignment="1">
      <alignment horizontal="center" vertical="center"/>
    </xf>
    <xf numFmtId="9" fontId="68" fillId="2" borderId="3" xfId="48" applyNumberFormat="1" applyFont="1" applyFill="1" applyBorder="1" applyAlignment="1">
      <alignment horizontal="center" vertical="center"/>
    </xf>
    <xf numFmtId="9" fontId="68" fillId="9" borderId="3" xfId="48" applyNumberFormat="1" applyFont="1" applyFill="1" applyBorder="1" applyAlignment="1">
      <alignment horizontal="center" vertical="center"/>
    </xf>
    <xf numFmtId="9" fontId="48" fillId="7" borderId="3" xfId="48" applyNumberFormat="1" applyFont="1" applyFill="1" applyBorder="1" applyAlignment="1">
      <alignment horizontal="center" vertical="center"/>
    </xf>
    <xf numFmtId="9" fontId="46" fillId="5" borderId="2" xfId="48" applyNumberFormat="1" applyFont="1" applyFill="1" applyBorder="1" applyAlignment="1">
      <alignment horizontal="center" vertical="center"/>
    </xf>
    <xf numFmtId="49" fontId="49" fillId="5" borderId="2" xfId="0" applyNumberFormat="1" applyFont="1" applyFill="1" applyBorder="1" applyAlignment="1">
      <alignment horizontal="center" vertical="center"/>
    </xf>
    <xf numFmtId="49" fontId="49" fillId="7" borderId="30" xfId="0" applyNumberFormat="1" applyFont="1" applyFill="1" applyBorder="1" applyAlignment="1">
      <alignment horizontal="center" vertical="center"/>
    </xf>
    <xf numFmtId="9" fontId="67" fillId="2" borderId="3" xfId="48" applyNumberFormat="1" applyFont="1" applyFill="1" applyBorder="1" applyAlignment="1">
      <alignment horizontal="center" vertical="center"/>
    </xf>
    <xf numFmtId="9" fontId="66" fillId="6" borderId="3" xfId="48" applyNumberFormat="1" applyFont="1" applyFill="1" applyBorder="1" applyAlignment="1">
      <alignment horizontal="center" vertical="center"/>
    </xf>
    <xf numFmtId="14" fontId="53" fillId="6" borderId="4" xfId="0" applyNumberFormat="1" applyFont="1" applyFill="1" applyBorder="1" applyAlignment="1">
      <alignment horizontal="center" vertical="center" shrinkToFit="1"/>
    </xf>
    <xf numFmtId="14" fontId="53" fillId="6" borderId="2" xfId="0" applyNumberFormat="1" applyFont="1" applyFill="1" applyBorder="1" applyAlignment="1">
      <alignment horizontal="center" vertical="center" shrinkToFit="1"/>
    </xf>
    <xf numFmtId="14" fontId="53" fillId="6" borderId="4" xfId="0" applyNumberFormat="1" applyFont="1" applyFill="1" applyBorder="1" applyAlignment="1">
      <alignment horizontal="center" vertical="center"/>
    </xf>
    <xf numFmtId="14" fontId="53" fillId="6" borderId="2" xfId="0" applyNumberFormat="1" applyFont="1" applyFill="1" applyBorder="1" applyAlignment="1">
      <alignment horizontal="center" vertical="center"/>
    </xf>
    <xf numFmtId="14" fontId="53" fillId="0" borderId="4" xfId="0" applyNumberFormat="1" applyFont="1" applyBorder="1" applyAlignment="1">
      <alignment horizontal="center" vertical="center"/>
    </xf>
    <xf numFmtId="14" fontId="53" fillId="0" borderId="2" xfId="0" applyNumberFormat="1" applyFont="1" applyBorder="1" applyAlignment="1">
      <alignment horizontal="center" vertical="center"/>
    </xf>
    <xf numFmtId="9" fontId="66" fillId="7" borderId="3" xfId="48" applyNumberFormat="1" applyFont="1" applyFill="1" applyBorder="1" applyAlignment="1">
      <alignment horizontal="center" vertical="center"/>
    </xf>
    <xf numFmtId="1" fontId="55" fillId="7" borderId="30" xfId="47" applyNumberFormat="1" applyFont="1" applyFill="1" applyBorder="1" applyAlignment="1">
      <alignment horizontal="center" vertical="center" wrapText="1"/>
    </xf>
    <xf numFmtId="14" fontId="61" fillId="7" borderId="4" xfId="0" applyNumberFormat="1" applyFont="1" applyFill="1" applyBorder="1" applyAlignment="1">
      <alignment horizontal="center" vertical="center"/>
    </xf>
    <xf numFmtId="14" fontId="61" fillId="7" borderId="2" xfId="0" applyNumberFormat="1" applyFont="1" applyFill="1" applyBorder="1" applyAlignment="1">
      <alignment horizontal="center" vertical="center"/>
    </xf>
    <xf numFmtId="49" fontId="48" fillId="6" borderId="30" xfId="0" applyNumberFormat="1" applyFont="1" applyFill="1" applyBorder="1" applyAlignment="1">
      <alignment horizontal="center" vertical="center" shrinkToFit="1"/>
    </xf>
    <xf numFmtId="14" fontId="42" fillId="5" borderId="2" xfId="0" applyNumberFormat="1" applyFont="1" applyFill="1" applyBorder="1" applyAlignment="1">
      <alignment horizontal="center" vertical="center"/>
    </xf>
    <xf numFmtId="0" fontId="20" fillId="7" borderId="44" xfId="0" applyFont="1" applyFill="1" applyBorder="1" applyAlignment="1">
      <alignment vertical="center" wrapText="1"/>
    </xf>
    <xf numFmtId="0" fontId="16" fillId="7" borderId="44" xfId="0" applyFont="1" applyFill="1" applyBorder="1" applyAlignment="1">
      <alignment vertical="center" wrapText="1"/>
    </xf>
    <xf numFmtId="0" fontId="19" fillId="0" borderId="44" xfId="0" applyFont="1" applyBorder="1" applyAlignment="1">
      <alignment vertical="center" wrapText="1"/>
    </xf>
    <xf numFmtId="0" fontId="19" fillId="0" borderId="44" xfId="0" applyFont="1" applyBorder="1" applyAlignment="1">
      <alignment horizontal="left" vertical="center" wrapText="1" indent="1"/>
    </xf>
    <xf numFmtId="0" fontId="21" fillId="0" borderId="44" xfId="0" applyFont="1" applyBorder="1" applyAlignment="1">
      <alignment vertical="center" wrapText="1"/>
    </xf>
    <xf numFmtId="0" fontId="15" fillId="7" borderId="44" xfId="0" applyFont="1" applyFill="1" applyBorder="1" applyAlignment="1">
      <alignment vertical="center" wrapText="1"/>
    </xf>
    <xf numFmtId="0" fontId="19" fillId="5" borderId="44" xfId="0" applyFont="1" applyFill="1" applyBorder="1" applyAlignment="1">
      <alignment horizontal="left" vertical="center" wrapText="1" indent="1"/>
    </xf>
    <xf numFmtId="0" fontId="19" fillId="2" borderId="44" xfId="0" applyFont="1" applyFill="1" applyBorder="1" applyAlignment="1">
      <alignment horizontal="left" vertical="center" wrapText="1" indent="1"/>
    </xf>
    <xf numFmtId="0" fontId="21" fillId="0" borderId="44" xfId="0" applyFont="1" applyBorder="1" applyAlignment="1">
      <alignment vertical="top" wrapText="1"/>
    </xf>
    <xf numFmtId="0" fontId="16" fillId="6" borderId="44" xfId="0" applyFont="1" applyFill="1" applyBorder="1" applyAlignment="1">
      <alignment vertical="center" wrapText="1"/>
    </xf>
    <xf numFmtId="0" fontId="19" fillId="8" borderId="44" xfId="0" applyFont="1" applyFill="1" applyBorder="1" applyAlignment="1">
      <alignment horizontal="left" vertical="center" wrapText="1" indent="1"/>
    </xf>
    <xf numFmtId="0" fontId="21" fillId="8" borderId="44" xfId="0" applyFont="1" applyFill="1" applyBorder="1" applyAlignment="1">
      <alignment vertical="center" wrapText="1"/>
    </xf>
    <xf numFmtId="0" fontId="13" fillId="0" borderId="44" xfId="0" applyFont="1" applyBorder="1" applyAlignment="1">
      <alignment vertical="center" wrapText="1"/>
    </xf>
    <xf numFmtId="0" fontId="34" fillId="0" borderId="44" xfId="0" applyFont="1" applyBorder="1" applyAlignment="1">
      <alignment vertical="center" wrapText="1"/>
    </xf>
    <xf numFmtId="0" fontId="49" fillId="0" borderId="44" xfId="0" applyFont="1" applyBorder="1" applyAlignment="1">
      <alignment horizontal="left" vertical="center" wrapText="1" indent="1"/>
    </xf>
    <xf numFmtId="0" fontId="49" fillId="2" borderId="44" xfId="0" applyFont="1" applyFill="1" applyBorder="1" applyAlignment="1">
      <alignment horizontal="left" vertical="center" wrapText="1" indent="1"/>
    </xf>
    <xf numFmtId="0" fontId="49" fillId="8" borderId="44" xfId="0" applyFont="1" applyFill="1" applyBorder="1" applyAlignment="1">
      <alignment horizontal="left" vertical="center" wrapText="1" indent="1"/>
    </xf>
    <xf numFmtId="0" fontId="15" fillId="6" borderId="44" xfId="0" applyFont="1" applyFill="1" applyBorder="1" applyAlignment="1">
      <alignment horizontal="left" vertical="center" wrapText="1" indent="1"/>
    </xf>
    <xf numFmtId="0" fontId="49" fillId="5" borderId="22" xfId="0" applyFont="1" applyFill="1" applyBorder="1" applyAlignment="1">
      <alignment horizontal="left" vertical="center" wrapText="1" indent="1"/>
    </xf>
    <xf numFmtId="0" fontId="15" fillId="8" borderId="44" xfId="0" applyFont="1" applyFill="1" applyBorder="1" applyAlignment="1">
      <alignment vertical="center" wrapText="1"/>
    </xf>
    <xf numFmtId="0" fontId="48" fillId="6" borderId="44" xfId="0" applyFont="1" applyFill="1" applyBorder="1" applyAlignment="1">
      <alignment vertical="center" wrapText="1"/>
    </xf>
    <xf numFmtId="0" fontId="63" fillId="8" borderId="44" xfId="0" applyFont="1" applyFill="1" applyBorder="1" applyAlignment="1">
      <alignment vertical="center" wrapText="1"/>
    </xf>
    <xf numFmtId="0" fontId="46" fillId="6" borderId="44" xfId="0" applyFont="1" applyFill="1" applyBorder="1" applyAlignment="1">
      <alignment vertical="center" wrapText="1"/>
    </xf>
    <xf numFmtId="0" fontId="64" fillId="8" borderId="44" xfId="0" applyFont="1" applyFill="1" applyBorder="1" applyAlignment="1">
      <alignment vertical="center" wrapText="1"/>
    </xf>
    <xf numFmtId="0" fontId="31" fillId="8" borderId="44" xfId="0" applyFont="1" applyFill="1" applyBorder="1" applyAlignment="1">
      <alignment vertical="center" wrapText="1"/>
    </xf>
    <xf numFmtId="14" fontId="42" fillId="5" borderId="1" xfId="0" applyNumberFormat="1" applyFont="1" applyFill="1" applyBorder="1" applyAlignment="1">
      <alignment horizontal="center" vertical="center"/>
    </xf>
    <xf numFmtId="14" fontId="22" fillId="7" borderId="5" xfId="0" applyNumberFormat="1" applyFont="1" applyFill="1" applyBorder="1" applyAlignment="1">
      <alignment horizontal="center" vertical="center"/>
    </xf>
    <xf numFmtId="14" fontId="22" fillId="7" borderId="6" xfId="0" applyNumberFormat="1" applyFont="1" applyFill="1" applyBorder="1" applyAlignment="1">
      <alignment horizontal="center" vertical="center"/>
    </xf>
    <xf numFmtId="9" fontId="46" fillId="7" borderId="7" xfId="48" applyNumberFormat="1" applyFont="1" applyFill="1" applyBorder="1" applyAlignment="1">
      <alignment horizontal="center" vertical="center"/>
    </xf>
    <xf numFmtId="14" fontId="39" fillId="7" borderId="11" xfId="0" applyNumberFormat="1" applyFont="1" applyFill="1" applyBorder="1" applyAlignment="1">
      <alignment horizontal="center" vertical="center"/>
    </xf>
    <xf numFmtId="14" fontId="39" fillId="7" borderId="6" xfId="0" applyNumberFormat="1" applyFont="1" applyFill="1" applyBorder="1" applyAlignment="1">
      <alignment horizontal="center" vertical="center"/>
    </xf>
    <xf numFmtId="49" fontId="13" fillId="0" borderId="33" xfId="0" applyNumberFormat="1" applyFont="1" applyBorder="1" applyAlignment="1">
      <alignment horizontal="center" vertical="center" shrinkToFit="1"/>
    </xf>
    <xf numFmtId="49" fontId="13" fillId="0" borderId="40" xfId="0" applyNumberFormat="1" applyFont="1" applyBorder="1" applyAlignment="1">
      <alignment horizontal="center" vertical="center" shrinkToFit="1"/>
    </xf>
    <xf numFmtId="49" fontId="13" fillId="0" borderId="34" xfId="0" applyNumberFormat="1" applyFont="1" applyBorder="1" applyAlignment="1">
      <alignment horizontal="center" vertical="center" shrinkToFi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4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29" xfId="0" applyFont="1" applyFill="1" applyBorder="1" applyAlignment="1">
      <alignment horizontal="center" vertical="center" wrapText="1"/>
    </xf>
    <xf numFmtId="0" fontId="14" fillId="3" borderId="40" xfId="0" applyFont="1" applyFill="1" applyBorder="1" applyAlignment="1">
      <alignment horizontal="center" vertical="center" wrapText="1"/>
    </xf>
    <xf numFmtId="0" fontId="14" fillId="3" borderId="32" xfId="0" applyFont="1" applyFill="1" applyBorder="1" applyAlignment="1">
      <alignment horizontal="center" vertical="center" wrapText="1"/>
    </xf>
    <xf numFmtId="0" fontId="37" fillId="3" borderId="12" xfId="0" applyFont="1" applyFill="1" applyBorder="1" applyAlignment="1">
      <alignment horizontal="center" vertical="center" wrapText="1"/>
    </xf>
    <xf numFmtId="0" fontId="37" fillId="3" borderId="9" xfId="0" applyFont="1" applyFill="1" applyBorder="1" applyAlignment="1">
      <alignment horizontal="center" vertical="center" wrapText="1"/>
    </xf>
    <xf numFmtId="0" fontId="37" fillId="3" borderId="10" xfId="0" applyFont="1" applyFill="1" applyBorder="1" applyAlignment="1">
      <alignment horizontal="center" vertical="center" wrapText="1"/>
    </xf>
    <xf numFmtId="0" fontId="37" fillId="3" borderId="27" xfId="0" applyFont="1" applyFill="1" applyBorder="1" applyAlignment="1">
      <alignment horizontal="center" vertical="center" wrapText="1"/>
    </xf>
    <xf numFmtId="0" fontId="37" fillId="3" borderId="28" xfId="0" applyFont="1" applyFill="1" applyBorder="1" applyAlignment="1">
      <alignment horizontal="center" vertical="center" wrapText="1"/>
    </xf>
    <xf numFmtId="0" fontId="15" fillId="3" borderId="35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16" fillId="3" borderId="10" xfId="0" applyFont="1" applyFill="1" applyBorder="1" applyAlignment="1">
      <alignment horizontal="center"/>
    </xf>
  </cellXfs>
  <cellStyles count="49">
    <cellStyle name="" xfId="3" xr:uid="{00000000-0005-0000-0000-000002000000}"/>
    <cellStyle name="ˆ’ŽƒŽ‚›‰ 4 5 5 2" xfId="1" xr:uid="{00000000-0005-0000-0000-000000000000}"/>
    <cellStyle name="ˆ’ŽƒŽ‚›‰ 4 5 5 2 2" xfId="2" xr:uid="{00000000-0005-0000-0000-000001000000}"/>
    <cellStyle name="Гиперссылка 2" xfId="8" xr:uid="{00000000-0005-0000-0000-000007000000}"/>
    <cellStyle name="Обычный" xfId="0" builtinId="0"/>
    <cellStyle name="Обычный 10 2 10" xfId="9" xr:uid="{00000000-0005-0000-0000-000009000000}"/>
    <cellStyle name="Обычный 12" xfId="48" xr:uid="{C22B166B-6E9E-4F7D-AB51-CDED64199870}"/>
    <cellStyle name="Обычный 13 3" xfId="10" xr:uid="{00000000-0005-0000-0000-00000A000000}"/>
    <cellStyle name="Обычный 14" xfId="11" xr:uid="{00000000-0005-0000-0000-00000B000000}"/>
    <cellStyle name="Обычный 2" xfId="12" xr:uid="{00000000-0005-0000-0000-00000C000000}"/>
    <cellStyle name="Обычный 2 2" xfId="13" xr:uid="{00000000-0005-0000-0000-00000D000000}"/>
    <cellStyle name="Обычный 2 2 2 10" xfId="14" xr:uid="{00000000-0005-0000-0000-00000E000000}"/>
    <cellStyle name="Обычный 2 2 2 17" xfId="15" xr:uid="{00000000-0005-0000-0000-00000F000000}"/>
    <cellStyle name="Обычный 2 3" xfId="16" xr:uid="{00000000-0005-0000-0000-000010000000}"/>
    <cellStyle name="Обычный 2 4" xfId="17" xr:uid="{00000000-0005-0000-0000-000011000000}"/>
    <cellStyle name="Обычный 2 4 2 2" xfId="18" xr:uid="{00000000-0005-0000-0000-000012000000}"/>
    <cellStyle name="Обычный 2 4 3 33" xfId="19" xr:uid="{00000000-0005-0000-0000-000013000000}"/>
    <cellStyle name="Обычный 22 2 2" xfId="20" xr:uid="{00000000-0005-0000-0000-000014000000}"/>
    <cellStyle name="Обычный 22 3" xfId="21" xr:uid="{00000000-0005-0000-0000-000015000000}"/>
    <cellStyle name="Обычный 3" xfId="22" xr:uid="{00000000-0005-0000-0000-000016000000}"/>
    <cellStyle name="Обычный 30 5" xfId="23" xr:uid="{00000000-0005-0000-0000-000017000000}"/>
    <cellStyle name="Обычный 4" xfId="24" xr:uid="{00000000-0005-0000-0000-000018000000}"/>
    <cellStyle name="Обычный 5" xfId="25" xr:uid="{00000000-0005-0000-0000-000019000000}"/>
    <cellStyle name="Обычный 6 93" xfId="26" xr:uid="{00000000-0005-0000-0000-00001A000000}"/>
    <cellStyle name="Обычный 74 2 3" xfId="27" xr:uid="{00000000-0005-0000-0000-00001B000000}"/>
    <cellStyle name="Обычный 75" xfId="28" xr:uid="{00000000-0005-0000-0000-00001C000000}"/>
    <cellStyle name="Обычный 8" xfId="29" xr:uid="{00000000-0005-0000-0000-00001D000000}"/>
    <cellStyle name="Обычный 88" xfId="30" xr:uid="{00000000-0005-0000-0000-00001E000000}"/>
    <cellStyle name="Плохой" xfId="47" builtinId="27"/>
    <cellStyle name="Процентный" xfId="45" builtinId="5"/>
    <cellStyle name="Процентный 2" xfId="31" xr:uid="{00000000-0005-0000-0000-000020000000}"/>
    <cellStyle name="Процентный 2 14" xfId="32" xr:uid="{00000000-0005-0000-0000-000021000000}"/>
    <cellStyle name="Процентный 2 2" xfId="33" xr:uid="{00000000-0005-0000-0000-000022000000}"/>
    <cellStyle name="Процентный 28 2" xfId="34" xr:uid="{00000000-0005-0000-0000-000023000000}"/>
    <cellStyle name="Процентный 29 2" xfId="35" xr:uid="{00000000-0005-0000-0000-000024000000}"/>
    <cellStyle name="Процентный 3" xfId="36" xr:uid="{00000000-0005-0000-0000-000025000000}"/>
    <cellStyle name="Процентный 3 8" xfId="37" xr:uid="{00000000-0005-0000-0000-000026000000}"/>
    <cellStyle name="Процентный 4" xfId="38" xr:uid="{00000000-0005-0000-0000-000027000000}"/>
    <cellStyle name="Финансовый" xfId="46" builtinId="3"/>
    <cellStyle name="Финансовый 2" xfId="39" xr:uid="{00000000-0005-0000-0000-000029000000}"/>
    <cellStyle name="Финансовый 2 2" xfId="40" xr:uid="{00000000-0005-0000-0000-00002A000000}"/>
    <cellStyle name="Финансовый 3" xfId="41" xr:uid="{00000000-0005-0000-0000-00002B000000}"/>
    <cellStyle name="Финансовый 35" xfId="42" xr:uid="{00000000-0005-0000-0000-00002C000000}"/>
    <cellStyle name="Финансовый 4" xfId="43" xr:uid="{00000000-0005-0000-0000-00002D000000}"/>
    <cellStyle name="Финансовый 5" xfId="44" xr:uid="{00000000-0005-0000-0000-00002E000000}"/>
    <cellStyle name="Excel Built-in Normal" xfId="4" xr:uid="{00000000-0005-0000-0000-000003000000}"/>
    <cellStyle name="Normal 7" xfId="5" xr:uid="{00000000-0005-0000-0000-000004000000}"/>
    <cellStyle name="Normal 7 2" xfId="6" xr:uid="{00000000-0005-0000-0000-000005000000}"/>
    <cellStyle name="Normal_Sheet1" xfId="7" xr:uid="{00000000-0005-0000-0000-000006000000}"/>
  </cellStyles>
  <dxfs count="726"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>
          <bgColor theme="4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 patternType="solid">
          <bgColor theme="4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4" tint="0.39994506668294322"/>
        </patternFill>
      </fill>
    </dxf>
    <dxf>
      <font>
        <color rgb="FFC00000"/>
      </font>
      <fill>
        <patternFill>
          <fgColor theme="5" tint="0.59996337778862885"/>
          <bgColor theme="5" tint="0.3999450666829432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2" tint="-0.749961851863155"/>
      </font>
      <fill>
        <patternFill>
          <bgColor theme="6" tint="0.59996337778862885"/>
        </patternFill>
      </fill>
    </dxf>
    <dxf>
      <font>
        <color theme="5" tint="0.79998168889431442"/>
      </font>
    </dxf>
    <dxf>
      <font>
        <color theme="6" tint="0.59996337778862885"/>
      </font>
    </dxf>
    <dxf>
      <font>
        <color auto="1"/>
      </font>
      <fill>
        <patternFill>
          <fgColor rgb="FF92D050"/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fgColor theme="5" tint="0.79998168889431442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color auto="1"/>
      </font>
      <fill>
        <patternFill>
          <fgColor theme="6" tint="0.59996337778862885"/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6" tint="-0.499984740745262"/>
      </font>
      <fill>
        <patternFill>
          <bgColor theme="6" tint="0.79998168889431442"/>
        </patternFill>
      </fill>
    </dxf>
    <dxf>
      <font>
        <b val="0"/>
        <i val="0"/>
        <color rgb="FFC00000"/>
      </font>
      <fill>
        <patternFill>
          <fgColor rgb="FFC00000"/>
          <bgColor theme="5" tint="0.79998168889431442"/>
        </patternFill>
      </fill>
    </dxf>
  </dxfs>
  <tableStyles count="0" defaultTableStyle="TableStyleMedium2" defaultPivotStyle="PivotStyleMedium9"/>
  <colors>
    <mruColors>
      <color rgb="FFF8F8F8"/>
      <color rgb="FFFFFFFF"/>
      <color rgb="FF99CC00"/>
      <color rgb="FFFFCC99"/>
      <color rgb="FFF3DC89"/>
      <color rgb="FFFFFB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521"/>
  <sheetViews>
    <sheetView tabSelected="1" zoomScale="94" zoomScaleNormal="70" workbookViewId="0">
      <pane xSplit="2" ySplit="4" topLeftCell="C5" activePane="bottomRight" state="frozen"/>
      <selection pane="topRight" activeCell="C1" sqref="C1"/>
      <selection pane="bottomLeft" activeCell="A8" sqref="A8"/>
      <selection pane="bottomRight" activeCell="B24" sqref="B24"/>
    </sheetView>
  </sheetViews>
  <sheetFormatPr baseColWidth="10" defaultColWidth="9.1640625" defaultRowHeight="14" outlineLevelRow="2"/>
  <cols>
    <col min="1" max="1" width="9.5" style="1" customWidth="1"/>
    <col min="2" max="2" width="67.1640625" style="1" customWidth="1"/>
    <col min="3" max="3" width="14.5" style="1" customWidth="1"/>
    <col min="4" max="4" width="13.83203125" style="1" customWidth="1"/>
    <col min="5" max="5" width="13" style="208" customWidth="1"/>
    <col min="6" max="6" width="12" style="1" customWidth="1"/>
    <col min="7" max="7" width="13.5" style="1" customWidth="1"/>
    <col min="8" max="8" width="11.83203125" style="208" customWidth="1"/>
    <col min="9" max="9" width="11" style="1" customWidth="1"/>
    <col min="10" max="35" width="4.6640625" style="1" customWidth="1"/>
    <col min="36" max="36" width="16.83203125" style="1" customWidth="1"/>
    <col min="37" max="37" width="17.1640625" style="1" customWidth="1"/>
    <col min="38" max="38" width="43.5" style="1" customWidth="1"/>
    <col min="39" max="16384" width="9.1640625" style="1"/>
  </cols>
  <sheetData>
    <row r="1" spans="1:38" ht="19.5" customHeight="1" thickBot="1">
      <c r="A1" s="2"/>
      <c r="B1" s="440" t="s">
        <v>4</v>
      </c>
      <c r="C1" s="451" t="s">
        <v>3</v>
      </c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452"/>
      <c r="P1" s="452"/>
      <c r="Q1" s="452"/>
      <c r="R1" s="452"/>
      <c r="S1" s="452"/>
      <c r="T1" s="452"/>
      <c r="U1" s="452"/>
      <c r="V1" s="452"/>
      <c r="W1" s="452"/>
      <c r="X1" s="452"/>
      <c r="Y1" s="452"/>
      <c r="Z1" s="452"/>
      <c r="AA1" s="452"/>
      <c r="AB1" s="452"/>
      <c r="AC1" s="452"/>
      <c r="AD1" s="452"/>
      <c r="AE1" s="452"/>
      <c r="AF1" s="452"/>
      <c r="AG1" s="452"/>
      <c r="AH1" s="452"/>
      <c r="AI1" s="453"/>
      <c r="AJ1" s="443" t="s">
        <v>13</v>
      </c>
      <c r="AK1" s="443" t="s">
        <v>15</v>
      </c>
      <c r="AL1" s="443" t="s">
        <v>14</v>
      </c>
    </row>
    <row r="2" spans="1:38" ht="20.25" customHeight="1">
      <c r="A2" s="3"/>
      <c r="B2" s="441"/>
      <c r="C2" s="446" t="s">
        <v>0</v>
      </c>
      <c r="D2" s="447"/>
      <c r="E2" s="448"/>
      <c r="F2" s="447" t="s">
        <v>8</v>
      </c>
      <c r="G2" s="447"/>
      <c r="H2" s="448"/>
      <c r="I2" s="449" t="s">
        <v>6</v>
      </c>
      <c r="J2" s="4"/>
      <c r="K2" s="5"/>
      <c r="L2" s="454" t="s">
        <v>16</v>
      </c>
      <c r="M2" s="455"/>
      <c r="N2" s="455"/>
      <c r="O2" s="455"/>
      <c r="P2" s="455"/>
      <c r="Q2" s="455"/>
      <c r="R2" s="455"/>
      <c r="S2" s="455"/>
      <c r="T2" s="455"/>
      <c r="U2" s="455"/>
      <c r="V2" s="455"/>
      <c r="W2" s="456"/>
      <c r="X2" s="454" t="s">
        <v>17</v>
      </c>
      <c r="Y2" s="455"/>
      <c r="Z2" s="455"/>
      <c r="AA2" s="455"/>
      <c r="AB2" s="455"/>
      <c r="AC2" s="455"/>
      <c r="AD2" s="455"/>
      <c r="AE2" s="455"/>
      <c r="AF2" s="455"/>
      <c r="AG2" s="455"/>
      <c r="AH2" s="455"/>
      <c r="AI2" s="456"/>
      <c r="AJ2" s="444"/>
      <c r="AK2" s="444"/>
      <c r="AL2" s="444"/>
    </row>
    <row r="3" spans="1:38" ht="51.75" customHeight="1" thickBot="1">
      <c r="A3" s="3"/>
      <c r="B3" s="442"/>
      <c r="C3" s="197" t="s">
        <v>1</v>
      </c>
      <c r="D3" s="198" t="s">
        <v>2</v>
      </c>
      <c r="E3" s="195" t="s">
        <v>5</v>
      </c>
      <c r="F3" s="199" t="s">
        <v>9</v>
      </c>
      <c r="G3" s="200" t="s">
        <v>2</v>
      </c>
      <c r="H3" s="196" t="s">
        <v>5</v>
      </c>
      <c r="I3" s="450"/>
      <c r="J3" s="6">
        <v>45991</v>
      </c>
      <c r="K3" s="7">
        <v>46022</v>
      </c>
      <c r="L3" s="8">
        <v>46053</v>
      </c>
      <c r="M3" s="9">
        <v>46081</v>
      </c>
      <c r="N3" s="9">
        <v>46112</v>
      </c>
      <c r="O3" s="9">
        <v>46142</v>
      </c>
      <c r="P3" s="9">
        <v>46173</v>
      </c>
      <c r="Q3" s="9">
        <v>46203</v>
      </c>
      <c r="R3" s="9">
        <v>46233</v>
      </c>
      <c r="S3" s="9">
        <v>46265</v>
      </c>
      <c r="T3" s="9">
        <v>46295</v>
      </c>
      <c r="U3" s="9">
        <v>46326</v>
      </c>
      <c r="V3" s="9">
        <v>46356</v>
      </c>
      <c r="W3" s="10">
        <v>46387</v>
      </c>
      <c r="X3" s="8">
        <v>46418</v>
      </c>
      <c r="Y3" s="9">
        <v>46446</v>
      </c>
      <c r="Z3" s="9">
        <v>46477</v>
      </c>
      <c r="AA3" s="9">
        <v>46507</v>
      </c>
      <c r="AB3" s="9">
        <v>46538</v>
      </c>
      <c r="AC3" s="9">
        <v>46568</v>
      </c>
      <c r="AD3" s="9">
        <v>46599</v>
      </c>
      <c r="AE3" s="9">
        <v>46630</v>
      </c>
      <c r="AF3" s="9">
        <v>46660</v>
      </c>
      <c r="AG3" s="9">
        <v>46691</v>
      </c>
      <c r="AH3" s="9">
        <v>46721</v>
      </c>
      <c r="AI3" s="10">
        <v>46752</v>
      </c>
      <c r="AJ3" s="445"/>
      <c r="AK3" s="445"/>
      <c r="AL3" s="445"/>
    </row>
    <row r="4" spans="1:38" ht="12" customHeight="1">
      <c r="A4" s="151"/>
      <c r="B4" s="11">
        <v>1</v>
      </c>
      <c r="C4" s="12">
        <v>2</v>
      </c>
      <c r="D4" s="13">
        <v>3</v>
      </c>
      <c r="E4" s="14">
        <v>4</v>
      </c>
      <c r="F4" s="15">
        <v>5</v>
      </c>
      <c r="G4" s="16">
        <v>6</v>
      </c>
      <c r="H4" s="17">
        <v>7</v>
      </c>
      <c r="I4" s="18">
        <v>8</v>
      </c>
      <c r="J4" s="19"/>
      <c r="K4" s="20"/>
      <c r="L4" s="21"/>
      <c r="M4" s="19"/>
      <c r="N4" s="19"/>
      <c r="O4" s="19"/>
      <c r="P4" s="19"/>
      <c r="Q4" s="19"/>
      <c r="R4" s="19"/>
      <c r="S4" s="19"/>
      <c r="T4" s="19"/>
      <c r="U4" s="22"/>
      <c r="V4" s="19"/>
      <c r="W4" s="23"/>
      <c r="X4" s="21"/>
      <c r="Y4" s="19"/>
      <c r="Z4" s="19"/>
      <c r="AA4" s="19"/>
      <c r="AB4" s="19"/>
      <c r="AC4" s="19"/>
      <c r="AD4" s="19"/>
      <c r="AE4" s="19"/>
      <c r="AF4" s="19"/>
      <c r="AG4" s="22"/>
      <c r="AH4" s="19"/>
      <c r="AI4" s="23"/>
      <c r="AJ4" s="24"/>
      <c r="AK4" s="24"/>
      <c r="AL4" s="18"/>
    </row>
    <row r="5" spans="1:38" s="30" customFormat="1" ht="16">
      <c r="A5" s="150"/>
      <c r="B5" s="406" t="s">
        <v>266</v>
      </c>
      <c r="C5" s="291">
        <v>45717</v>
      </c>
      <c r="D5" s="292">
        <v>45840</v>
      </c>
      <c r="E5" s="293">
        <v>1</v>
      </c>
      <c r="F5" s="291">
        <v>45717</v>
      </c>
      <c r="G5" s="292">
        <v>45840</v>
      </c>
      <c r="H5" s="294" t="e">
        <f>IF(#REF!&gt;100%,"100%",IF(#REF!&lt;0%,"0%",IF(#REF!&gt;0%,#REF!,IF(#REF!&lt;100%,#REF!))))</f>
        <v>#REF!</v>
      </c>
      <c r="I5" s="295" t="e">
        <f>(H5-E5)*#REF!</f>
        <v>#REF!</v>
      </c>
      <c r="J5" s="25">
        <f t="shared" ref="J5:S5" si="0">+IF(J$3&gt;=$C5,IF(J$3&lt;=$D5,1,0),0)</f>
        <v>0</v>
      </c>
      <c r="K5" s="26">
        <f t="shared" si="0"/>
        <v>0</v>
      </c>
      <c r="L5" s="25">
        <f t="shared" si="0"/>
        <v>0</v>
      </c>
      <c r="M5" s="25">
        <f t="shared" si="0"/>
        <v>0</v>
      </c>
      <c r="N5" s="25">
        <f t="shared" si="0"/>
        <v>0</v>
      </c>
      <c r="O5" s="25">
        <f t="shared" si="0"/>
        <v>0</v>
      </c>
      <c r="P5" s="25">
        <f t="shared" si="0"/>
        <v>0</v>
      </c>
      <c r="Q5" s="25">
        <f t="shared" si="0"/>
        <v>0</v>
      </c>
      <c r="R5" s="25">
        <f t="shared" si="0"/>
        <v>0</v>
      </c>
      <c r="S5" s="25">
        <f t="shared" si="0"/>
        <v>0</v>
      </c>
      <c r="T5" s="25">
        <f t="shared" ref="T5:AC5" si="1">+IF(T$3&gt;=$C5,IF(T$3&lt;=$D5,1,0),0)</f>
        <v>0</v>
      </c>
      <c r="U5" s="25">
        <f t="shared" si="1"/>
        <v>0</v>
      </c>
      <c r="V5" s="25">
        <f t="shared" si="1"/>
        <v>0</v>
      </c>
      <c r="W5" s="26">
        <f t="shared" si="1"/>
        <v>0</v>
      </c>
      <c r="X5" s="27">
        <f t="shared" si="1"/>
        <v>0</v>
      </c>
      <c r="Y5" s="25">
        <f t="shared" si="1"/>
        <v>0</v>
      </c>
      <c r="Z5" s="25">
        <f t="shared" si="1"/>
        <v>0</v>
      </c>
      <c r="AA5" s="25">
        <f t="shared" si="1"/>
        <v>0</v>
      </c>
      <c r="AB5" s="25">
        <f t="shared" si="1"/>
        <v>0</v>
      </c>
      <c r="AC5" s="25">
        <f t="shared" si="1"/>
        <v>0</v>
      </c>
      <c r="AD5" s="25">
        <f t="shared" ref="AD5:AI5" si="2">+IF(AD$3&gt;=$C5,IF(AD$3&lt;=$D5,1,0),0)</f>
        <v>0</v>
      </c>
      <c r="AE5" s="25">
        <f t="shared" si="2"/>
        <v>0</v>
      </c>
      <c r="AF5" s="25">
        <f t="shared" si="2"/>
        <v>0</v>
      </c>
      <c r="AG5" s="25">
        <f t="shared" si="2"/>
        <v>0</v>
      </c>
      <c r="AH5" s="25">
        <f t="shared" si="2"/>
        <v>0</v>
      </c>
      <c r="AI5" s="26">
        <f t="shared" si="2"/>
        <v>0</v>
      </c>
      <c r="AJ5" s="28"/>
      <c r="AK5" s="28"/>
      <c r="AL5" s="29"/>
    </row>
    <row r="6" spans="1:38" s="31" customFormat="1" ht="15" customHeight="1">
      <c r="A6" s="162">
        <v>1</v>
      </c>
      <c r="B6" s="152" t="s">
        <v>10</v>
      </c>
      <c r="C6" s="296"/>
      <c r="D6" s="297"/>
      <c r="E6" s="298"/>
      <c r="F6" s="299"/>
      <c r="G6" s="300"/>
      <c r="H6" s="301"/>
      <c r="I6" s="302"/>
      <c r="J6" s="153"/>
      <c r="K6" s="154"/>
      <c r="L6" s="155"/>
      <c r="M6" s="153"/>
      <c r="N6" s="153"/>
      <c r="O6" s="153"/>
      <c r="P6" s="153"/>
      <c r="Q6" s="153"/>
      <c r="R6" s="153"/>
      <c r="S6" s="153"/>
      <c r="T6" s="153"/>
      <c r="U6" s="156"/>
      <c r="V6" s="153"/>
      <c r="W6" s="157"/>
      <c r="X6" s="155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4"/>
      <c r="AJ6" s="158"/>
      <c r="AK6" s="158"/>
      <c r="AL6" s="159"/>
    </row>
    <row r="7" spans="1:38" ht="33" customHeight="1">
      <c r="A7" s="113" t="s">
        <v>410</v>
      </c>
      <c r="B7" s="32" t="s">
        <v>12</v>
      </c>
      <c r="C7" s="303">
        <v>45726</v>
      </c>
      <c r="D7" s="304">
        <v>45736</v>
      </c>
      <c r="E7" s="386" t="e">
        <f>IF((#REF!-C7)/(D7-C7)&lt;0,0,IF((#REF!-C7)/(D7-C7)&gt;100%,100%,(#REF!-C7)/(D7-C7)))</f>
        <v>#REF!</v>
      </c>
      <c r="F7" s="303">
        <v>45726</v>
      </c>
      <c r="G7" s="304">
        <v>45736</v>
      </c>
      <c r="H7" s="378" t="e">
        <f>IF((#REF!-F7)/(G7-F7)&lt;0,0,IF((#REF!-F7)/(G7-F7)&gt;100%,100%,(#REF!-F7)/(G7-F7)))</f>
        <v>#REF!</v>
      </c>
      <c r="I7" s="222" t="e">
        <f t="shared" ref="I7" si="3">(D7-C7)/100%*(H7-E7)</f>
        <v>#REF!</v>
      </c>
      <c r="J7" s="33">
        <f t="shared" ref="J7:L10" si="4">+IF(J$3&gt;=$C7,IF(J$3&lt;=$D7,1,0),0)</f>
        <v>0</v>
      </c>
      <c r="K7" s="34">
        <f t="shared" si="4"/>
        <v>0</v>
      </c>
      <c r="L7" s="35">
        <f t="shared" si="4"/>
        <v>0</v>
      </c>
      <c r="M7" s="36">
        <f t="shared" ref="M7:W16" si="5">+IF(M$3&gt;=$C7,IF(M$3&lt;=$D7,1,0),0)</f>
        <v>0</v>
      </c>
      <c r="N7" s="33">
        <f t="shared" si="5"/>
        <v>0</v>
      </c>
      <c r="O7" s="33">
        <f t="shared" si="5"/>
        <v>0</v>
      </c>
      <c r="P7" s="33">
        <f t="shared" si="5"/>
        <v>0</v>
      </c>
      <c r="Q7" s="33">
        <f t="shared" si="5"/>
        <v>0</v>
      </c>
      <c r="R7" s="33">
        <f t="shared" si="5"/>
        <v>0</v>
      </c>
      <c r="S7" s="33">
        <f t="shared" si="5"/>
        <v>0</v>
      </c>
      <c r="T7" s="33">
        <f t="shared" si="5"/>
        <v>0</v>
      </c>
      <c r="U7" s="33">
        <f t="shared" si="5"/>
        <v>0</v>
      </c>
      <c r="V7" s="33">
        <f t="shared" si="5"/>
        <v>0</v>
      </c>
      <c r="W7" s="34">
        <f t="shared" si="5"/>
        <v>0</v>
      </c>
      <c r="X7" s="35">
        <f t="shared" ref="X7:AI7" si="6">+IF(X$3&gt;=$C7,IF(X$3&lt;=$D7,1,0),0)</f>
        <v>0</v>
      </c>
      <c r="Y7" s="33">
        <f t="shared" si="6"/>
        <v>0</v>
      </c>
      <c r="Z7" s="33">
        <f t="shared" si="6"/>
        <v>0</v>
      </c>
      <c r="AA7" s="33">
        <f t="shared" si="6"/>
        <v>0</v>
      </c>
      <c r="AB7" s="33">
        <f t="shared" si="6"/>
        <v>0</v>
      </c>
      <c r="AC7" s="33">
        <f t="shared" si="6"/>
        <v>0</v>
      </c>
      <c r="AD7" s="33">
        <f t="shared" si="6"/>
        <v>0</v>
      </c>
      <c r="AE7" s="33">
        <f t="shared" si="6"/>
        <v>0</v>
      </c>
      <c r="AF7" s="33">
        <f t="shared" si="6"/>
        <v>0</v>
      </c>
      <c r="AG7" s="33">
        <f t="shared" si="6"/>
        <v>0</v>
      </c>
      <c r="AH7" s="33">
        <f t="shared" si="6"/>
        <v>0</v>
      </c>
      <c r="AI7" s="34">
        <f t="shared" si="6"/>
        <v>0</v>
      </c>
      <c r="AJ7" s="37" t="s">
        <v>18</v>
      </c>
      <c r="AK7" s="37" t="s">
        <v>18</v>
      </c>
      <c r="AL7" s="38" t="s">
        <v>19</v>
      </c>
    </row>
    <row r="8" spans="1:38" ht="13.25" customHeight="1">
      <c r="A8" s="113" t="s">
        <v>411</v>
      </c>
      <c r="B8" s="39" t="s">
        <v>20</v>
      </c>
      <c r="C8" s="305">
        <v>46020</v>
      </c>
      <c r="D8" s="282">
        <v>46054</v>
      </c>
      <c r="E8" s="386" t="e">
        <f>IF((#REF!-C8)/(D8-C8)&lt;0,0,IF((#REF!-C8)/(D8-C8)&gt;100%,100%,(#REF!-C8)/(D8-C8)))</f>
        <v>#REF!</v>
      </c>
      <c r="F8" s="249">
        <v>46020</v>
      </c>
      <c r="G8" s="250">
        <v>46051</v>
      </c>
      <c r="H8" s="378" t="e">
        <f>IF((#REF!-F8)/(G8-F8)&lt;0,0,IF((#REF!-F8)/(G8-F8)&gt;100%,100%,(#REF!-F8)/(G8-F8)))</f>
        <v>#REF!</v>
      </c>
      <c r="I8" s="222" t="e">
        <f t="shared" ref="I8:I71" si="7">(D8-C8)/100%*(H8-E8)</f>
        <v>#REF!</v>
      </c>
      <c r="J8" s="33">
        <f t="shared" si="4"/>
        <v>0</v>
      </c>
      <c r="K8" s="34">
        <f t="shared" si="4"/>
        <v>1</v>
      </c>
      <c r="L8" s="33">
        <f t="shared" ref="L8:L39" si="8">+IF(L$3&gt;=$C8,IF(L$3&lt;=$D8,1,0),0)</f>
        <v>1</v>
      </c>
      <c r="M8" s="33">
        <f t="shared" si="5"/>
        <v>0</v>
      </c>
      <c r="N8" s="33">
        <f t="shared" si="5"/>
        <v>0</v>
      </c>
      <c r="O8" s="33">
        <f t="shared" si="5"/>
        <v>0</v>
      </c>
      <c r="P8" s="33">
        <f t="shared" si="5"/>
        <v>0</v>
      </c>
      <c r="Q8" s="33">
        <f t="shared" si="5"/>
        <v>0</v>
      </c>
      <c r="R8" s="33">
        <f t="shared" si="5"/>
        <v>0</v>
      </c>
      <c r="S8" s="33">
        <f t="shared" si="5"/>
        <v>0</v>
      </c>
      <c r="T8" s="33">
        <f t="shared" si="5"/>
        <v>0</v>
      </c>
      <c r="U8" s="33">
        <f t="shared" si="5"/>
        <v>0</v>
      </c>
      <c r="V8" s="33">
        <f t="shared" si="5"/>
        <v>0</v>
      </c>
      <c r="W8" s="34">
        <f t="shared" si="5"/>
        <v>0</v>
      </c>
      <c r="X8" s="35">
        <f t="shared" ref="X8:AI17" si="9">+IF(X$3&gt;=$C8,IF(X$3&lt;=$D8,1,0),0)</f>
        <v>0</v>
      </c>
      <c r="Y8" s="33">
        <f t="shared" si="9"/>
        <v>0</v>
      </c>
      <c r="Z8" s="33">
        <f t="shared" si="9"/>
        <v>0</v>
      </c>
      <c r="AA8" s="33">
        <f t="shared" si="9"/>
        <v>0</v>
      </c>
      <c r="AB8" s="33">
        <f t="shared" si="9"/>
        <v>0</v>
      </c>
      <c r="AC8" s="33">
        <f t="shared" si="9"/>
        <v>0</v>
      </c>
      <c r="AD8" s="33">
        <f t="shared" si="9"/>
        <v>0</v>
      </c>
      <c r="AE8" s="33">
        <f t="shared" si="9"/>
        <v>0</v>
      </c>
      <c r="AF8" s="33">
        <f t="shared" si="9"/>
        <v>0</v>
      </c>
      <c r="AG8" s="33">
        <f t="shared" si="9"/>
        <v>0</v>
      </c>
      <c r="AH8" s="33">
        <f t="shared" si="9"/>
        <v>0</v>
      </c>
      <c r="AI8" s="34">
        <f t="shared" si="9"/>
        <v>0</v>
      </c>
      <c r="AJ8" s="37" t="s">
        <v>18</v>
      </c>
      <c r="AK8" s="37" t="s">
        <v>18</v>
      </c>
      <c r="AL8" s="38" t="s">
        <v>19</v>
      </c>
    </row>
    <row r="9" spans="1:38" ht="17.5" customHeight="1">
      <c r="A9" s="113" t="s">
        <v>412</v>
      </c>
      <c r="B9" s="40" t="s">
        <v>11</v>
      </c>
      <c r="C9" s="305">
        <v>46042</v>
      </c>
      <c r="D9" s="282">
        <v>46057</v>
      </c>
      <c r="E9" s="386" t="e">
        <f>IF((#REF!-C9)/(D9-C9)&lt;0,0,IF((#REF!-C9)/(D9-C9)&gt;100%,100%,(#REF!-C9)/(D9-C9)))</f>
        <v>#REF!</v>
      </c>
      <c r="F9" s="249">
        <v>46042</v>
      </c>
      <c r="G9" s="250">
        <v>46057</v>
      </c>
      <c r="H9" s="378" t="e">
        <f>IF((#REF!-F9)/(G9-F9)&lt;0,0,IF((#REF!-F9)/(G9-F9)&gt;100%,100%,(#REF!-F9)/(G9-F9)))</f>
        <v>#REF!</v>
      </c>
      <c r="I9" s="222" t="e">
        <f t="shared" si="7"/>
        <v>#REF!</v>
      </c>
      <c r="J9" s="33">
        <f t="shared" si="4"/>
        <v>0</v>
      </c>
      <c r="K9" s="34">
        <f t="shared" si="4"/>
        <v>0</v>
      </c>
      <c r="L9" s="33">
        <f t="shared" si="8"/>
        <v>1</v>
      </c>
      <c r="M9" s="33">
        <f t="shared" si="5"/>
        <v>0</v>
      </c>
      <c r="N9" s="33">
        <f t="shared" si="5"/>
        <v>0</v>
      </c>
      <c r="O9" s="33">
        <f t="shared" si="5"/>
        <v>0</v>
      </c>
      <c r="P9" s="33">
        <f t="shared" si="5"/>
        <v>0</v>
      </c>
      <c r="Q9" s="33">
        <f t="shared" si="5"/>
        <v>0</v>
      </c>
      <c r="R9" s="33">
        <f t="shared" si="5"/>
        <v>0</v>
      </c>
      <c r="S9" s="33">
        <f t="shared" si="5"/>
        <v>0</v>
      </c>
      <c r="T9" s="33">
        <f t="shared" si="5"/>
        <v>0</v>
      </c>
      <c r="U9" s="33">
        <f t="shared" si="5"/>
        <v>0</v>
      </c>
      <c r="V9" s="33">
        <f t="shared" si="5"/>
        <v>0</v>
      </c>
      <c r="W9" s="34">
        <f t="shared" si="5"/>
        <v>0</v>
      </c>
      <c r="X9" s="35">
        <f t="shared" si="9"/>
        <v>0</v>
      </c>
      <c r="Y9" s="33">
        <f t="shared" si="9"/>
        <v>0</v>
      </c>
      <c r="Z9" s="33">
        <f t="shared" si="9"/>
        <v>0</v>
      </c>
      <c r="AA9" s="33">
        <f t="shared" si="9"/>
        <v>0</v>
      </c>
      <c r="AB9" s="33">
        <f t="shared" si="9"/>
        <v>0</v>
      </c>
      <c r="AC9" s="33">
        <f t="shared" si="9"/>
        <v>0</v>
      </c>
      <c r="AD9" s="33">
        <f t="shared" si="9"/>
        <v>0</v>
      </c>
      <c r="AE9" s="33">
        <f t="shared" si="9"/>
        <v>0</v>
      </c>
      <c r="AF9" s="33">
        <f t="shared" si="9"/>
        <v>0</v>
      </c>
      <c r="AG9" s="33">
        <f t="shared" si="9"/>
        <v>0</v>
      </c>
      <c r="AH9" s="33">
        <f t="shared" si="9"/>
        <v>0</v>
      </c>
      <c r="AI9" s="34">
        <f t="shared" si="9"/>
        <v>0</v>
      </c>
      <c r="AJ9" s="41" t="s">
        <v>232</v>
      </c>
      <c r="AK9" s="41" t="s">
        <v>232</v>
      </c>
      <c r="AL9" s="42"/>
    </row>
    <row r="10" spans="1:38" s="31" customFormat="1" ht="14.5" customHeight="1">
      <c r="A10" s="163"/>
      <c r="B10" s="140" t="s">
        <v>21</v>
      </c>
      <c r="C10" s="306">
        <v>45809</v>
      </c>
      <c r="D10" s="307"/>
      <c r="E10" s="387" t="e">
        <f>IF((#REF!-C10)/(D10-C10)&lt;0,0,IF((#REF!-C10)/(D10-C10)&gt;100%,100%,(#REF!-C10)/(D10-C10)))</f>
        <v>#REF!</v>
      </c>
      <c r="F10" s="308"/>
      <c r="G10" s="309"/>
      <c r="H10" s="379" t="e">
        <f>IF((#REF!-F10)/(G10-F10)&lt;0,0,IF((#REF!-F10)/(G10-F10)&gt;100%,100%,(#REF!-F10)/(G10-F10)))</f>
        <v>#REF!</v>
      </c>
      <c r="I10" s="222" t="e">
        <f t="shared" si="7"/>
        <v>#REF!</v>
      </c>
      <c r="J10" s="141">
        <f t="shared" si="4"/>
        <v>0</v>
      </c>
      <c r="K10" s="142">
        <f t="shared" si="4"/>
        <v>0</v>
      </c>
      <c r="L10" s="141">
        <f t="shared" si="8"/>
        <v>0</v>
      </c>
      <c r="M10" s="141">
        <f t="shared" si="5"/>
        <v>0</v>
      </c>
      <c r="N10" s="141">
        <f t="shared" si="5"/>
        <v>0</v>
      </c>
      <c r="O10" s="141">
        <f t="shared" si="5"/>
        <v>0</v>
      </c>
      <c r="P10" s="141">
        <f t="shared" si="5"/>
        <v>0</v>
      </c>
      <c r="Q10" s="141">
        <f t="shared" si="5"/>
        <v>0</v>
      </c>
      <c r="R10" s="141">
        <f t="shared" si="5"/>
        <v>0</v>
      </c>
      <c r="S10" s="141">
        <f t="shared" si="5"/>
        <v>0</v>
      </c>
      <c r="T10" s="141">
        <f t="shared" si="5"/>
        <v>0</v>
      </c>
      <c r="U10" s="141">
        <f t="shared" si="5"/>
        <v>0</v>
      </c>
      <c r="V10" s="141">
        <f t="shared" si="5"/>
        <v>0</v>
      </c>
      <c r="W10" s="142">
        <f t="shared" si="5"/>
        <v>0</v>
      </c>
      <c r="X10" s="143">
        <f t="shared" si="9"/>
        <v>0</v>
      </c>
      <c r="Y10" s="141">
        <f t="shared" si="9"/>
        <v>0</v>
      </c>
      <c r="Z10" s="141">
        <f t="shared" si="9"/>
        <v>0</v>
      </c>
      <c r="AA10" s="141">
        <f t="shared" si="9"/>
        <v>0</v>
      </c>
      <c r="AB10" s="141">
        <f t="shared" si="9"/>
        <v>0</v>
      </c>
      <c r="AC10" s="141">
        <f t="shared" si="9"/>
        <v>0</v>
      </c>
      <c r="AD10" s="141">
        <f t="shared" si="9"/>
        <v>0</v>
      </c>
      <c r="AE10" s="141">
        <f t="shared" si="9"/>
        <v>0</v>
      </c>
      <c r="AF10" s="141">
        <f t="shared" si="9"/>
        <v>0</v>
      </c>
      <c r="AG10" s="141">
        <f t="shared" si="9"/>
        <v>0</v>
      </c>
      <c r="AH10" s="141">
        <f t="shared" si="9"/>
        <v>0</v>
      </c>
      <c r="AI10" s="142">
        <f t="shared" si="9"/>
        <v>0</v>
      </c>
      <c r="AJ10" s="144"/>
      <c r="AK10" s="144"/>
      <c r="AL10" s="145"/>
    </row>
    <row r="11" spans="1:38" s="30" customFormat="1" ht="17.5" customHeight="1">
      <c r="A11" s="202" t="s">
        <v>413</v>
      </c>
      <c r="B11" s="407" t="s">
        <v>427</v>
      </c>
      <c r="C11" s="310">
        <v>46006</v>
      </c>
      <c r="D11" s="311">
        <v>46203</v>
      </c>
      <c r="E11" s="388" t="e">
        <f>IF((#REF!-C11)/(D11-C11)&lt;0,0,IF((#REF!-C11)/(D11-C11)&gt;100%,100%,(#REF!-C11)/(D11-C11)))</f>
        <v>#REF!</v>
      </c>
      <c r="F11" s="310">
        <v>46006</v>
      </c>
      <c r="G11" s="234"/>
      <c r="H11" s="380" t="e">
        <f>IF((#REF!-F11)/(G11-F11)&lt;0,0,IF((#REF!-F11)/(G11-F11)&gt;100%,100%,(#REF!-F11)/(G11-F11)))</f>
        <v>#REF!</v>
      </c>
      <c r="I11" s="253" t="e">
        <f t="shared" si="7"/>
        <v>#REF!</v>
      </c>
      <c r="J11" s="25">
        <f t="shared" ref="J11:K30" si="10">+IF(J$3&gt;=$C11,IF(J$3&lt;=$D11,1,0),0)</f>
        <v>0</v>
      </c>
      <c r="K11" s="26">
        <f t="shared" si="10"/>
        <v>1</v>
      </c>
      <c r="L11" s="25">
        <f t="shared" si="8"/>
        <v>1</v>
      </c>
      <c r="M11" s="25">
        <f t="shared" si="5"/>
        <v>1</v>
      </c>
      <c r="N11" s="25">
        <f t="shared" si="5"/>
        <v>1</v>
      </c>
      <c r="O11" s="25">
        <f t="shared" si="5"/>
        <v>1</v>
      </c>
      <c r="P11" s="25">
        <f t="shared" si="5"/>
        <v>1</v>
      </c>
      <c r="Q11" s="25">
        <f t="shared" si="5"/>
        <v>1</v>
      </c>
      <c r="R11" s="25">
        <f t="shared" si="5"/>
        <v>0</v>
      </c>
      <c r="S11" s="25">
        <f t="shared" si="5"/>
        <v>0</v>
      </c>
      <c r="T11" s="25">
        <f t="shared" si="5"/>
        <v>0</v>
      </c>
      <c r="U11" s="25">
        <f t="shared" si="5"/>
        <v>0</v>
      </c>
      <c r="V11" s="25">
        <f t="shared" si="5"/>
        <v>0</v>
      </c>
      <c r="W11" s="26">
        <f t="shared" si="5"/>
        <v>0</v>
      </c>
      <c r="X11" s="27">
        <f t="shared" si="9"/>
        <v>0</v>
      </c>
      <c r="Y11" s="25">
        <f t="shared" si="9"/>
        <v>0</v>
      </c>
      <c r="Z11" s="25">
        <f t="shared" si="9"/>
        <v>0</v>
      </c>
      <c r="AA11" s="25">
        <f t="shared" si="9"/>
        <v>0</v>
      </c>
      <c r="AB11" s="25">
        <f t="shared" si="9"/>
        <v>0</v>
      </c>
      <c r="AC11" s="25">
        <f t="shared" si="9"/>
        <v>0</v>
      </c>
      <c r="AD11" s="25">
        <f t="shared" si="9"/>
        <v>0</v>
      </c>
      <c r="AE11" s="25">
        <f t="shared" si="9"/>
        <v>0</v>
      </c>
      <c r="AF11" s="25">
        <f t="shared" si="9"/>
        <v>0</v>
      </c>
      <c r="AG11" s="25">
        <f t="shared" si="9"/>
        <v>0</v>
      </c>
      <c r="AH11" s="25">
        <f t="shared" si="9"/>
        <v>0</v>
      </c>
      <c r="AI11" s="26">
        <f t="shared" si="9"/>
        <v>0</v>
      </c>
      <c r="AJ11" s="28"/>
      <c r="AK11" s="28"/>
      <c r="AL11" s="29"/>
    </row>
    <row r="12" spans="1:38" s="100" customFormat="1" ht="29.5" customHeight="1">
      <c r="A12" s="203" t="s">
        <v>415</v>
      </c>
      <c r="B12" s="66" t="s">
        <v>81</v>
      </c>
      <c r="C12" s="256">
        <v>46006</v>
      </c>
      <c r="D12" s="257">
        <v>46051</v>
      </c>
      <c r="E12" s="381" t="e">
        <f>IF((#REF!-C12)/(D12-C12)&lt;0,0,IF((#REF!-C12)/(D12-C12)&gt;100%,100%,(#REF!-C12)/(D12-C12)))</f>
        <v>#REF!</v>
      </c>
      <c r="F12" s="312">
        <v>46006</v>
      </c>
      <c r="G12" s="313">
        <v>46051</v>
      </c>
      <c r="H12" s="381" t="e">
        <f>IF((#REF!-F12)/(G12-F12)&lt;0,0,IF((#REF!-F12)/(G12-F12)&gt;100%,100%,(#REF!-F12)/(G12-F12)))</f>
        <v>#REF!</v>
      </c>
      <c r="I12" s="219" t="e">
        <f t="shared" si="7"/>
        <v>#REF!</v>
      </c>
      <c r="J12" s="49">
        <f t="shared" si="10"/>
        <v>0</v>
      </c>
      <c r="K12" s="50">
        <f t="shared" si="10"/>
        <v>1</v>
      </c>
      <c r="L12" s="49">
        <f t="shared" si="8"/>
        <v>0</v>
      </c>
      <c r="M12" s="49">
        <f t="shared" si="5"/>
        <v>0</v>
      </c>
      <c r="N12" s="49">
        <f t="shared" si="5"/>
        <v>0</v>
      </c>
      <c r="O12" s="49">
        <f t="shared" si="5"/>
        <v>0</v>
      </c>
      <c r="P12" s="49">
        <f t="shared" si="5"/>
        <v>0</v>
      </c>
      <c r="Q12" s="49">
        <f t="shared" si="5"/>
        <v>0</v>
      </c>
      <c r="R12" s="49">
        <f t="shared" si="5"/>
        <v>0</v>
      </c>
      <c r="S12" s="49">
        <f t="shared" si="5"/>
        <v>0</v>
      </c>
      <c r="T12" s="49">
        <f t="shared" si="5"/>
        <v>0</v>
      </c>
      <c r="U12" s="49">
        <f t="shared" si="5"/>
        <v>0</v>
      </c>
      <c r="V12" s="49">
        <f t="shared" si="5"/>
        <v>0</v>
      </c>
      <c r="W12" s="50">
        <f t="shared" si="5"/>
        <v>0</v>
      </c>
      <c r="X12" s="51">
        <f t="shared" si="9"/>
        <v>0</v>
      </c>
      <c r="Y12" s="49">
        <f t="shared" si="9"/>
        <v>0</v>
      </c>
      <c r="Z12" s="49">
        <f t="shared" si="9"/>
        <v>0</v>
      </c>
      <c r="AA12" s="49">
        <f t="shared" si="9"/>
        <v>0</v>
      </c>
      <c r="AB12" s="49">
        <f t="shared" si="9"/>
        <v>0</v>
      </c>
      <c r="AC12" s="49">
        <f t="shared" si="9"/>
        <v>0</v>
      </c>
      <c r="AD12" s="49">
        <f t="shared" si="9"/>
        <v>0</v>
      </c>
      <c r="AE12" s="49">
        <f t="shared" si="9"/>
        <v>0</v>
      </c>
      <c r="AF12" s="49">
        <f t="shared" si="9"/>
        <v>0</v>
      </c>
      <c r="AG12" s="49">
        <f t="shared" si="9"/>
        <v>0</v>
      </c>
      <c r="AH12" s="49">
        <f t="shared" si="9"/>
        <v>0</v>
      </c>
      <c r="AI12" s="50">
        <f t="shared" si="9"/>
        <v>0</v>
      </c>
      <c r="AJ12" s="106"/>
      <c r="AK12" s="106"/>
      <c r="AL12" s="107"/>
    </row>
    <row r="13" spans="1:38" s="100" customFormat="1" ht="25.25" hidden="1" customHeight="1" outlineLevel="1">
      <c r="A13" s="204" t="s">
        <v>416</v>
      </c>
      <c r="B13" s="408" t="s">
        <v>82</v>
      </c>
      <c r="C13" s="235" t="s">
        <v>284</v>
      </c>
      <c r="D13" s="236" t="s">
        <v>284</v>
      </c>
      <c r="E13" s="382" t="e">
        <f>IF((#REF!-C13)/(D13-C13)&lt;0,0,IF((#REF!-C13)/(D13-C13)&gt;100%,100%,(#REF!-C13)/(D13-C13)))</f>
        <v>#REF!</v>
      </c>
      <c r="F13" s="245" t="s">
        <v>284</v>
      </c>
      <c r="G13" s="246" t="s">
        <v>284</v>
      </c>
      <c r="H13" s="382" t="e">
        <f>IF((#REF!-F13)/(G13-F13)&lt;0,0,IF((#REF!-F13)/(G13-F13)&gt;100%,100%,(#REF!-F13)/(G13-F13)))</f>
        <v>#REF!</v>
      </c>
      <c r="I13" s="219" t="e">
        <f t="shared" si="7"/>
        <v>#VALUE!</v>
      </c>
      <c r="J13" s="25">
        <f t="shared" si="10"/>
        <v>0</v>
      </c>
      <c r="K13" s="26">
        <f t="shared" si="10"/>
        <v>0</v>
      </c>
      <c r="L13" s="25">
        <f t="shared" si="8"/>
        <v>0</v>
      </c>
      <c r="M13" s="25">
        <f t="shared" si="5"/>
        <v>0</v>
      </c>
      <c r="N13" s="25">
        <f t="shared" si="5"/>
        <v>0</v>
      </c>
      <c r="O13" s="25">
        <f t="shared" si="5"/>
        <v>0</v>
      </c>
      <c r="P13" s="25">
        <f t="shared" si="5"/>
        <v>0</v>
      </c>
      <c r="Q13" s="25">
        <f t="shared" si="5"/>
        <v>0</v>
      </c>
      <c r="R13" s="25">
        <f t="shared" si="5"/>
        <v>0</v>
      </c>
      <c r="S13" s="25">
        <f t="shared" si="5"/>
        <v>0</v>
      </c>
      <c r="T13" s="25">
        <f t="shared" si="5"/>
        <v>0</v>
      </c>
      <c r="U13" s="25">
        <f t="shared" si="5"/>
        <v>0</v>
      </c>
      <c r="V13" s="25">
        <f t="shared" si="5"/>
        <v>0</v>
      </c>
      <c r="W13" s="26">
        <f t="shared" si="5"/>
        <v>0</v>
      </c>
      <c r="X13" s="27">
        <f t="shared" si="9"/>
        <v>0</v>
      </c>
      <c r="Y13" s="25">
        <f t="shared" si="9"/>
        <v>0</v>
      </c>
      <c r="Z13" s="25">
        <f t="shared" si="9"/>
        <v>0</v>
      </c>
      <c r="AA13" s="25">
        <f t="shared" si="9"/>
        <v>0</v>
      </c>
      <c r="AB13" s="25">
        <f t="shared" si="9"/>
        <v>0</v>
      </c>
      <c r="AC13" s="25">
        <f t="shared" si="9"/>
        <v>0</v>
      </c>
      <c r="AD13" s="25">
        <f t="shared" si="9"/>
        <v>0</v>
      </c>
      <c r="AE13" s="25">
        <f t="shared" si="9"/>
        <v>0</v>
      </c>
      <c r="AF13" s="25">
        <f t="shared" si="9"/>
        <v>0</v>
      </c>
      <c r="AG13" s="25">
        <f t="shared" si="9"/>
        <v>0</v>
      </c>
      <c r="AH13" s="25">
        <f t="shared" si="9"/>
        <v>0</v>
      </c>
      <c r="AI13" s="26">
        <f t="shared" si="9"/>
        <v>0</v>
      </c>
      <c r="AJ13" s="91"/>
      <c r="AK13" s="91"/>
      <c r="AL13" s="92"/>
    </row>
    <row r="14" spans="1:38" s="100" customFormat="1" ht="17.5" hidden="1" customHeight="1" outlineLevel="1">
      <c r="A14" s="204" t="s">
        <v>417</v>
      </c>
      <c r="B14" s="408" t="s">
        <v>83</v>
      </c>
      <c r="C14" s="235" t="s">
        <v>284</v>
      </c>
      <c r="D14" s="236" t="s">
        <v>284</v>
      </c>
      <c r="E14" s="382" t="e">
        <f>IF((#REF!-C14)/(D14-C14)&lt;0,0,IF((#REF!-C14)/(D14-C14)&gt;100%,100%,(#REF!-C14)/(D14-C14)))</f>
        <v>#REF!</v>
      </c>
      <c r="F14" s="245" t="s">
        <v>284</v>
      </c>
      <c r="G14" s="246" t="s">
        <v>284</v>
      </c>
      <c r="H14" s="382" t="e">
        <f>IF((#REF!-F14)/(G14-F14)&lt;0,0,IF((#REF!-F14)/(G14-F14)&gt;100%,100%,(#REF!-F14)/(G14-F14)))</f>
        <v>#REF!</v>
      </c>
      <c r="I14" s="219" t="e">
        <f t="shared" si="7"/>
        <v>#VALUE!</v>
      </c>
      <c r="J14" s="25">
        <f t="shared" si="10"/>
        <v>0</v>
      </c>
      <c r="K14" s="26">
        <f t="shared" si="10"/>
        <v>0</v>
      </c>
      <c r="L14" s="25">
        <f t="shared" si="8"/>
        <v>0</v>
      </c>
      <c r="M14" s="25">
        <f t="shared" si="5"/>
        <v>0</v>
      </c>
      <c r="N14" s="25">
        <f t="shared" si="5"/>
        <v>0</v>
      </c>
      <c r="O14" s="25">
        <f t="shared" si="5"/>
        <v>0</v>
      </c>
      <c r="P14" s="25">
        <f t="shared" si="5"/>
        <v>0</v>
      </c>
      <c r="Q14" s="25">
        <f t="shared" si="5"/>
        <v>0</v>
      </c>
      <c r="R14" s="25">
        <f t="shared" si="5"/>
        <v>0</v>
      </c>
      <c r="S14" s="25">
        <f t="shared" si="5"/>
        <v>0</v>
      </c>
      <c r="T14" s="25">
        <f t="shared" si="5"/>
        <v>0</v>
      </c>
      <c r="U14" s="25">
        <f t="shared" si="5"/>
        <v>0</v>
      </c>
      <c r="V14" s="25">
        <f t="shared" si="5"/>
        <v>0</v>
      </c>
      <c r="W14" s="26">
        <f t="shared" si="5"/>
        <v>0</v>
      </c>
      <c r="X14" s="27">
        <f t="shared" si="9"/>
        <v>0</v>
      </c>
      <c r="Y14" s="25">
        <f t="shared" si="9"/>
        <v>0</v>
      </c>
      <c r="Z14" s="25">
        <f t="shared" si="9"/>
        <v>0</v>
      </c>
      <c r="AA14" s="25">
        <f t="shared" si="9"/>
        <v>0</v>
      </c>
      <c r="AB14" s="25">
        <f t="shared" si="9"/>
        <v>0</v>
      </c>
      <c r="AC14" s="25">
        <f t="shared" si="9"/>
        <v>0</v>
      </c>
      <c r="AD14" s="25">
        <f t="shared" si="9"/>
        <v>0</v>
      </c>
      <c r="AE14" s="25">
        <f t="shared" si="9"/>
        <v>0</v>
      </c>
      <c r="AF14" s="25">
        <f t="shared" si="9"/>
        <v>0</v>
      </c>
      <c r="AG14" s="25">
        <f t="shared" si="9"/>
        <v>0</v>
      </c>
      <c r="AH14" s="25">
        <f t="shared" si="9"/>
        <v>0</v>
      </c>
      <c r="AI14" s="26">
        <f t="shared" si="9"/>
        <v>0</v>
      </c>
      <c r="AJ14" s="91"/>
      <c r="AK14" s="91"/>
      <c r="AL14" s="92"/>
    </row>
    <row r="15" spans="1:38" s="100" customFormat="1" ht="21" hidden="1" customHeight="1" outlineLevel="1">
      <c r="A15" s="204" t="s">
        <v>418</v>
      </c>
      <c r="B15" s="408" t="s">
        <v>224</v>
      </c>
      <c r="C15" s="235" t="s">
        <v>284</v>
      </c>
      <c r="D15" s="236" t="s">
        <v>284</v>
      </c>
      <c r="E15" s="382" t="e">
        <f>IF((#REF!-C15)/(D15-C15)&lt;0,0,IF((#REF!-C15)/(D15-C15)&gt;100%,100%,(#REF!-C15)/(D15-C15)))</f>
        <v>#REF!</v>
      </c>
      <c r="F15" s="245" t="s">
        <v>284</v>
      </c>
      <c r="G15" s="246" t="s">
        <v>284</v>
      </c>
      <c r="H15" s="382" t="e">
        <f>IF((#REF!-F15)/(G15-F15)&lt;0,0,IF((#REF!-F15)/(G15-F15)&gt;100%,100%,(#REF!-F15)/(G15-F15)))</f>
        <v>#REF!</v>
      </c>
      <c r="I15" s="219" t="e">
        <f t="shared" si="7"/>
        <v>#VALUE!</v>
      </c>
      <c r="J15" s="25">
        <f t="shared" si="10"/>
        <v>0</v>
      </c>
      <c r="K15" s="26">
        <f t="shared" si="10"/>
        <v>0</v>
      </c>
      <c r="L15" s="25">
        <f t="shared" si="8"/>
        <v>0</v>
      </c>
      <c r="M15" s="25">
        <f t="shared" si="5"/>
        <v>0</v>
      </c>
      <c r="N15" s="25">
        <f t="shared" si="5"/>
        <v>0</v>
      </c>
      <c r="O15" s="25">
        <f t="shared" si="5"/>
        <v>0</v>
      </c>
      <c r="P15" s="25">
        <f t="shared" si="5"/>
        <v>0</v>
      </c>
      <c r="Q15" s="25">
        <f t="shared" si="5"/>
        <v>0</v>
      </c>
      <c r="R15" s="25">
        <f t="shared" si="5"/>
        <v>0</v>
      </c>
      <c r="S15" s="25">
        <f t="shared" si="5"/>
        <v>0</v>
      </c>
      <c r="T15" s="25">
        <f t="shared" si="5"/>
        <v>0</v>
      </c>
      <c r="U15" s="25">
        <f t="shared" si="5"/>
        <v>0</v>
      </c>
      <c r="V15" s="25">
        <f t="shared" si="5"/>
        <v>0</v>
      </c>
      <c r="W15" s="26">
        <f t="shared" si="5"/>
        <v>0</v>
      </c>
      <c r="X15" s="27">
        <f t="shared" si="9"/>
        <v>0</v>
      </c>
      <c r="Y15" s="25">
        <f t="shared" si="9"/>
        <v>0</v>
      </c>
      <c r="Z15" s="25">
        <f t="shared" si="9"/>
        <v>0</v>
      </c>
      <c r="AA15" s="25">
        <f t="shared" si="9"/>
        <v>0</v>
      </c>
      <c r="AB15" s="25">
        <f t="shared" si="9"/>
        <v>0</v>
      </c>
      <c r="AC15" s="25">
        <f t="shared" si="9"/>
        <v>0</v>
      </c>
      <c r="AD15" s="25">
        <f t="shared" si="9"/>
        <v>0</v>
      </c>
      <c r="AE15" s="25">
        <f t="shared" si="9"/>
        <v>0</v>
      </c>
      <c r="AF15" s="25">
        <f t="shared" si="9"/>
        <v>0</v>
      </c>
      <c r="AG15" s="25">
        <f t="shared" si="9"/>
        <v>0</v>
      </c>
      <c r="AH15" s="25">
        <f t="shared" si="9"/>
        <v>0</v>
      </c>
      <c r="AI15" s="26">
        <f t="shared" si="9"/>
        <v>0</v>
      </c>
      <c r="AJ15" s="91"/>
      <c r="AK15" s="91"/>
      <c r="AL15" s="92"/>
    </row>
    <row r="16" spans="1:38" s="100" customFormat="1" ht="16" hidden="1" outlineLevel="1">
      <c r="A16" s="204" t="s">
        <v>419</v>
      </c>
      <c r="B16" s="408" t="s">
        <v>84</v>
      </c>
      <c r="C16" s="235" t="s">
        <v>284</v>
      </c>
      <c r="D16" s="236" t="s">
        <v>284</v>
      </c>
      <c r="E16" s="382" t="e">
        <f>IF((#REF!-C16)/(D16-C16)&lt;0,0,IF((#REF!-C16)/(D16-C16)&gt;100%,100%,(#REF!-C16)/(D16-C16)))</f>
        <v>#REF!</v>
      </c>
      <c r="F16" s="245" t="s">
        <v>284</v>
      </c>
      <c r="G16" s="246" t="s">
        <v>284</v>
      </c>
      <c r="H16" s="382" t="e">
        <f>IF((#REF!-F16)/(G16-F16)&lt;0,0,IF((#REF!-F16)/(G16-F16)&gt;100%,100%,(#REF!-F16)/(G16-F16)))</f>
        <v>#REF!</v>
      </c>
      <c r="I16" s="219" t="e">
        <f t="shared" si="7"/>
        <v>#VALUE!</v>
      </c>
      <c r="J16" s="25">
        <f t="shared" si="10"/>
        <v>0</v>
      </c>
      <c r="K16" s="26">
        <f t="shared" si="10"/>
        <v>0</v>
      </c>
      <c r="L16" s="25">
        <f t="shared" si="8"/>
        <v>0</v>
      </c>
      <c r="M16" s="25">
        <f t="shared" si="5"/>
        <v>0</v>
      </c>
      <c r="N16" s="25">
        <f t="shared" si="5"/>
        <v>0</v>
      </c>
      <c r="O16" s="25">
        <f t="shared" si="5"/>
        <v>0</v>
      </c>
      <c r="P16" s="25">
        <f t="shared" si="5"/>
        <v>0</v>
      </c>
      <c r="Q16" s="25">
        <f t="shared" si="5"/>
        <v>0</v>
      </c>
      <c r="R16" s="25">
        <f t="shared" si="5"/>
        <v>0</v>
      </c>
      <c r="S16" s="25">
        <f t="shared" si="5"/>
        <v>0</v>
      </c>
      <c r="T16" s="25">
        <f t="shared" si="5"/>
        <v>0</v>
      </c>
      <c r="U16" s="25">
        <f t="shared" si="5"/>
        <v>0</v>
      </c>
      <c r="V16" s="25">
        <f t="shared" si="5"/>
        <v>0</v>
      </c>
      <c r="W16" s="26">
        <f t="shared" si="5"/>
        <v>0</v>
      </c>
      <c r="X16" s="27">
        <f t="shared" si="9"/>
        <v>0</v>
      </c>
      <c r="Y16" s="25">
        <f t="shared" si="9"/>
        <v>0</v>
      </c>
      <c r="Z16" s="25">
        <f t="shared" si="9"/>
        <v>0</v>
      </c>
      <c r="AA16" s="25">
        <f t="shared" si="9"/>
        <v>0</v>
      </c>
      <c r="AB16" s="25">
        <f t="shared" si="9"/>
        <v>0</v>
      </c>
      <c r="AC16" s="25">
        <f t="shared" si="9"/>
        <v>0</v>
      </c>
      <c r="AD16" s="25">
        <f t="shared" si="9"/>
        <v>0</v>
      </c>
      <c r="AE16" s="25">
        <f t="shared" si="9"/>
        <v>0</v>
      </c>
      <c r="AF16" s="25">
        <f t="shared" si="9"/>
        <v>0</v>
      </c>
      <c r="AG16" s="25">
        <f t="shared" si="9"/>
        <v>0</v>
      </c>
      <c r="AH16" s="25">
        <f t="shared" si="9"/>
        <v>0</v>
      </c>
      <c r="AI16" s="26">
        <f t="shared" si="9"/>
        <v>0</v>
      </c>
      <c r="AJ16" s="91"/>
      <c r="AK16" s="91"/>
      <c r="AL16" s="92"/>
    </row>
    <row r="17" spans="1:38" s="355" customFormat="1" ht="18.5" hidden="1" customHeight="1" outlineLevel="1">
      <c r="A17" s="352" t="s">
        <v>420</v>
      </c>
      <c r="B17" s="409" t="s">
        <v>85</v>
      </c>
      <c r="C17" s="341">
        <v>46006</v>
      </c>
      <c r="D17" s="342">
        <v>46021</v>
      </c>
      <c r="E17" s="383" t="e">
        <f>IF((#REF!-C17)/(D17-C17)&lt;0,0,IF((#REF!-C17)/(D17-C17)&gt;100%,100%,(#REF!-C17)/(D17-C17)))</f>
        <v>#REF!</v>
      </c>
      <c r="F17" s="353">
        <v>46006</v>
      </c>
      <c r="G17" s="354">
        <v>46021</v>
      </c>
      <c r="H17" s="383" t="e">
        <f>IF((#REF!-F17)/(G17-F17)&lt;0,0,IF((#REF!-F17)/(G17-F17)&gt;100%,100%,(#REF!-F17)/(G17-F17)))</f>
        <v>#REF!</v>
      </c>
      <c r="I17" s="345" t="e">
        <f t="shared" si="7"/>
        <v>#REF!</v>
      </c>
      <c r="J17" s="346">
        <f t="shared" si="10"/>
        <v>0</v>
      </c>
      <c r="K17" s="347">
        <f t="shared" si="10"/>
        <v>0</v>
      </c>
      <c r="L17" s="346">
        <f t="shared" si="8"/>
        <v>0</v>
      </c>
      <c r="M17" s="346">
        <f t="shared" ref="M17:W26" si="11">+IF(M$3&gt;=$C17,IF(M$3&lt;=$D17,1,0),0)</f>
        <v>0</v>
      </c>
      <c r="N17" s="346">
        <f t="shared" si="11"/>
        <v>0</v>
      </c>
      <c r="O17" s="346">
        <f t="shared" si="11"/>
        <v>0</v>
      </c>
      <c r="P17" s="346">
        <f t="shared" si="11"/>
        <v>0</v>
      </c>
      <c r="Q17" s="346">
        <f t="shared" si="11"/>
        <v>0</v>
      </c>
      <c r="R17" s="346">
        <f t="shared" si="11"/>
        <v>0</v>
      </c>
      <c r="S17" s="346">
        <f t="shared" si="11"/>
        <v>0</v>
      </c>
      <c r="T17" s="346">
        <f t="shared" si="11"/>
        <v>0</v>
      </c>
      <c r="U17" s="346">
        <f t="shared" si="11"/>
        <v>0</v>
      </c>
      <c r="V17" s="346">
        <f t="shared" si="11"/>
        <v>0</v>
      </c>
      <c r="W17" s="347">
        <f t="shared" si="11"/>
        <v>0</v>
      </c>
      <c r="X17" s="348">
        <f t="shared" si="9"/>
        <v>0</v>
      </c>
      <c r="Y17" s="346">
        <f t="shared" si="9"/>
        <v>0</v>
      </c>
      <c r="Z17" s="346">
        <f t="shared" si="9"/>
        <v>0</v>
      </c>
      <c r="AA17" s="346">
        <f t="shared" si="9"/>
        <v>0</v>
      </c>
      <c r="AB17" s="346">
        <f t="shared" si="9"/>
        <v>0</v>
      </c>
      <c r="AC17" s="346">
        <f t="shared" si="9"/>
        <v>0</v>
      </c>
      <c r="AD17" s="346">
        <f t="shared" si="9"/>
        <v>0</v>
      </c>
      <c r="AE17" s="346">
        <f t="shared" si="9"/>
        <v>0</v>
      </c>
      <c r="AF17" s="346">
        <f t="shared" si="9"/>
        <v>0</v>
      </c>
      <c r="AG17" s="346">
        <f t="shared" si="9"/>
        <v>0</v>
      </c>
      <c r="AH17" s="346">
        <f t="shared" si="9"/>
        <v>0</v>
      </c>
      <c r="AI17" s="347">
        <f t="shared" si="9"/>
        <v>0</v>
      </c>
      <c r="AJ17" s="349"/>
      <c r="AK17" s="349"/>
      <c r="AL17" s="350"/>
    </row>
    <row r="18" spans="1:38" s="355" customFormat="1" ht="19.25" hidden="1" customHeight="1" outlineLevel="1">
      <c r="A18" s="352" t="s">
        <v>421</v>
      </c>
      <c r="B18" s="409" t="s">
        <v>86</v>
      </c>
      <c r="C18" s="341">
        <v>46006</v>
      </c>
      <c r="D18" s="342">
        <v>46021</v>
      </c>
      <c r="E18" s="383" t="e">
        <f>IF((#REF!-C18)/(D18-C18)&lt;0,0,IF((#REF!-C18)/(D18-C18)&gt;100%,100%,(#REF!-C18)/(D18-C18)))</f>
        <v>#REF!</v>
      </c>
      <c r="F18" s="353">
        <v>46006</v>
      </c>
      <c r="G18" s="354">
        <v>46021</v>
      </c>
      <c r="H18" s="383" t="e">
        <f>IF((#REF!-F18)/(G18-F18)&lt;0,0,IF((#REF!-F18)/(G18-F18)&gt;100%,100%,(#REF!-F18)/(G18-F18)))</f>
        <v>#REF!</v>
      </c>
      <c r="I18" s="345" t="e">
        <f t="shared" si="7"/>
        <v>#REF!</v>
      </c>
      <c r="J18" s="346">
        <f t="shared" si="10"/>
        <v>0</v>
      </c>
      <c r="K18" s="347">
        <f t="shared" si="10"/>
        <v>0</v>
      </c>
      <c r="L18" s="346">
        <f t="shared" si="8"/>
        <v>0</v>
      </c>
      <c r="M18" s="346">
        <f t="shared" si="11"/>
        <v>0</v>
      </c>
      <c r="N18" s="346">
        <f t="shared" si="11"/>
        <v>0</v>
      </c>
      <c r="O18" s="346">
        <f t="shared" si="11"/>
        <v>0</v>
      </c>
      <c r="P18" s="346">
        <f t="shared" si="11"/>
        <v>0</v>
      </c>
      <c r="Q18" s="346">
        <f t="shared" si="11"/>
        <v>0</v>
      </c>
      <c r="R18" s="346">
        <f t="shared" si="11"/>
        <v>0</v>
      </c>
      <c r="S18" s="346">
        <f t="shared" si="11"/>
        <v>0</v>
      </c>
      <c r="T18" s="346">
        <f t="shared" si="11"/>
        <v>0</v>
      </c>
      <c r="U18" s="346">
        <f t="shared" si="11"/>
        <v>0</v>
      </c>
      <c r="V18" s="346">
        <f t="shared" si="11"/>
        <v>0</v>
      </c>
      <c r="W18" s="347">
        <f t="shared" si="11"/>
        <v>0</v>
      </c>
      <c r="X18" s="348">
        <f t="shared" ref="X18:AI27" si="12">+IF(X$3&gt;=$C18,IF(X$3&lt;=$D18,1,0),0)</f>
        <v>0</v>
      </c>
      <c r="Y18" s="346">
        <f t="shared" si="12"/>
        <v>0</v>
      </c>
      <c r="Z18" s="346">
        <f t="shared" si="12"/>
        <v>0</v>
      </c>
      <c r="AA18" s="346">
        <f t="shared" si="12"/>
        <v>0</v>
      </c>
      <c r="AB18" s="346">
        <f t="shared" si="12"/>
        <v>0</v>
      </c>
      <c r="AC18" s="346">
        <f t="shared" si="12"/>
        <v>0</v>
      </c>
      <c r="AD18" s="346">
        <f t="shared" si="12"/>
        <v>0</v>
      </c>
      <c r="AE18" s="346">
        <f t="shared" si="12"/>
        <v>0</v>
      </c>
      <c r="AF18" s="346">
        <f t="shared" si="12"/>
        <v>0</v>
      </c>
      <c r="AG18" s="346">
        <f t="shared" si="12"/>
        <v>0</v>
      </c>
      <c r="AH18" s="346">
        <f t="shared" si="12"/>
        <v>0</v>
      </c>
      <c r="AI18" s="347">
        <f t="shared" si="12"/>
        <v>0</v>
      </c>
      <c r="AJ18" s="349"/>
      <c r="AK18" s="349"/>
      <c r="AL18" s="350"/>
    </row>
    <row r="19" spans="1:38" s="355" customFormat="1" ht="25.75" hidden="1" customHeight="1" outlineLevel="1">
      <c r="A19" s="352" t="s">
        <v>422</v>
      </c>
      <c r="B19" s="409" t="s">
        <v>87</v>
      </c>
      <c r="C19" s="341" t="s">
        <v>284</v>
      </c>
      <c r="D19" s="342" t="s">
        <v>284</v>
      </c>
      <c r="E19" s="383" t="e">
        <f>IF((#REF!-C19)/(D19-C19)&lt;0,0,IF((#REF!-C19)/(D19-C19)&gt;100%,100%,(#REF!-C19)/(D19-C19)))</f>
        <v>#REF!</v>
      </c>
      <c r="F19" s="343" t="s">
        <v>284</v>
      </c>
      <c r="G19" s="344" t="s">
        <v>284</v>
      </c>
      <c r="H19" s="383" t="e">
        <f>IF((#REF!-F19)/(G19-F19)&lt;0,0,IF((#REF!-F19)/(G19-F19)&gt;100%,100%,(#REF!-F19)/(G19-F19)))</f>
        <v>#REF!</v>
      </c>
      <c r="I19" s="345" t="e">
        <f t="shared" si="7"/>
        <v>#VALUE!</v>
      </c>
      <c r="J19" s="346">
        <f t="shared" si="10"/>
        <v>0</v>
      </c>
      <c r="K19" s="347">
        <f t="shared" si="10"/>
        <v>0</v>
      </c>
      <c r="L19" s="346">
        <f t="shared" si="8"/>
        <v>0</v>
      </c>
      <c r="M19" s="346">
        <f t="shared" si="11"/>
        <v>0</v>
      </c>
      <c r="N19" s="346">
        <f t="shared" si="11"/>
        <v>0</v>
      </c>
      <c r="O19" s="346">
        <f t="shared" si="11"/>
        <v>0</v>
      </c>
      <c r="P19" s="346">
        <f t="shared" si="11"/>
        <v>0</v>
      </c>
      <c r="Q19" s="346">
        <f t="shared" si="11"/>
        <v>0</v>
      </c>
      <c r="R19" s="346">
        <f t="shared" si="11"/>
        <v>0</v>
      </c>
      <c r="S19" s="346">
        <f t="shared" si="11"/>
        <v>0</v>
      </c>
      <c r="T19" s="346">
        <f t="shared" si="11"/>
        <v>0</v>
      </c>
      <c r="U19" s="346">
        <f t="shared" si="11"/>
        <v>0</v>
      </c>
      <c r="V19" s="346">
        <f t="shared" si="11"/>
        <v>0</v>
      </c>
      <c r="W19" s="347">
        <f t="shared" si="11"/>
        <v>0</v>
      </c>
      <c r="X19" s="348">
        <f t="shared" si="12"/>
        <v>0</v>
      </c>
      <c r="Y19" s="346">
        <f t="shared" si="12"/>
        <v>0</v>
      </c>
      <c r="Z19" s="346">
        <f t="shared" si="12"/>
        <v>0</v>
      </c>
      <c r="AA19" s="346">
        <f t="shared" si="12"/>
        <v>0</v>
      </c>
      <c r="AB19" s="346">
        <f t="shared" si="12"/>
        <v>0</v>
      </c>
      <c r="AC19" s="346">
        <f t="shared" si="12"/>
        <v>0</v>
      </c>
      <c r="AD19" s="346">
        <f t="shared" si="12"/>
        <v>0</v>
      </c>
      <c r="AE19" s="346">
        <f t="shared" si="12"/>
        <v>0</v>
      </c>
      <c r="AF19" s="346">
        <f t="shared" si="12"/>
        <v>0</v>
      </c>
      <c r="AG19" s="346">
        <f t="shared" si="12"/>
        <v>0</v>
      </c>
      <c r="AH19" s="346">
        <f t="shared" si="12"/>
        <v>0</v>
      </c>
      <c r="AI19" s="347">
        <f t="shared" si="12"/>
        <v>0</v>
      </c>
      <c r="AJ19" s="349"/>
      <c r="AK19" s="349"/>
      <c r="AL19" s="350"/>
    </row>
    <row r="20" spans="1:38" s="355" customFormat="1" ht="16" hidden="1" outlineLevel="1">
      <c r="A20" s="352" t="s">
        <v>423</v>
      </c>
      <c r="B20" s="409" t="s">
        <v>88</v>
      </c>
      <c r="C20" s="341" t="s">
        <v>284</v>
      </c>
      <c r="D20" s="342" t="s">
        <v>284</v>
      </c>
      <c r="E20" s="383" t="e">
        <f>IF((#REF!-C20)/(D20-C20)&lt;0,0,IF((#REF!-C20)/(D20-C20)&gt;100%,100%,(#REF!-C20)/(D20-C20)))</f>
        <v>#REF!</v>
      </c>
      <c r="F20" s="343" t="s">
        <v>284</v>
      </c>
      <c r="G20" s="344" t="s">
        <v>284</v>
      </c>
      <c r="H20" s="383" t="e">
        <f>IF((#REF!-F20)/(G20-F20)&lt;0,0,IF((#REF!-F20)/(G20-F20)&gt;100%,100%,(#REF!-F20)/(G20-F20)))</f>
        <v>#REF!</v>
      </c>
      <c r="I20" s="345" t="e">
        <f t="shared" si="7"/>
        <v>#VALUE!</v>
      </c>
      <c r="J20" s="346">
        <f t="shared" si="10"/>
        <v>0</v>
      </c>
      <c r="K20" s="347">
        <f t="shared" si="10"/>
        <v>0</v>
      </c>
      <c r="L20" s="346">
        <f t="shared" si="8"/>
        <v>0</v>
      </c>
      <c r="M20" s="346">
        <f t="shared" si="11"/>
        <v>0</v>
      </c>
      <c r="N20" s="346">
        <f t="shared" si="11"/>
        <v>0</v>
      </c>
      <c r="O20" s="346">
        <f t="shared" si="11"/>
        <v>0</v>
      </c>
      <c r="P20" s="346">
        <f t="shared" si="11"/>
        <v>0</v>
      </c>
      <c r="Q20" s="346">
        <f t="shared" si="11"/>
        <v>0</v>
      </c>
      <c r="R20" s="346">
        <f t="shared" si="11"/>
        <v>0</v>
      </c>
      <c r="S20" s="346">
        <f t="shared" si="11"/>
        <v>0</v>
      </c>
      <c r="T20" s="346">
        <f t="shared" si="11"/>
        <v>0</v>
      </c>
      <c r="U20" s="346">
        <f t="shared" si="11"/>
        <v>0</v>
      </c>
      <c r="V20" s="346">
        <f t="shared" si="11"/>
        <v>0</v>
      </c>
      <c r="W20" s="347">
        <f t="shared" si="11"/>
        <v>0</v>
      </c>
      <c r="X20" s="348">
        <f t="shared" si="12"/>
        <v>0</v>
      </c>
      <c r="Y20" s="346">
        <f t="shared" si="12"/>
        <v>0</v>
      </c>
      <c r="Z20" s="346">
        <f t="shared" si="12"/>
        <v>0</v>
      </c>
      <c r="AA20" s="346">
        <f t="shared" si="12"/>
        <v>0</v>
      </c>
      <c r="AB20" s="346">
        <f t="shared" si="12"/>
        <v>0</v>
      </c>
      <c r="AC20" s="346">
        <f t="shared" si="12"/>
        <v>0</v>
      </c>
      <c r="AD20" s="346">
        <f t="shared" si="12"/>
        <v>0</v>
      </c>
      <c r="AE20" s="346">
        <f t="shared" si="12"/>
        <v>0</v>
      </c>
      <c r="AF20" s="346">
        <f t="shared" si="12"/>
        <v>0</v>
      </c>
      <c r="AG20" s="346">
        <f t="shared" si="12"/>
        <v>0</v>
      </c>
      <c r="AH20" s="346">
        <f t="shared" si="12"/>
        <v>0</v>
      </c>
      <c r="AI20" s="347">
        <f t="shared" si="12"/>
        <v>0</v>
      </c>
      <c r="AJ20" s="349"/>
      <c r="AK20" s="349"/>
      <c r="AL20" s="350"/>
    </row>
    <row r="21" spans="1:38" s="355" customFormat="1" ht="16" hidden="1" outlineLevel="1">
      <c r="A21" s="352" t="s">
        <v>424</v>
      </c>
      <c r="B21" s="409" t="s">
        <v>89</v>
      </c>
      <c r="C21" s="341" t="s">
        <v>284</v>
      </c>
      <c r="D21" s="342" t="s">
        <v>284</v>
      </c>
      <c r="E21" s="383" t="e">
        <f>IF((#REF!-C21)/(D21-C21)&lt;0,0,IF((#REF!-C21)/(D21-C21)&gt;100%,100%,(#REF!-C21)/(D21-C21)))</f>
        <v>#REF!</v>
      </c>
      <c r="F21" s="343" t="s">
        <v>284</v>
      </c>
      <c r="G21" s="344" t="s">
        <v>284</v>
      </c>
      <c r="H21" s="383" t="e">
        <f>IF((#REF!-F21)/(G21-F21)&lt;0,0,IF((#REF!-F21)/(G21-F21)&gt;100%,100%,(#REF!-F21)/(G21-F21)))</f>
        <v>#REF!</v>
      </c>
      <c r="I21" s="345" t="e">
        <f t="shared" si="7"/>
        <v>#VALUE!</v>
      </c>
      <c r="J21" s="346">
        <f t="shared" si="10"/>
        <v>0</v>
      </c>
      <c r="K21" s="347">
        <f t="shared" si="10"/>
        <v>0</v>
      </c>
      <c r="L21" s="346">
        <f t="shared" si="8"/>
        <v>0</v>
      </c>
      <c r="M21" s="346">
        <f t="shared" si="11"/>
        <v>0</v>
      </c>
      <c r="N21" s="346">
        <f t="shared" si="11"/>
        <v>0</v>
      </c>
      <c r="O21" s="346">
        <f t="shared" si="11"/>
        <v>0</v>
      </c>
      <c r="P21" s="346">
        <f t="shared" si="11"/>
        <v>0</v>
      </c>
      <c r="Q21" s="346">
        <f t="shared" si="11"/>
        <v>0</v>
      </c>
      <c r="R21" s="346">
        <f t="shared" si="11"/>
        <v>0</v>
      </c>
      <c r="S21" s="346">
        <f t="shared" si="11"/>
        <v>0</v>
      </c>
      <c r="T21" s="346">
        <f t="shared" si="11"/>
        <v>0</v>
      </c>
      <c r="U21" s="346">
        <f t="shared" si="11"/>
        <v>0</v>
      </c>
      <c r="V21" s="346">
        <f t="shared" si="11"/>
        <v>0</v>
      </c>
      <c r="W21" s="347">
        <f t="shared" si="11"/>
        <v>0</v>
      </c>
      <c r="X21" s="348">
        <f t="shared" si="12"/>
        <v>0</v>
      </c>
      <c r="Y21" s="346">
        <f t="shared" si="12"/>
        <v>0</v>
      </c>
      <c r="Z21" s="346">
        <f t="shared" si="12"/>
        <v>0</v>
      </c>
      <c r="AA21" s="346">
        <f t="shared" si="12"/>
        <v>0</v>
      </c>
      <c r="AB21" s="346">
        <f t="shared" si="12"/>
        <v>0</v>
      </c>
      <c r="AC21" s="346">
        <f t="shared" si="12"/>
        <v>0</v>
      </c>
      <c r="AD21" s="346">
        <f t="shared" si="12"/>
        <v>0</v>
      </c>
      <c r="AE21" s="346">
        <f t="shared" si="12"/>
        <v>0</v>
      </c>
      <c r="AF21" s="346">
        <f t="shared" si="12"/>
        <v>0</v>
      </c>
      <c r="AG21" s="346">
        <f t="shared" si="12"/>
        <v>0</v>
      </c>
      <c r="AH21" s="346">
        <f t="shared" si="12"/>
        <v>0</v>
      </c>
      <c r="AI21" s="347">
        <f t="shared" si="12"/>
        <v>0</v>
      </c>
      <c r="AJ21" s="349"/>
      <c r="AK21" s="349"/>
      <c r="AL21" s="350"/>
    </row>
    <row r="22" spans="1:38" s="355" customFormat="1" ht="16" hidden="1" outlineLevel="1">
      <c r="A22" s="352" t="s">
        <v>425</v>
      </c>
      <c r="B22" s="409" t="s">
        <v>90</v>
      </c>
      <c r="C22" s="341">
        <v>46037</v>
      </c>
      <c r="D22" s="342">
        <v>46051</v>
      </c>
      <c r="E22" s="383" t="e">
        <f>IF((#REF!-C22)/(D22-C22)&lt;0,0,IF((#REF!-C22)/(D22-C22)&gt;100%,100%,(#REF!-C22)/(D22-C22)))</f>
        <v>#REF!</v>
      </c>
      <c r="F22" s="353">
        <v>46037</v>
      </c>
      <c r="G22" s="354">
        <v>46051</v>
      </c>
      <c r="H22" s="383" t="e">
        <f>IF((#REF!-F22)/(G22-F22)&lt;0,0,IF((#REF!-F22)/(G22-F22)&gt;100%,100%,(#REF!-F22)/(G22-F22)))</f>
        <v>#REF!</v>
      </c>
      <c r="I22" s="345" t="e">
        <f t="shared" si="7"/>
        <v>#REF!</v>
      </c>
      <c r="J22" s="346">
        <f t="shared" si="10"/>
        <v>0</v>
      </c>
      <c r="K22" s="347">
        <f t="shared" si="10"/>
        <v>0</v>
      </c>
      <c r="L22" s="346">
        <f t="shared" si="8"/>
        <v>0</v>
      </c>
      <c r="M22" s="346">
        <f t="shared" si="11"/>
        <v>0</v>
      </c>
      <c r="N22" s="346">
        <f t="shared" si="11"/>
        <v>0</v>
      </c>
      <c r="O22" s="346">
        <f t="shared" si="11"/>
        <v>0</v>
      </c>
      <c r="P22" s="346">
        <f t="shared" si="11"/>
        <v>0</v>
      </c>
      <c r="Q22" s="346">
        <f t="shared" si="11"/>
        <v>0</v>
      </c>
      <c r="R22" s="346">
        <f t="shared" si="11"/>
        <v>0</v>
      </c>
      <c r="S22" s="346">
        <f t="shared" si="11"/>
        <v>0</v>
      </c>
      <c r="T22" s="346">
        <f t="shared" si="11"/>
        <v>0</v>
      </c>
      <c r="U22" s="346">
        <f t="shared" si="11"/>
        <v>0</v>
      </c>
      <c r="V22" s="346">
        <f t="shared" si="11"/>
        <v>0</v>
      </c>
      <c r="W22" s="347">
        <f t="shared" si="11"/>
        <v>0</v>
      </c>
      <c r="X22" s="348">
        <f t="shared" si="12"/>
        <v>0</v>
      </c>
      <c r="Y22" s="346">
        <f t="shared" si="12"/>
        <v>0</v>
      </c>
      <c r="Z22" s="346">
        <f t="shared" si="12"/>
        <v>0</v>
      </c>
      <c r="AA22" s="346">
        <f t="shared" si="12"/>
        <v>0</v>
      </c>
      <c r="AB22" s="346">
        <f t="shared" si="12"/>
        <v>0</v>
      </c>
      <c r="AC22" s="346">
        <f t="shared" si="12"/>
        <v>0</v>
      </c>
      <c r="AD22" s="346">
        <f t="shared" si="12"/>
        <v>0</v>
      </c>
      <c r="AE22" s="346">
        <f t="shared" si="12"/>
        <v>0</v>
      </c>
      <c r="AF22" s="346">
        <f t="shared" si="12"/>
        <v>0</v>
      </c>
      <c r="AG22" s="346">
        <f t="shared" si="12"/>
        <v>0</v>
      </c>
      <c r="AH22" s="346">
        <f t="shared" si="12"/>
        <v>0</v>
      </c>
      <c r="AI22" s="347">
        <f t="shared" si="12"/>
        <v>0</v>
      </c>
      <c r="AJ22" s="349"/>
      <c r="AK22" s="349"/>
      <c r="AL22" s="350"/>
    </row>
    <row r="23" spans="1:38" s="355" customFormat="1" ht="27" hidden="1" customHeight="1" outlineLevel="1">
      <c r="A23" s="352" t="s">
        <v>426</v>
      </c>
      <c r="B23" s="409" t="s">
        <v>91</v>
      </c>
      <c r="C23" s="341">
        <v>46006</v>
      </c>
      <c r="D23" s="342">
        <v>46021</v>
      </c>
      <c r="E23" s="383" t="e">
        <f>IF((#REF!-C23)/(D23-C23)&lt;0,0,IF((#REF!-C23)/(D23-C23)&gt;100%,100%,(#REF!-C23)/(D23-C23)))</f>
        <v>#REF!</v>
      </c>
      <c r="F23" s="353">
        <v>46006</v>
      </c>
      <c r="G23" s="354">
        <v>46021</v>
      </c>
      <c r="H23" s="383" t="e">
        <f>IF((#REF!-F23)/(G23-F23)&lt;0,0,IF((#REF!-F23)/(G23-F23)&gt;100%,100%,(#REF!-F23)/(G23-F23)))</f>
        <v>#REF!</v>
      </c>
      <c r="I23" s="345" t="e">
        <f t="shared" si="7"/>
        <v>#REF!</v>
      </c>
      <c r="J23" s="346">
        <f t="shared" si="10"/>
        <v>0</v>
      </c>
      <c r="K23" s="347">
        <f t="shared" si="10"/>
        <v>0</v>
      </c>
      <c r="L23" s="346">
        <f t="shared" si="8"/>
        <v>0</v>
      </c>
      <c r="M23" s="346">
        <f t="shared" si="11"/>
        <v>0</v>
      </c>
      <c r="N23" s="346">
        <f t="shared" si="11"/>
        <v>0</v>
      </c>
      <c r="O23" s="346">
        <f t="shared" si="11"/>
        <v>0</v>
      </c>
      <c r="P23" s="346">
        <f t="shared" si="11"/>
        <v>0</v>
      </c>
      <c r="Q23" s="346">
        <f t="shared" si="11"/>
        <v>0</v>
      </c>
      <c r="R23" s="346">
        <f t="shared" si="11"/>
        <v>0</v>
      </c>
      <c r="S23" s="346">
        <f t="shared" si="11"/>
        <v>0</v>
      </c>
      <c r="T23" s="346">
        <f t="shared" si="11"/>
        <v>0</v>
      </c>
      <c r="U23" s="346">
        <f t="shared" si="11"/>
        <v>0</v>
      </c>
      <c r="V23" s="346">
        <f t="shared" si="11"/>
        <v>0</v>
      </c>
      <c r="W23" s="347">
        <f t="shared" si="11"/>
        <v>0</v>
      </c>
      <c r="X23" s="348">
        <f t="shared" si="12"/>
        <v>0</v>
      </c>
      <c r="Y23" s="346">
        <f t="shared" si="12"/>
        <v>0</v>
      </c>
      <c r="Z23" s="346">
        <f t="shared" si="12"/>
        <v>0</v>
      </c>
      <c r="AA23" s="346">
        <f t="shared" si="12"/>
        <v>0</v>
      </c>
      <c r="AB23" s="346">
        <f t="shared" si="12"/>
        <v>0</v>
      </c>
      <c r="AC23" s="346">
        <f t="shared" si="12"/>
        <v>0</v>
      </c>
      <c r="AD23" s="346">
        <f t="shared" si="12"/>
        <v>0</v>
      </c>
      <c r="AE23" s="346">
        <f t="shared" si="12"/>
        <v>0</v>
      </c>
      <c r="AF23" s="346">
        <f t="shared" si="12"/>
        <v>0</v>
      </c>
      <c r="AG23" s="346">
        <f t="shared" si="12"/>
        <v>0</v>
      </c>
      <c r="AH23" s="346">
        <f t="shared" si="12"/>
        <v>0</v>
      </c>
      <c r="AI23" s="347">
        <f t="shared" si="12"/>
        <v>0</v>
      </c>
      <c r="AJ23" s="349"/>
      <c r="AK23" s="349"/>
      <c r="AL23" s="350"/>
    </row>
    <row r="24" spans="1:38" s="30" customFormat="1" ht="31.75" customHeight="1" collapsed="1">
      <c r="A24" s="109" t="s">
        <v>236</v>
      </c>
      <c r="B24" s="66" t="s">
        <v>241</v>
      </c>
      <c r="C24" s="256" t="s">
        <v>284</v>
      </c>
      <c r="D24" s="257" t="s">
        <v>284</v>
      </c>
      <c r="E24" s="381" t="e">
        <f>IF((#REF!-C24)/(D24-C24)&lt;0,0,IF((#REF!-C24)/(D24-C24)&gt;100%,100%,(#REF!-C24)/(D24-C24)))</f>
        <v>#REF!</v>
      </c>
      <c r="F24" s="217" t="s">
        <v>284</v>
      </c>
      <c r="G24" s="218" t="s">
        <v>284</v>
      </c>
      <c r="H24" s="381" t="e">
        <f>IF((#REF!-F24)/(G24-F24)&lt;0,0,IF((#REF!-F24)/(G24-F24)&gt;100%,100%,(#REF!-F24)/(G24-F24)))</f>
        <v>#REF!</v>
      </c>
      <c r="I24" s="219" t="e">
        <f t="shared" si="7"/>
        <v>#VALUE!</v>
      </c>
      <c r="J24" s="49">
        <f t="shared" si="10"/>
        <v>0</v>
      </c>
      <c r="K24" s="50">
        <f t="shared" si="10"/>
        <v>0</v>
      </c>
      <c r="L24" s="49">
        <f t="shared" si="8"/>
        <v>0</v>
      </c>
      <c r="M24" s="49">
        <f t="shared" si="11"/>
        <v>0</v>
      </c>
      <c r="N24" s="49">
        <f t="shared" si="11"/>
        <v>0</v>
      </c>
      <c r="O24" s="49">
        <f t="shared" si="11"/>
        <v>0</v>
      </c>
      <c r="P24" s="49">
        <f t="shared" si="11"/>
        <v>0</v>
      </c>
      <c r="Q24" s="49">
        <f t="shared" si="11"/>
        <v>0</v>
      </c>
      <c r="R24" s="49">
        <f t="shared" si="11"/>
        <v>0</v>
      </c>
      <c r="S24" s="49">
        <f t="shared" si="11"/>
        <v>0</v>
      </c>
      <c r="T24" s="49">
        <f t="shared" si="11"/>
        <v>0</v>
      </c>
      <c r="U24" s="49">
        <f t="shared" si="11"/>
        <v>0</v>
      </c>
      <c r="V24" s="49">
        <f t="shared" si="11"/>
        <v>0</v>
      </c>
      <c r="W24" s="50">
        <f t="shared" si="11"/>
        <v>0</v>
      </c>
      <c r="X24" s="51">
        <f t="shared" si="12"/>
        <v>0</v>
      </c>
      <c r="Y24" s="49">
        <f t="shared" si="12"/>
        <v>0</v>
      </c>
      <c r="Z24" s="49">
        <f t="shared" si="12"/>
        <v>0</v>
      </c>
      <c r="AA24" s="49">
        <f t="shared" si="12"/>
        <v>0</v>
      </c>
      <c r="AB24" s="49">
        <f t="shared" si="12"/>
        <v>0</v>
      </c>
      <c r="AC24" s="49">
        <f t="shared" si="12"/>
        <v>0</v>
      </c>
      <c r="AD24" s="49">
        <f t="shared" si="12"/>
        <v>0</v>
      </c>
      <c r="AE24" s="49">
        <f t="shared" si="12"/>
        <v>0</v>
      </c>
      <c r="AF24" s="49">
        <f t="shared" si="12"/>
        <v>0</v>
      </c>
      <c r="AG24" s="49">
        <f t="shared" si="12"/>
        <v>0</v>
      </c>
      <c r="AH24" s="49">
        <f t="shared" si="12"/>
        <v>0</v>
      </c>
      <c r="AI24" s="50">
        <f t="shared" si="12"/>
        <v>0</v>
      </c>
      <c r="AJ24" s="106"/>
      <c r="AK24" s="106"/>
      <c r="AL24" s="107"/>
    </row>
    <row r="25" spans="1:38" s="30" customFormat="1" ht="28" hidden="1" outlineLevel="1">
      <c r="A25" s="108" t="s">
        <v>428</v>
      </c>
      <c r="B25" s="408" t="s">
        <v>93</v>
      </c>
      <c r="C25" s="239"/>
      <c r="D25" s="240"/>
      <c r="E25" s="378" t="e">
        <f>IF((#REF!-C25)/(D25-C25)&lt;0,0,IF((#REF!-C25)/(D25-C25)&gt;100%,100%,(#REF!-C25)/(D25-C25)))</f>
        <v>#REF!</v>
      </c>
      <c r="F25" s="232"/>
      <c r="G25" s="233"/>
      <c r="H25" s="378" t="e">
        <f>IF((#REF!-F25)/(G25-F25)&lt;0,0,IF((#REF!-F25)/(G25-F25)&gt;100%,100%,(#REF!-F25)/(G25-F25)))</f>
        <v>#REF!</v>
      </c>
      <c r="I25" s="222" t="e">
        <f t="shared" si="7"/>
        <v>#REF!</v>
      </c>
      <c r="J25" s="25">
        <f t="shared" si="10"/>
        <v>0</v>
      </c>
      <c r="K25" s="26">
        <f t="shared" si="10"/>
        <v>0</v>
      </c>
      <c r="L25" s="25">
        <f t="shared" si="8"/>
        <v>0</v>
      </c>
      <c r="M25" s="25">
        <f t="shared" si="11"/>
        <v>0</v>
      </c>
      <c r="N25" s="25">
        <f t="shared" si="11"/>
        <v>0</v>
      </c>
      <c r="O25" s="25">
        <f t="shared" si="11"/>
        <v>0</v>
      </c>
      <c r="P25" s="25">
        <f t="shared" si="11"/>
        <v>0</v>
      </c>
      <c r="Q25" s="25">
        <f t="shared" si="11"/>
        <v>0</v>
      </c>
      <c r="R25" s="25">
        <f t="shared" si="11"/>
        <v>0</v>
      </c>
      <c r="S25" s="25">
        <f t="shared" si="11"/>
        <v>0</v>
      </c>
      <c r="T25" s="25">
        <f t="shared" si="11"/>
        <v>0</v>
      </c>
      <c r="U25" s="25">
        <f t="shared" si="11"/>
        <v>0</v>
      </c>
      <c r="V25" s="25">
        <f t="shared" si="11"/>
        <v>0</v>
      </c>
      <c r="W25" s="26">
        <f t="shared" si="11"/>
        <v>0</v>
      </c>
      <c r="X25" s="27">
        <f t="shared" si="12"/>
        <v>0</v>
      </c>
      <c r="Y25" s="25">
        <f t="shared" si="12"/>
        <v>0</v>
      </c>
      <c r="Z25" s="25">
        <f t="shared" si="12"/>
        <v>0</v>
      </c>
      <c r="AA25" s="25">
        <f t="shared" si="12"/>
        <v>0</v>
      </c>
      <c r="AB25" s="25">
        <f t="shared" si="12"/>
        <v>0</v>
      </c>
      <c r="AC25" s="25">
        <f t="shared" si="12"/>
        <v>0</v>
      </c>
      <c r="AD25" s="25">
        <f t="shared" si="12"/>
        <v>0</v>
      </c>
      <c r="AE25" s="25">
        <f t="shared" si="12"/>
        <v>0</v>
      </c>
      <c r="AF25" s="25">
        <f t="shared" si="12"/>
        <v>0</v>
      </c>
      <c r="AG25" s="25">
        <f t="shared" si="12"/>
        <v>0</v>
      </c>
      <c r="AH25" s="25">
        <f t="shared" si="12"/>
        <v>0</v>
      </c>
      <c r="AI25" s="26">
        <f t="shared" si="12"/>
        <v>0</v>
      </c>
      <c r="AJ25" s="91"/>
      <c r="AK25" s="91"/>
      <c r="AL25" s="92"/>
    </row>
    <row r="26" spans="1:38" s="30" customFormat="1" ht="16" hidden="1" outlineLevel="1">
      <c r="A26" s="108" t="s">
        <v>429</v>
      </c>
      <c r="B26" s="408" t="s">
        <v>92</v>
      </c>
      <c r="C26" s="239"/>
      <c r="D26" s="240"/>
      <c r="E26" s="378" t="e">
        <f>IF((#REF!-C26)/(D26-C26)&lt;0,0,IF((#REF!-C26)/(D26-C26)&gt;100%,100%,(#REF!-C26)/(D26-C26)))</f>
        <v>#REF!</v>
      </c>
      <c r="F26" s="232"/>
      <c r="G26" s="233"/>
      <c r="H26" s="378" t="e">
        <f>IF((#REF!-F26)/(G26-F26)&lt;0,0,IF((#REF!-F26)/(G26-F26)&gt;100%,100%,(#REF!-F26)/(G26-F26)))</f>
        <v>#REF!</v>
      </c>
      <c r="I26" s="222" t="e">
        <f t="shared" si="7"/>
        <v>#REF!</v>
      </c>
      <c r="J26" s="25">
        <f t="shared" si="10"/>
        <v>0</v>
      </c>
      <c r="K26" s="26">
        <f t="shared" si="10"/>
        <v>0</v>
      </c>
      <c r="L26" s="25">
        <f t="shared" si="8"/>
        <v>0</v>
      </c>
      <c r="M26" s="25">
        <f t="shared" si="11"/>
        <v>0</v>
      </c>
      <c r="N26" s="25">
        <f t="shared" si="11"/>
        <v>0</v>
      </c>
      <c r="O26" s="25">
        <f t="shared" si="11"/>
        <v>0</v>
      </c>
      <c r="P26" s="25">
        <f t="shared" si="11"/>
        <v>0</v>
      </c>
      <c r="Q26" s="25">
        <f t="shared" si="11"/>
        <v>0</v>
      </c>
      <c r="R26" s="25">
        <f t="shared" si="11"/>
        <v>0</v>
      </c>
      <c r="S26" s="25">
        <f t="shared" si="11"/>
        <v>0</v>
      </c>
      <c r="T26" s="25">
        <f t="shared" si="11"/>
        <v>0</v>
      </c>
      <c r="U26" s="25">
        <f t="shared" si="11"/>
        <v>0</v>
      </c>
      <c r="V26" s="25">
        <f t="shared" si="11"/>
        <v>0</v>
      </c>
      <c r="W26" s="26">
        <f t="shared" si="11"/>
        <v>0</v>
      </c>
      <c r="X26" s="27">
        <f t="shared" si="12"/>
        <v>0</v>
      </c>
      <c r="Y26" s="25">
        <f t="shared" si="12"/>
        <v>0</v>
      </c>
      <c r="Z26" s="25">
        <f t="shared" si="12"/>
        <v>0</v>
      </c>
      <c r="AA26" s="25">
        <f t="shared" si="12"/>
        <v>0</v>
      </c>
      <c r="AB26" s="25">
        <f t="shared" si="12"/>
        <v>0</v>
      </c>
      <c r="AC26" s="25">
        <f t="shared" si="12"/>
        <v>0</v>
      </c>
      <c r="AD26" s="25">
        <f t="shared" si="12"/>
        <v>0</v>
      </c>
      <c r="AE26" s="25">
        <f t="shared" si="12"/>
        <v>0</v>
      </c>
      <c r="AF26" s="25">
        <f t="shared" si="12"/>
        <v>0</v>
      </c>
      <c r="AG26" s="25">
        <f t="shared" si="12"/>
        <v>0</v>
      </c>
      <c r="AH26" s="25">
        <f t="shared" si="12"/>
        <v>0</v>
      </c>
      <c r="AI26" s="26">
        <f t="shared" si="12"/>
        <v>0</v>
      </c>
      <c r="AJ26" s="91"/>
      <c r="AK26" s="91"/>
      <c r="AL26" s="92"/>
    </row>
    <row r="27" spans="1:38" s="30" customFormat="1" ht="16" hidden="1" outlineLevel="1">
      <c r="A27" s="108" t="s">
        <v>430</v>
      </c>
      <c r="B27" s="408" t="s">
        <v>94</v>
      </c>
      <c r="C27" s="239"/>
      <c r="D27" s="240"/>
      <c r="E27" s="378" t="e">
        <f>IF((#REF!-C27)/(D27-C27)&lt;0,0,IF((#REF!-C27)/(D27-C27)&gt;100%,100%,(#REF!-C27)/(D27-C27)))</f>
        <v>#REF!</v>
      </c>
      <c r="F27" s="232"/>
      <c r="G27" s="233"/>
      <c r="H27" s="378" t="e">
        <f>IF((#REF!-F27)/(G27-F27)&lt;0,0,IF((#REF!-F27)/(G27-F27)&gt;100%,100%,(#REF!-F27)/(G27-F27)))</f>
        <v>#REF!</v>
      </c>
      <c r="I27" s="222" t="e">
        <f t="shared" si="7"/>
        <v>#REF!</v>
      </c>
      <c r="J27" s="25">
        <f t="shared" si="10"/>
        <v>0</v>
      </c>
      <c r="K27" s="26">
        <f t="shared" si="10"/>
        <v>0</v>
      </c>
      <c r="L27" s="25">
        <f t="shared" si="8"/>
        <v>0</v>
      </c>
      <c r="M27" s="25">
        <f t="shared" ref="M27:W36" si="13">+IF(M$3&gt;=$C27,IF(M$3&lt;=$D27,1,0),0)</f>
        <v>0</v>
      </c>
      <c r="N27" s="25">
        <f t="shared" si="13"/>
        <v>0</v>
      </c>
      <c r="O27" s="25">
        <f t="shared" si="13"/>
        <v>0</v>
      </c>
      <c r="P27" s="25">
        <f t="shared" si="13"/>
        <v>0</v>
      </c>
      <c r="Q27" s="25">
        <f t="shared" si="13"/>
        <v>0</v>
      </c>
      <c r="R27" s="25">
        <f t="shared" si="13"/>
        <v>0</v>
      </c>
      <c r="S27" s="25">
        <f t="shared" si="13"/>
        <v>0</v>
      </c>
      <c r="T27" s="25">
        <f t="shared" si="13"/>
        <v>0</v>
      </c>
      <c r="U27" s="25">
        <f t="shared" si="13"/>
        <v>0</v>
      </c>
      <c r="V27" s="25">
        <f t="shared" si="13"/>
        <v>0</v>
      </c>
      <c r="W27" s="26">
        <f t="shared" si="13"/>
        <v>0</v>
      </c>
      <c r="X27" s="27">
        <f t="shared" si="12"/>
        <v>0</v>
      </c>
      <c r="Y27" s="25">
        <f t="shared" si="12"/>
        <v>0</v>
      </c>
      <c r="Z27" s="25">
        <f t="shared" si="12"/>
        <v>0</v>
      </c>
      <c r="AA27" s="25">
        <f t="shared" si="12"/>
        <v>0</v>
      </c>
      <c r="AB27" s="25">
        <f t="shared" si="12"/>
        <v>0</v>
      </c>
      <c r="AC27" s="25">
        <f t="shared" si="12"/>
        <v>0</v>
      </c>
      <c r="AD27" s="25">
        <f t="shared" si="12"/>
        <v>0</v>
      </c>
      <c r="AE27" s="25">
        <f t="shared" si="12"/>
        <v>0</v>
      </c>
      <c r="AF27" s="25">
        <f t="shared" si="12"/>
        <v>0</v>
      </c>
      <c r="AG27" s="25">
        <f t="shared" si="12"/>
        <v>0</v>
      </c>
      <c r="AH27" s="25">
        <f t="shared" si="12"/>
        <v>0</v>
      </c>
      <c r="AI27" s="26">
        <f t="shared" si="12"/>
        <v>0</v>
      </c>
      <c r="AJ27" s="91"/>
      <c r="AK27" s="91"/>
      <c r="AL27" s="92"/>
    </row>
    <row r="28" spans="1:38" s="100" customFormat="1" ht="42" hidden="1" outlineLevel="1">
      <c r="A28" s="108" t="s">
        <v>431</v>
      </c>
      <c r="B28" s="408" t="s">
        <v>95</v>
      </c>
      <c r="C28" s="235"/>
      <c r="D28" s="236"/>
      <c r="E28" s="378" t="e">
        <f>IF((#REF!-C28)/(D28-C28)&lt;0,0,IF((#REF!-C28)/(D28-C28)&gt;100%,100%,(#REF!-C28)/(D28-C28)))</f>
        <v>#REF!</v>
      </c>
      <c r="F28" s="245"/>
      <c r="G28" s="246"/>
      <c r="H28" s="378" t="e">
        <f>IF((#REF!-F28)/(G28-F28)&lt;0,0,IF((#REF!-F28)/(G28-F28)&gt;100%,100%,(#REF!-F28)/(G28-F28)))</f>
        <v>#REF!</v>
      </c>
      <c r="I28" s="222" t="e">
        <f t="shared" si="7"/>
        <v>#REF!</v>
      </c>
      <c r="J28" s="25">
        <f t="shared" si="10"/>
        <v>0</v>
      </c>
      <c r="K28" s="26">
        <f t="shared" si="10"/>
        <v>0</v>
      </c>
      <c r="L28" s="25">
        <f t="shared" si="8"/>
        <v>0</v>
      </c>
      <c r="M28" s="25">
        <f t="shared" si="13"/>
        <v>0</v>
      </c>
      <c r="N28" s="25">
        <f t="shared" si="13"/>
        <v>0</v>
      </c>
      <c r="O28" s="25">
        <f t="shared" si="13"/>
        <v>0</v>
      </c>
      <c r="P28" s="25">
        <f t="shared" si="13"/>
        <v>0</v>
      </c>
      <c r="Q28" s="25">
        <f t="shared" si="13"/>
        <v>0</v>
      </c>
      <c r="R28" s="25">
        <f t="shared" si="13"/>
        <v>0</v>
      </c>
      <c r="S28" s="25">
        <f t="shared" si="13"/>
        <v>0</v>
      </c>
      <c r="T28" s="25">
        <f t="shared" si="13"/>
        <v>0</v>
      </c>
      <c r="U28" s="25">
        <f t="shared" si="13"/>
        <v>0</v>
      </c>
      <c r="V28" s="25">
        <f t="shared" si="13"/>
        <v>0</v>
      </c>
      <c r="W28" s="26">
        <f t="shared" si="13"/>
        <v>0</v>
      </c>
      <c r="X28" s="27">
        <f t="shared" ref="X28:AI37" si="14">+IF(X$3&gt;=$C28,IF(X$3&lt;=$D28,1,0),0)</f>
        <v>0</v>
      </c>
      <c r="Y28" s="25">
        <f t="shared" si="14"/>
        <v>0</v>
      </c>
      <c r="Z28" s="25">
        <f t="shared" si="14"/>
        <v>0</v>
      </c>
      <c r="AA28" s="25">
        <f t="shared" si="14"/>
        <v>0</v>
      </c>
      <c r="AB28" s="25">
        <f t="shared" si="14"/>
        <v>0</v>
      </c>
      <c r="AC28" s="25">
        <f t="shared" si="14"/>
        <v>0</v>
      </c>
      <c r="AD28" s="25">
        <f t="shared" si="14"/>
        <v>0</v>
      </c>
      <c r="AE28" s="25">
        <f t="shared" si="14"/>
        <v>0</v>
      </c>
      <c r="AF28" s="25">
        <f t="shared" si="14"/>
        <v>0</v>
      </c>
      <c r="AG28" s="25">
        <f t="shared" si="14"/>
        <v>0</v>
      </c>
      <c r="AH28" s="25">
        <f t="shared" si="14"/>
        <v>0</v>
      </c>
      <c r="AI28" s="26">
        <f t="shared" si="14"/>
        <v>0</v>
      </c>
      <c r="AJ28" s="91"/>
      <c r="AK28" s="91"/>
      <c r="AL28" s="92"/>
    </row>
    <row r="29" spans="1:38" s="100" customFormat="1" ht="42" hidden="1" outlineLevel="1">
      <c r="A29" s="108" t="s">
        <v>432</v>
      </c>
      <c r="B29" s="408" t="s">
        <v>96</v>
      </c>
      <c r="C29" s="235"/>
      <c r="D29" s="236"/>
      <c r="E29" s="378" t="e">
        <f>IF((#REF!-C29)/(D29-C29)&lt;0,0,IF((#REF!-C29)/(D29-C29)&gt;100%,100%,(#REF!-C29)/(D29-C29)))</f>
        <v>#REF!</v>
      </c>
      <c r="F29" s="245"/>
      <c r="G29" s="246"/>
      <c r="H29" s="378" t="e">
        <f>IF((#REF!-F29)/(G29-F29)&lt;0,0,IF((#REF!-F29)/(G29-F29)&gt;100%,100%,(#REF!-F29)/(G29-F29)))</f>
        <v>#REF!</v>
      </c>
      <c r="I29" s="222" t="e">
        <f t="shared" si="7"/>
        <v>#REF!</v>
      </c>
      <c r="J29" s="25">
        <f t="shared" si="10"/>
        <v>0</v>
      </c>
      <c r="K29" s="26">
        <f t="shared" si="10"/>
        <v>0</v>
      </c>
      <c r="L29" s="25">
        <f t="shared" si="8"/>
        <v>0</v>
      </c>
      <c r="M29" s="25">
        <f t="shared" si="13"/>
        <v>0</v>
      </c>
      <c r="N29" s="25">
        <f t="shared" si="13"/>
        <v>0</v>
      </c>
      <c r="O29" s="25">
        <f t="shared" si="13"/>
        <v>0</v>
      </c>
      <c r="P29" s="25">
        <f t="shared" si="13"/>
        <v>0</v>
      </c>
      <c r="Q29" s="25">
        <f t="shared" si="13"/>
        <v>0</v>
      </c>
      <c r="R29" s="25">
        <f t="shared" si="13"/>
        <v>0</v>
      </c>
      <c r="S29" s="25">
        <f t="shared" si="13"/>
        <v>0</v>
      </c>
      <c r="T29" s="25">
        <f t="shared" si="13"/>
        <v>0</v>
      </c>
      <c r="U29" s="25">
        <f t="shared" si="13"/>
        <v>0</v>
      </c>
      <c r="V29" s="25">
        <f t="shared" si="13"/>
        <v>0</v>
      </c>
      <c r="W29" s="26">
        <f t="shared" si="13"/>
        <v>0</v>
      </c>
      <c r="X29" s="27">
        <f t="shared" si="14"/>
        <v>0</v>
      </c>
      <c r="Y29" s="25">
        <f t="shared" si="14"/>
        <v>0</v>
      </c>
      <c r="Z29" s="25">
        <f t="shared" si="14"/>
        <v>0</v>
      </c>
      <c r="AA29" s="25">
        <f t="shared" si="14"/>
        <v>0</v>
      </c>
      <c r="AB29" s="25">
        <f t="shared" si="14"/>
        <v>0</v>
      </c>
      <c r="AC29" s="25">
        <f t="shared" si="14"/>
        <v>0</v>
      </c>
      <c r="AD29" s="25">
        <f t="shared" si="14"/>
        <v>0</v>
      </c>
      <c r="AE29" s="25">
        <f t="shared" si="14"/>
        <v>0</v>
      </c>
      <c r="AF29" s="25">
        <f t="shared" si="14"/>
        <v>0</v>
      </c>
      <c r="AG29" s="25">
        <f t="shared" si="14"/>
        <v>0</v>
      </c>
      <c r="AH29" s="25">
        <f t="shared" si="14"/>
        <v>0</v>
      </c>
      <c r="AI29" s="26">
        <f t="shared" si="14"/>
        <v>0</v>
      </c>
      <c r="AJ29" s="91"/>
      <c r="AK29" s="91"/>
      <c r="AL29" s="92"/>
    </row>
    <row r="30" spans="1:38" s="100" customFormat="1" ht="28" hidden="1" outlineLevel="1">
      <c r="A30" s="108" t="s">
        <v>433</v>
      </c>
      <c r="B30" s="408" t="s">
        <v>97</v>
      </c>
      <c r="C30" s="235"/>
      <c r="D30" s="236"/>
      <c r="E30" s="378" t="e">
        <f>IF((#REF!-C30)/(D30-C30)&lt;0,0,IF((#REF!-C30)/(D30-C30)&gt;100%,100%,(#REF!-C30)/(D30-C30)))</f>
        <v>#REF!</v>
      </c>
      <c r="F30" s="245"/>
      <c r="G30" s="246"/>
      <c r="H30" s="378" t="e">
        <f>IF((#REF!-F30)/(G30-F30)&lt;0,0,IF((#REF!-F30)/(G30-F30)&gt;100%,100%,(#REF!-F30)/(G30-F30)))</f>
        <v>#REF!</v>
      </c>
      <c r="I30" s="222" t="e">
        <f t="shared" si="7"/>
        <v>#REF!</v>
      </c>
      <c r="J30" s="25">
        <f t="shared" si="10"/>
        <v>0</v>
      </c>
      <c r="K30" s="26">
        <f t="shared" si="10"/>
        <v>0</v>
      </c>
      <c r="L30" s="25">
        <f t="shared" si="8"/>
        <v>0</v>
      </c>
      <c r="M30" s="25">
        <f t="shared" si="13"/>
        <v>0</v>
      </c>
      <c r="N30" s="25">
        <f t="shared" si="13"/>
        <v>0</v>
      </c>
      <c r="O30" s="25">
        <f t="shared" si="13"/>
        <v>0</v>
      </c>
      <c r="P30" s="25">
        <f t="shared" si="13"/>
        <v>0</v>
      </c>
      <c r="Q30" s="25">
        <f t="shared" si="13"/>
        <v>0</v>
      </c>
      <c r="R30" s="25">
        <f t="shared" si="13"/>
        <v>0</v>
      </c>
      <c r="S30" s="25">
        <f t="shared" si="13"/>
        <v>0</v>
      </c>
      <c r="T30" s="25">
        <f t="shared" si="13"/>
        <v>0</v>
      </c>
      <c r="U30" s="25">
        <f t="shared" si="13"/>
        <v>0</v>
      </c>
      <c r="V30" s="25">
        <f t="shared" si="13"/>
        <v>0</v>
      </c>
      <c r="W30" s="26">
        <f t="shared" si="13"/>
        <v>0</v>
      </c>
      <c r="X30" s="27">
        <f t="shared" si="14"/>
        <v>0</v>
      </c>
      <c r="Y30" s="25">
        <f t="shared" si="14"/>
        <v>0</v>
      </c>
      <c r="Z30" s="25">
        <f t="shared" si="14"/>
        <v>0</v>
      </c>
      <c r="AA30" s="25">
        <f t="shared" si="14"/>
        <v>0</v>
      </c>
      <c r="AB30" s="25">
        <f t="shared" si="14"/>
        <v>0</v>
      </c>
      <c r="AC30" s="25">
        <f t="shared" si="14"/>
        <v>0</v>
      </c>
      <c r="AD30" s="25">
        <f t="shared" si="14"/>
        <v>0</v>
      </c>
      <c r="AE30" s="25">
        <f t="shared" si="14"/>
        <v>0</v>
      </c>
      <c r="AF30" s="25">
        <f t="shared" si="14"/>
        <v>0</v>
      </c>
      <c r="AG30" s="25">
        <f t="shared" si="14"/>
        <v>0</v>
      </c>
      <c r="AH30" s="25">
        <f t="shared" si="14"/>
        <v>0</v>
      </c>
      <c r="AI30" s="26">
        <f t="shared" si="14"/>
        <v>0</v>
      </c>
      <c r="AJ30" s="91"/>
      <c r="AK30" s="91"/>
      <c r="AL30" s="92"/>
    </row>
    <row r="31" spans="1:38" s="30" customFormat="1" ht="16" collapsed="1">
      <c r="A31" s="109" t="s">
        <v>237</v>
      </c>
      <c r="B31" s="66" t="s">
        <v>98</v>
      </c>
      <c r="C31" s="256">
        <v>46096</v>
      </c>
      <c r="D31" s="257">
        <v>46172</v>
      </c>
      <c r="E31" s="381" t="e">
        <f>IF((#REF!-C31)/(D31-C31)&lt;0,0,IF((#REF!-C31)/(D31-C31)&gt;100%,100%,(#REF!-C31)/(D31-C31)))</f>
        <v>#REF!</v>
      </c>
      <c r="F31" s="230"/>
      <c r="G31" s="231"/>
      <c r="H31" s="381" t="e">
        <f>IF((#REF!-F31)/(G31-F31)&lt;0,0,IF((#REF!-F31)/(G31-F31)&gt;100%,100%,(#REF!-F31)/(G31-F31)))</f>
        <v>#REF!</v>
      </c>
      <c r="I31" s="219" t="e">
        <f t="shared" si="7"/>
        <v>#REF!</v>
      </c>
      <c r="J31" s="49">
        <f t="shared" ref="J31:K50" si="15">+IF(J$3&gt;=$C31,IF(J$3&lt;=$D31,1,0),0)</f>
        <v>0</v>
      </c>
      <c r="K31" s="50">
        <f t="shared" si="15"/>
        <v>0</v>
      </c>
      <c r="L31" s="49">
        <f t="shared" si="8"/>
        <v>0</v>
      </c>
      <c r="M31" s="49">
        <f t="shared" si="13"/>
        <v>0</v>
      </c>
      <c r="N31" s="49">
        <f t="shared" si="13"/>
        <v>1</v>
      </c>
      <c r="O31" s="49">
        <f t="shared" si="13"/>
        <v>1</v>
      </c>
      <c r="P31" s="49">
        <f t="shared" si="13"/>
        <v>0</v>
      </c>
      <c r="Q31" s="49">
        <f t="shared" si="13"/>
        <v>0</v>
      </c>
      <c r="R31" s="49">
        <f t="shared" si="13"/>
        <v>0</v>
      </c>
      <c r="S31" s="49">
        <f t="shared" si="13"/>
        <v>0</v>
      </c>
      <c r="T31" s="49">
        <f t="shared" si="13"/>
        <v>0</v>
      </c>
      <c r="U31" s="49">
        <f t="shared" si="13"/>
        <v>0</v>
      </c>
      <c r="V31" s="49">
        <f t="shared" si="13"/>
        <v>0</v>
      </c>
      <c r="W31" s="50">
        <f t="shared" si="13"/>
        <v>0</v>
      </c>
      <c r="X31" s="51">
        <f t="shared" si="14"/>
        <v>0</v>
      </c>
      <c r="Y31" s="49">
        <f t="shared" si="14"/>
        <v>0</v>
      </c>
      <c r="Z31" s="49">
        <f t="shared" si="14"/>
        <v>0</v>
      </c>
      <c r="AA31" s="49">
        <f t="shared" si="14"/>
        <v>0</v>
      </c>
      <c r="AB31" s="49">
        <f t="shared" si="14"/>
        <v>0</v>
      </c>
      <c r="AC31" s="49">
        <f t="shared" si="14"/>
        <v>0</v>
      </c>
      <c r="AD31" s="49">
        <f t="shared" si="14"/>
        <v>0</v>
      </c>
      <c r="AE31" s="49">
        <f t="shared" si="14"/>
        <v>0</v>
      </c>
      <c r="AF31" s="49">
        <f t="shared" si="14"/>
        <v>0</v>
      </c>
      <c r="AG31" s="49">
        <f t="shared" si="14"/>
        <v>0</v>
      </c>
      <c r="AH31" s="49">
        <f t="shared" si="14"/>
        <v>0</v>
      </c>
      <c r="AI31" s="50">
        <f t="shared" si="14"/>
        <v>0</v>
      </c>
      <c r="AJ31" s="106"/>
      <c r="AK31" s="106"/>
      <c r="AL31" s="107"/>
    </row>
    <row r="32" spans="1:38" s="351" customFormat="1" ht="42" customHeight="1" outlineLevel="1">
      <c r="A32" s="340" t="s">
        <v>434</v>
      </c>
      <c r="B32" s="409" t="s">
        <v>242</v>
      </c>
      <c r="C32" s="341">
        <v>46096</v>
      </c>
      <c r="D32" s="342">
        <v>46172</v>
      </c>
      <c r="E32" s="378" t="e">
        <f>IF((#REF!-C32)/(D32-C32)&lt;0,0,IF((#REF!-C32)/(D32-C32)&gt;100%,100%,(#REF!-C32)/(D32-C32)))</f>
        <v>#REF!</v>
      </c>
      <c r="F32" s="343"/>
      <c r="G32" s="344"/>
      <c r="H32" s="383" t="e">
        <f>IF((#REF!-F32)/(G32-F32)&lt;0,0,IF((#REF!-F32)/(G32-F32)&gt;100%,100%,(#REF!-F32)/(G32-F32)))</f>
        <v>#REF!</v>
      </c>
      <c r="I32" s="345" t="e">
        <f>(D32-C32)/100%*(H32-#REF!)</f>
        <v>#REF!</v>
      </c>
      <c r="J32" s="346">
        <f t="shared" si="15"/>
        <v>0</v>
      </c>
      <c r="K32" s="347">
        <f t="shared" si="15"/>
        <v>0</v>
      </c>
      <c r="L32" s="346">
        <f t="shared" si="8"/>
        <v>0</v>
      </c>
      <c r="M32" s="346">
        <f t="shared" si="13"/>
        <v>0</v>
      </c>
      <c r="N32" s="346">
        <f t="shared" si="13"/>
        <v>1</v>
      </c>
      <c r="O32" s="346">
        <f t="shared" si="13"/>
        <v>1</v>
      </c>
      <c r="P32" s="346">
        <f t="shared" si="13"/>
        <v>0</v>
      </c>
      <c r="Q32" s="346">
        <f t="shared" si="13"/>
        <v>0</v>
      </c>
      <c r="R32" s="346">
        <f t="shared" si="13"/>
        <v>0</v>
      </c>
      <c r="S32" s="346">
        <f t="shared" si="13"/>
        <v>0</v>
      </c>
      <c r="T32" s="346">
        <f t="shared" si="13"/>
        <v>0</v>
      </c>
      <c r="U32" s="346">
        <f t="shared" si="13"/>
        <v>0</v>
      </c>
      <c r="V32" s="346">
        <f t="shared" si="13"/>
        <v>0</v>
      </c>
      <c r="W32" s="347">
        <f t="shared" si="13"/>
        <v>0</v>
      </c>
      <c r="X32" s="348">
        <f t="shared" si="14"/>
        <v>0</v>
      </c>
      <c r="Y32" s="346">
        <f t="shared" si="14"/>
        <v>0</v>
      </c>
      <c r="Z32" s="346">
        <f t="shared" si="14"/>
        <v>0</v>
      </c>
      <c r="AA32" s="346">
        <f t="shared" si="14"/>
        <v>0</v>
      </c>
      <c r="AB32" s="346">
        <f t="shared" si="14"/>
        <v>0</v>
      </c>
      <c r="AC32" s="346">
        <f t="shared" si="14"/>
        <v>0</v>
      </c>
      <c r="AD32" s="346">
        <f t="shared" si="14"/>
        <v>0</v>
      </c>
      <c r="AE32" s="346">
        <f t="shared" si="14"/>
        <v>0</v>
      </c>
      <c r="AF32" s="346">
        <f t="shared" si="14"/>
        <v>0</v>
      </c>
      <c r="AG32" s="346">
        <f t="shared" si="14"/>
        <v>0</v>
      </c>
      <c r="AH32" s="346">
        <f t="shared" si="14"/>
        <v>0</v>
      </c>
      <c r="AI32" s="347">
        <f t="shared" si="14"/>
        <v>0</v>
      </c>
      <c r="AJ32" s="349"/>
      <c r="AK32" s="349"/>
      <c r="AL32" s="350"/>
    </row>
    <row r="33" spans="1:38" s="351" customFormat="1" ht="18" customHeight="1" outlineLevel="1">
      <c r="A33" s="340" t="s">
        <v>455</v>
      </c>
      <c r="B33" s="409" t="s">
        <v>285</v>
      </c>
      <c r="C33" s="341">
        <v>46096</v>
      </c>
      <c r="D33" s="342">
        <v>46127</v>
      </c>
      <c r="E33" s="378" t="e">
        <f>IF((#REF!-C33)/(D33-C33)&lt;0,0,IF((#REF!-C33)/(D33-C33)&gt;100%,100%,(#REF!-C33)/(D33-C33)))</f>
        <v>#REF!</v>
      </c>
      <c r="F33" s="343"/>
      <c r="G33" s="344"/>
      <c r="H33" s="383" t="e">
        <f>IF((#REF!-F33)/(G33-F33)&lt;0,0,IF((#REF!-F33)/(G33-F33)&gt;100%,100%,(#REF!-F33)/(G33-F33)))</f>
        <v>#REF!</v>
      </c>
      <c r="I33" s="345" t="e">
        <f t="shared" si="7"/>
        <v>#REF!</v>
      </c>
      <c r="J33" s="346">
        <f t="shared" si="15"/>
        <v>0</v>
      </c>
      <c r="K33" s="347">
        <f t="shared" si="15"/>
        <v>0</v>
      </c>
      <c r="L33" s="346">
        <f t="shared" si="8"/>
        <v>0</v>
      </c>
      <c r="M33" s="346">
        <f t="shared" si="13"/>
        <v>0</v>
      </c>
      <c r="N33" s="346">
        <f t="shared" si="13"/>
        <v>1</v>
      </c>
      <c r="O33" s="346">
        <f t="shared" si="13"/>
        <v>0</v>
      </c>
      <c r="P33" s="346">
        <f t="shared" si="13"/>
        <v>0</v>
      </c>
      <c r="Q33" s="346">
        <f t="shared" si="13"/>
        <v>0</v>
      </c>
      <c r="R33" s="346">
        <f t="shared" si="13"/>
        <v>0</v>
      </c>
      <c r="S33" s="346">
        <f t="shared" si="13"/>
        <v>0</v>
      </c>
      <c r="T33" s="346">
        <f t="shared" si="13"/>
        <v>0</v>
      </c>
      <c r="U33" s="346">
        <f t="shared" si="13"/>
        <v>0</v>
      </c>
      <c r="V33" s="346">
        <f t="shared" si="13"/>
        <v>0</v>
      </c>
      <c r="W33" s="347">
        <f t="shared" si="13"/>
        <v>0</v>
      </c>
      <c r="X33" s="348">
        <f t="shared" si="14"/>
        <v>0</v>
      </c>
      <c r="Y33" s="346">
        <f t="shared" si="14"/>
        <v>0</v>
      </c>
      <c r="Z33" s="346">
        <f t="shared" si="14"/>
        <v>0</v>
      </c>
      <c r="AA33" s="346">
        <f t="shared" si="14"/>
        <v>0</v>
      </c>
      <c r="AB33" s="346">
        <f t="shared" si="14"/>
        <v>0</v>
      </c>
      <c r="AC33" s="346">
        <f t="shared" si="14"/>
        <v>0</v>
      </c>
      <c r="AD33" s="346">
        <f t="shared" si="14"/>
        <v>0</v>
      </c>
      <c r="AE33" s="346">
        <f t="shared" si="14"/>
        <v>0</v>
      </c>
      <c r="AF33" s="346">
        <f t="shared" si="14"/>
        <v>0</v>
      </c>
      <c r="AG33" s="346">
        <f t="shared" si="14"/>
        <v>0</v>
      </c>
      <c r="AH33" s="346">
        <f t="shared" si="14"/>
        <v>0</v>
      </c>
      <c r="AI33" s="347">
        <f t="shared" si="14"/>
        <v>0</v>
      </c>
      <c r="AJ33" s="349"/>
      <c r="AK33" s="349"/>
      <c r="AL33" s="350"/>
    </row>
    <row r="34" spans="1:38" s="351" customFormat="1" ht="21" customHeight="1" outlineLevel="1">
      <c r="A34" s="340" t="s">
        <v>456</v>
      </c>
      <c r="B34" s="409" t="s">
        <v>286</v>
      </c>
      <c r="C34" s="341">
        <v>46128</v>
      </c>
      <c r="D34" s="342">
        <v>46142</v>
      </c>
      <c r="E34" s="378" t="e">
        <f>IF((#REF!-C34)/(D34-C34)&lt;0,0,IF((#REF!-C34)/(D34-C34)&gt;100%,100%,(#REF!-C34)/(D34-C34)))</f>
        <v>#REF!</v>
      </c>
      <c r="F34" s="343"/>
      <c r="G34" s="344"/>
      <c r="H34" s="383" t="e">
        <f>IF((#REF!-F34)/(G34-F34)&lt;0,0,IF((#REF!-F34)/(G34-F34)&gt;100%,100%,(#REF!-F34)/(G34-F34)))</f>
        <v>#REF!</v>
      </c>
      <c r="I34" s="345" t="e">
        <f t="shared" si="7"/>
        <v>#REF!</v>
      </c>
      <c r="J34" s="346">
        <f t="shared" si="15"/>
        <v>0</v>
      </c>
      <c r="K34" s="347">
        <f t="shared" si="15"/>
        <v>0</v>
      </c>
      <c r="L34" s="346">
        <f t="shared" si="8"/>
        <v>0</v>
      </c>
      <c r="M34" s="346">
        <f t="shared" si="13"/>
        <v>0</v>
      </c>
      <c r="N34" s="346">
        <f t="shared" si="13"/>
        <v>0</v>
      </c>
      <c r="O34" s="346">
        <f t="shared" si="13"/>
        <v>1</v>
      </c>
      <c r="P34" s="346">
        <f t="shared" si="13"/>
        <v>0</v>
      </c>
      <c r="Q34" s="346">
        <f t="shared" si="13"/>
        <v>0</v>
      </c>
      <c r="R34" s="346">
        <f t="shared" si="13"/>
        <v>0</v>
      </c>
      <c r="S34" s="346">
        <f t="shared" si="13"/>
        <v>0</v>
      </c>
      <c r="T34" s="346">
        <f t="shared" si="13"/>
        <v>0</v>
      </c>
      <c r="U34" s="346">
        <f t="shared" si="13"/>
        <v>0</v>
      </c>
      <c r="V34" s="346">
        <f t="shared" si="13"/>
        <v>0</v>
      </c>
      <c r="W34" s="347">
        <f t="shared" si="13"/>
        <v>0</v>
      </c>
      <c r="X34" s="348">
        <f t="shared" si="14"/>
        <v>0</v>
      </c>
      <c r="Y34" s="346">
        <f t="shared" si="14"/>
        <v>0</v>
      </c>
      <c r="Z34" s="346">
        <f t="shared" si="14"/>
        <v>0</v>
      </c>
      <c r="AA34" s="346">
        <f t="shared" si="14"/>
        <v>0</v>
      </c>
      <c r="AB34" s="346">
        <f t="shared" si="14"/>
        <v>0</v>
      </c>
      <c r="AC34" s="346">
        <f t="shared" si="14"/>
        <v>0</v>
      </c>
      <c r="AD34" s="346">
        <f t="shared" si="14"/>
        <v>0</v>
      </c>
      <c r="AE34" s="346">
        <f t="shared" si="14"/>
        <v>0</v>
      </c>
      <c r="AF34" s="346">
        <f t="shared" si="14"/>
        <v>0</v>
      </c>
      <c r="AG34" s="346">
        <f t="shared" si="14"/>
        <v>0</v>
      </c>
      <c r="AH34" s="346">
        <f t="shared" si="14"/>
        <v>0</v>
      </c>
      <c r="AI34" s="347">
        <f t="shared" si="14"/>
        <v>0</v>
      </c>
      <c r="AJ34" s="349"/>
      <c r="AK34" s="349"/>
      <c r="AL34" s="350"/>
    </row>
    <row r="35" spans="1:38" s="351" customFormat="1" ht="21" customHeight="1" outlineLevel="1">
      <c r="A35" s="340" t="s">
        <v>457</v>
      </c>
      <c r="B35" s="409" t="s">
        <v>287</v>
      </c>
      <c r="C35" s="341">
        <v>46143</v>
      </c>
      <c r="D35" s="342">
        <v>46172</v>
      </c>
      <c r="E35" s="378" t="e">
        <f>IF((#REF!-C35)/(D35-C35)&lt;0,0,IF((#REF!-C35)/(D35-C35)&gt;100%,100%,(#REF!-C35)/(D35-C35)))</f>
        <v>#REF!</v>
      </c>
      <c r="F35" s="343"/>
      <c r="G35" s="344"/>
      <c r="H35" s="383" t="e">
        <f>IF((#REF!-F35)/(G35-F35)&lt;0,0,IF((#REF!-F35)/(G35-F35)&gt;100%,100%,(#REF!-F35)/(G35-F35)))</f>
        <v>#REF!</v>
      </c>
      <c r="I35" s="345" t="e">
        <f t="shared" si="7"/>
        <v>#REF!</v>
      </c>
      <c r="J35" s="346">
        <f t="shared" si="15"/>
        <v>0</v>
      </c>
      <c r="K35" s="347">
        <f t="shared" si="15"/>
        <v>0</v>
      </c>
      <c r="L35" s="346">
        <f t="shared" si="8"/>
        <v>0</v>
      </c>
      <c r="M35" s="346">
        <f t="shared" si="13"/>
        <v>0</v>
      </c>
      <c r="N35" s="346">
        <f t="shared" si="13"/>
        <v>0</v>
      </c>
      <c r="O35" s="346">
        <f t="shared" si="13"/>
        <v>0</v>
      </c>
      <c r="P35" s="346">
        <f t="shared" si="13"/>
        <v>0</v>
      </c>
      <c r="Q35" s="346">
        <f t="shared" si="13"/>
        <v>0</v>
      </c>
      <c r="R35" s="346">
        <f t="shared" si="13"/>
        <v>0</v>
      </c>
      <c r="S35" s="346">
        <f t="shared" si="13"/>
        <v>0</v>
      </c>
      <c r="T35" s="346">
        <f t="shared" si="13"/>
        <v>0</v>
      </c>
      <c r="U35" s="346">
        <f t="shared" si="13"/>
        <v>0</v>
      </c>
      <c r="V35" s="346">
        <f t="shared" si="13"/>
        <v>0</v>
      </c>
      <c r="W35" s="347">
        <f t="shared" si="13"/>
        <v>0</v>
      </c>
      <c r="X35" s="348">
        <f t="shared" si="14"/>
        <v>0</v>
      </c>
      <c r="Y35" s="346">
        <f t="shared" si="14"/>
        <v>0</v>
      </c>
      <c r="Z35" s="346">
        <f t="shared" si="14"/>
        <v>0</v>
      </c>
      <c r="AA35" s="346">
        <f t="shared" si="14"/>
        <v>0</v>
      </c>
      <c r="AB35" s="346">
        <f t="shared" si="14"/>
        <v>0</v>
      </c>
      <c r="AC35" s="346">
        <f t="shared" si="14"/>
        <v>0</v>
      </c>
      <c r="AD35" s="346">
        <f t="shared" si="14"/>
        <v>0</v>
      </c>
      <c r="AE35" s="346">
        <f t="shared" si="14"/>
        <v>0</v>
      </c>
      <c r="AF35" s="346">
        <f t="shared" si="14"/>
        <v>0</v>
      </c>
      <c r="AG35" s="346">
        <f t="shared" si="14"/>
        <v>0</v>
      </c>
      <c r="AH35" s="346">
        <f t="shared" si="14"/>
        <v>0</v>
      </c>
      <c r="AI35" s="347">
        <f t="shared" si="14"/>
        <v>0</v>
      </c>
      <c r="AJ35" s="349"/>
      <c r="AK35" s="349"/>
      <c r="AL35" s="350"/>
    </row>
    <row r="36" spans="1:38" s="351" customFormat="1" ht="21" customHeight="1" outlineLevel="1">
      <c r="A36" s="340" t="s">
        <v>458</v>
      </c>
      <c r="B36" s="409" t="s">
        <v>459</v>
      </c>
      <c r="C36" s="341" t="s">
        <v>284</v>
      </c>
      <c r="D36" s="342" t="s">
        <v>284</v>
      </c>
      <c r="E36" s="392" t="e">
        <f>IF((#REF!-C36)/(D36-C36)&lt;0,0,IF((#REF!-C36)/(D36-C36)&gt;100%,100%,(#REF!-C36)/(D36-C36)))</f>
        <v>#REF!</v>
      </c>
      <c r="F36" s="343" t="s">
        <v>284</v>
      </c>
      <c r="G36" s="344" t="s">
        <v>284</v>
      </c>
      <c r="H36" s="384" t="e">
        <f>IF((#REF!-F36)/(G36-F36)&lt;0,0,IF((#REF!-F36)/(G36-F36)&gt;100%,100%,(#REF!-F36)/(G36-F36)))</f>
        <v>#REF!</v>
      </c>
      <c r="I36" s="345" t="e">
        <f t="shared" si="7"/>
        <v>#VALUE!</v>
      </c>
      <c r="J36" s="346">
        <f t="shared" si="15"/>
        <v>0</v>
      </c>
      <c r="K36" s="347">
        <f t="shared" si="15"/>
        <v>0</v>
      </c>
      <c r="L36" s="346">
        <f t="shared" si="8"/>
        <v>0</v>
      </c>
      <c r="M36" s="346">
        <f t="shared" si="13"/>
        <v>0</v>
      </c>
      <c r="N36" s="346">
        <f t="shared" si="13"/>
        <v>0</v>
      </c>
      <c r="O36" s="346">
        <f t="shared" si="13"/>
        <v>0</v>
      </c>
      <c r="P36" s="346">
        <f t="shared" si="13"/>
        <v>0</v>
      </c>
      <c r="Q36" s="346">
        <f t="shared" si="13"/>
        <v>0</v>
      </c>
      <c r="R36" s="346">
        <f t="shared" si="13"/>
        <v>0</v>
      </c>
      <c r="S36" s="346">
        <f t="shared" si="13"/>
        <v>0</v>
      </c>
      <c r="T36" s="346">
        <f t="shared" si="13"/>
        <v>0</v>
      </c>
      <c r="U36" s="346">
        <f t="shared" si="13"/>
        <v>0</v>
      </c>
      <c r="V36" s="346">
        <f t="shared" si="13"/>
        <v>0</v>
      </c>
      <c r="W36" s="347">
        <f t="shared" si="13"/>
        <v>0</v>
      </c>
      <c r="X36" s="348">
        <f t="shared" si="14"/>
        <v>0</v>
      </c>
      <c r="Y36" s="346">
        <f t="shared" si="14"/>
        <v>0</v>
      </c>
      <c r="Z36" s="346">
        <f t="shared" si="14"/>
        <v>0</v>
      </c>
      <c r="AA36" s="346">
        <f t="shared" si="14"/>
        <v>0</v>
      </c>
      <c r="AB36" s="346">
        <f t="shared" si="14"/>
        <v>0</v>
      </c>
      <c r="AC36" s="346">
        <f t="shared" si="14"/>
        <v>0</v>
      </c>
      <c r="AD36" s="346">
        <f t="shared" si="14"/>
        <v>0</v>
      </c>
      <c r="AE36" s="346">
        <f t="shared" si="14"/>
        <v>0</v>
      </c>
      <c r="AF36" s="346">
        <f t="shared" si="14"/>
        <v>0</v>
      </c>
      <c r="AG36" s="346">
        <f t="shared" si="14"/>
        <v>0</v>
      </c>
      <c r="AH36" s="346">
        <f t="shared" si="14"/>
        <v>0</v>
      </c>
      <c r="AI36" s="347">
        <f t="shared" si="14"/>
        <v>0</v>
      </c>
      <c r="AJ36" s="349"/>
      <c r="AK36" s="349"/>
      <c r="AL36" s="350"/>
    </row>
    <row r="37" spans="1:38" s="351" customFormat="1" ht="25.25" hidden="1" customHeight="1" outlineLevel="1">
      <c r="A37" s="340" t="s">
        <v>435</v>
      </c>
      <c r="B37" s="409" t="s">
        <v>99</v>
      </c>
      <c r="C37" s="341" t="s">
        <v>284</v>
      </c>
      <c r="D37" s="342" t="s">
        <v>284</v>
      </c>
      <c r="E37" s="378" t="e">
        <f>IF((#REF!-C37)/(D37-C37)&lt;0,0,IF((#REF!-C37)/(D37-C37)&gt;100%,100%,(#REF!-C37)/(D37-C37)))</f>
        <v>#REF!</v>
      </c>
      <c r="F37" s="343" t="s">
        <v>284</v>
      </c>
      <c r="G37" s="344" t="s">
        <v>284</v>
      </c>
      <c r="H37" s="383" t="e">
        <f>IF((#REF!-F37)/(G37-F37)&lt;0,0,IF((#REF!-F37)/(G37-F37)&gt;100%,100%,(#REF!-F37)/(G37-F37)))</f>
        <v>#REF!</v>
      </c>
      <c r="I37" s="345" t="e">
        <f t="shared" si="7"/>
        <v>#VALUE!</v>
      </c>
      <c r="J37" s="346">
        <f t="shared" si="15"/>
        <v>0</v>
      </c>
      <c r="K37" s="347">
        <f t="shared" si="15"/>
        <v>0</v>
      </c>
      <c r="L37" s="346">
        <f t="shared" si="8"/>
        <v>0</v>
      </c>
      <c r="M37" s="346">
        <f t="shared" ref="M37:W46" si="16">+IF(M$3&gt;=$C37,IF(M$3&lt;=$D37,1,0),0)</f>
        <v>0</v>
      </c>
      <c r="N37" s="346">
        <f t="shared" si="16"/>
        <v>0</v>
      </c>
      <c r="O37" s="346">
        <f t="shared" si="16"/>
        <v>0</v>
      </c>
      <c r="P37" s="346">
        <f t="shared" si="16"/>
        <v>0</v>
      </c>
      <c r="Q37" s="346">
        <f t="shared" si="16"/>
        <v>0</v>
      </c>
      <c r="R37" s="346">
        <f t="shared" si="16"/>
        <v>0</v>
      </c>
      <c r="S37" s="346">
        <f t="shared" si="16"/>
        <v>0</v>
      </c>
      <c r="T37" s="346">
        <f t="shared" si="16"/>
        <v>0</v>
      </c>
      <c r="U37" s="346">
        <f t="shared" si="16"/>
        <v>0</v>
      </c>
      <c r="V37" s="346">
        <f t="shared" si="16"/>
        <v>0</v>
      </c>
      <c r="W37" s="347">
        <f t="shared" si="16"/>
        <v>0</v>
      </c>
      <c r="X37" s="348">
        <f t="shared" si="14"/>
        <v>0</v>
      </c>
      <c r="Y37" s="346">
        <f t="shared" si="14"/>
        <v>0</v>
      </c>
      <c r="Z37" s="346">
        <f t="shared" si="14"/>
        <v>0</v>
      </c>
      <c r="AA37" s="346">
        <f t="shared" si="14"/>
        <v>0</v>
      </c>
      <c r="AB37" s="346">
        <f t="shared" si="14"/>
        <v>0</v>
      </c>
      <c r="AC37" s="346">
        <f t="shared" si="14"/>
        <v>0</v>
      </c>
      <c r="AD37" s="346">
        <f t="shared" si="14"/>
        <v>0</v>
      </c>
      <c r="AE37" s="346">
        <f t="shared" si="14"/>
        <v>0</v>
      </c>
      <c r="AF37" s="346">
        <f t="shared" si="14"/>
        <v>0</v>
      </c>
      <c r="AG37" s="346">
        <f t="shared" si="14"/>
        <v>0</v>
      </c>
      <c r="AH37" s="346">
        <f t="shared" si="14"/>
        <v>0</v>
      </c>
      <c r="AI37" s="347">
        <f t="shared" si="14"/>
        <v>0</v>
      </c>
      <c r="AJ37" s="349"/>
      <c r="AK37" s="349"/>
      <c r="AL37" s="350"/>
    </row>
    <row r="38" spans="1:38" s="351" customFormat="1" ht="28.75" customHeight="1" outlineLevel="1">
      <c r="A38" s="340" t="s">
        <v>436</v>
      </c>
      <c r="B38" s="409" t="s">
        <v>100</v>
      </c>
      <c r="C38" s="341">
        <v>46082</v>
      </c>
      <c r="D38" s="342">
        <v>46142</v>
      </c>
      <c r="E38" s="378" t="e">
        <f>IF((#REF!-C38)/(D38-C38)&lt;0,0,IF((#REF!-C38)/(D38-C38)&gt;100%,100%,(#REF!-C38)/(D38-C38)))</f>
        <v>#REF!</v>
      </c>
      <c r="F38" s="343"/>
      <c r="G38" s="344"/>
      <c r="H38" s="383" t="e">
        <f>IF((#REF!-F38)/(G38-F38)&lt;0,0,IF((#REF!-F38)/(G38-F38)&gt;100%,100%,(#REF!-F38)/(G38-F38)))</f>
        <v>#REF!</v>
      </c>
      <c r="I38" s="345" t="e">
        <f t="shared" si="7"/>
        <v>#REF!</v>
      </c>
      <c r="J38" s="346">
        <f t="shared" si="15"/>
        <v>0</v>
      </c>
      <c r="K38" s="347">
        <f t="shared" si="15"/>
        <v>0</v>
      </c>
      <c r="L38" s="346">
        <f t="shared" si="8"/>
        <v>0</v>
      </c>
      <c r="M38" s="346">
        <f t="shared" si="16"/>
        <v>0</v>
      </c>
      <c r="N38" s="346">
        <f t="shared" si="16"/>
        <v>1</v>
      </c>
      <c r="O38" s="346">
        <f t="shared" si="16"/>
        <v>1</v>
      </c>
      <c r="P38" s="346">
        <f t="shared" si="16"/>
        <v>0</v>
      </c>
      <c r="Q38" s="346">
        <f t="shared" si="16"/>
        <v>0</v>
      </c>
      <c r="R38" s="346">
        <f t="shared" si="16"/>
        <v>0</v>
      </c>
      <c r="S38" s="346">
        <f t="shared" si="16"/>
        <v>0</v>
      </c>
      <c r="T38" s="346">
        <f t="shared" si="16"/>
        <v>0</v>
      </c>
      <c r="U38" s="346">
        <f t="shared" si="16"/>
        <v>0</v>
      </c>
      <c r="V38" s="346">
        <f t="shared" si="16"/>
        <v>0</v>
      </c>
      <c r="W38" s="347">
        <f t="shared" si="16"/>
        <v>0</v>
      </c>
      <c r="X38" s="348">
        <f t="shared" ref="X38:AI47" si="17">+IF(X$3&gt;=$C38,IF(X$3&lt;=$D38,1,0),0)</f>
        <v>0</v>
      </c>
      <c r="Y38" s="346">
        <f t="shared" si="17"/>
        <v>0</v>
      </c>
      <c r="Z38" s="346">
        <f t="shared" si="17"/>
        <v>0</v>
      </c>
      <c r="AA38" s="346">
        <f t="shared" si="17"/>
        <v>0</v>
      </c>
      <c r="AB38" s="346">
        <f t="shared" si="17"/>
        <v>0</v>
      </c>
      <c r="AC38" s="346">
        <f t="shared" si="17"/>
        <v>0</v>
      </c>
      <c r="AD38" s="346">
        <f t="shared" si="17"/>
        <v>0</v>
      </c>
      <c r="AE38" s="346">
        <f t="shared" si="17"/>
        <v>0</v>
      </c>
      <c r="AF38" s="346">
        <f t="shared" si="17"/>
        <v>0</v>
      </c>
      <c r="AG38" s="346">
        <f t="shared" si="17"/>
        <v>0</v>
      </c>
      <c r="AH38" s="346">
        <f t="shared" si="17"/>
        <v>0</v>
      </c>
      <c r="AI38" s="347">
        <f t="shared" si="17"/>
        <v>0</v>
      </c>
      <c r="AJ38" s="349"/>
      <c r="AK38" s="349"/>
      <c r="AL38" s="350"/>
    </row>
    <row r="39" spans="1:38" s="30" customFormat="1" ht="25.25" hidden="1" customHeight="1" outlineLevel="1">
      <c r="A39" s="205" t="s">
        <v>437</v>
      </c>
      <c r="B39" s="408" t="s">
        <v>101</v>
      </c>
      <c r="C39" s="235" t="s">
        <v>284</v>
      </c>
      <c r="D39" s="236" t="s">
        <v>284</v>
      </c>
      <c r="E39" s="378" t="e">
        <f>IF((#REF!-C39)/(D39-C39)&lt;0,0,IF((#REF!-C39)/(D39-C39)&gt;100%,100%,(#REF!-C39)/(D39-C39)))</f>
        <v>#REF!</v>
      </c>
      <c r="F39" s="245" t="s">
        <v>284</v>
      </c>
      <c r="G39" s="246" t="s">
        <v>284</v>
      </c>
      <c r="H39" s="378" t="e">
        <f>IF((#REF!-F39)/(G39-F39)&lt;0,0,IF((#REF!-F39)/(G39-F39)&gt;100%,100%,(#REF!-F39)/(G39-F39)))</f>
        <v>#REF!</v>
      </c>
      <c r="I39" s="222" t="e">
        <f t="shared" si="7"/>
        <v>#VALUE!</v>
      </c>
      <c r="J39" s="25">
        <f t="shared" si="15"/>
        <v>0</v>
      </c>
      <c r="K39" s="26">
        <f t="shared" si="15"/>
        <v>0</v>
      </c>
      <c r="L39" s="25">
        <f t="shared" si="8"/>
        <v>0</v>
      </c>
      <c r="M39" s="25">
        <f t="shared" si="16"/>
        <v>0</v>
      </c>
      <c r="N39" s="25">
        <f t="shared" si="16"/>
        <v>0</v>
      </c>
      <c r="O39" s="25">
        <f t="shared" si="16"/>
        <v>0</v>
      </c>
      <c r="P39" s="25">
        <f t="shared" si="16"/>
        <v>0</v>
      </c>
      <c r="Q39" s="25">
        <f t="shared" si="16"/>
        <v>0</v>
      </c>
      <c r="R39" s="25">
        <f t="shared" si="16"/>
        <v>0</v>
      </c>
      <c r="S39" s="25">
        <f t="shared" si="16"/>
        <v>0</v>
      </c>
      <c r="T39" s="25">
        <f t="shared" si="16"/>
        <v>0</v>
      </c>
      <c r="U39" s="25">
        <f t="shared" si="16"/>
        <v>0</v>
      </c>
      <c r="V39" s="25">
        <f t="shared" si="16"/>
        <v>0</v>
      </c>
      <c r="W39" s="26">
        <f t="shared" si="16"/>
        <v>0</v>
      </c>
      <c r="X39" s="27">
        <f t="shared" si="17"/>
        <v>0</v>
      </c>
      <c r="Y39" s="25">
        <f t="shared" si="17"/>
        <v>0</v>
      </c>
      <c r="Z39" s="25">
        <f t="shared" si="17"/>
        <v>0</v>
      </c>
      <c r="AA39" s="25">
        <f t="shared" si="17"/>
        <v>0</v>
      </c>
      <c r="AB39" s="25">
        <f t="shared" si="17"/>
        <v>0</v>
      </c>
      <c r="AC39" s="25">
        <f t="shared" si="17"/>
        <v>0</v>
      </c>
      <c r="AD39" s="25">
        <f t="shared" si="17"/>
        <v>0</v>
      </c>
      <c r="AE39" s="25">
        <f t="shared" si="17"/>
        <v>0</v>
      </c>
      <c r="AF39" s="25">
        <f t="shared" si="17"/>
        <v>0</v>
      </c>
      <c r="AG39" s="25">
        <f t="shared" si="17"/>
        <v>0</v>
      </c>
      <c r="AH39" s="25">
        <f t="shared" si="17"/>
        <v>0</v>
      </c>
      <c r="AI39" s="26">
        <f t="shared" si="17"/>
        <v>0</v>
      </c>
      <c r="AJ39" s="91"/>
      <c r="AK39" s="91"/>
      <c r="AL39" s="92"/>
    </row>
    <row r="40" spans="1:38" s="30" customFormat="1" ht="30" hidden="1" customHeight="1" outlineLevel="1">
      <c r="A40" s="205" t="s">
        <v>438</v>
      </c>
      <c r="B40" s="408" t="s">
        <v>248</v>
      </c>
      <c r="C40" s="235" t="s">
        <v>284</v>
      </c>
      <c r="D40" s="236" t="s">
        <v>284</v>
      </c>
      <c r="E40" s="378" t="e">
        <f>IF((#REF!-C40)/(D40-C40)&lt;0,0,IF((#REF!-C40)/(D40-C40)&gt;100%,100%,(#REF!-C40)/(D40-C40)))</f>
        <v>#REF!</v>
      </c>
      <c r="F40" s="245" t="s">
        <v>284</v>
      </c>
      <c r="G40" s="246" t="s">
        <v>284</v>
      </c>
      <c r="H40" s="378" t="e">
        <f>IF((#REF!-F40)/(G40-F40)&lt;0,0,IF((#REF!-F40)/(G40-F40)&gt;100%,100%,(#REF!-F40)/(G40-F40)))</f>
        <v>#REF!</v>
      </c>
      <c r="I40" s="222" t="e">
        <f t="shared" si="7"/>
        <v>#VALUE!</v>
      </c>
      <c r="J40" s="25">
        <f t="shared" si="15"/>
        <v>0</v>
      </c>
      <c r="K40" s="26">
        <f t="shared" si="15"/>
        <v>0</v>
      </c>
      <c r="L40" s="25">
        <f t="shared" ref="L40:L71" si="18">+IF(L$3&gt;=$C40,IF(L$3&lt;=$D40,1,0),0)</f>
        <v>0</v>
      </c>
      <c r="M40" s="25">
        <f t="shared" si="16"/>
        <v>0</v>
      </c>
      <c r="N40" s="25">
        <f t="shared" si="16"/>
        <v>0</v>
      </c>
      <c r="O40" s="25">
        <f t="shared" si="16"/>
        <v>0</v>
      </c>
      <c r="P40" s="25">
        <f t="shared" si="16"/>
        <v>0</v>
      </c>
      <c r="Q40" s="25">
        <f t="shared" si="16"/>
        <v>0</v>
      </c>
      <c r="R40" s="25">
        <f t="shared" si="16"/>
        <v>0</v>
      </c>
      <c r="S40" s="25">
        <f t="shared" si="16"/>
        <v>0</v>
      </c>
      <c r="T40" s="25">
        <f t="shared" si="16"/>
        <v>0</v>
      </c>
      <c r="U40" s="25">
        <f t="shared" si="16"/>
        <v>0</v>
      </c>
      <c r="V40" s="25">
        <f t="shared" si="16"/>
        <v>0</v>
      </c>
      <c r="W40" s="26">
        <f t="shared" si="16"/>
        <v>0</v>
      </c>
      <c r="X40" s="27">
        <f t="shared" si="17"/>
        <v>0</v>
      </c>
      <c r="Y40" s="25">
        <f t="shared" si="17"/>
        <v>0</v>
      </c>
      <c r="Z40" s="25">
        <f t="shared" si="17"/>
        <v>0</v>
      </c>
      <c r="AA40" s="25">
        <f t="shared" si="17"/>
        <v>0</v>
      </c>
      <c r="AB40" s="25">
        <f t="shared" si="17"/>
        <v>0</v>
      </c>
      <c r="AC40" s="25">
        <f t="shared" si="17"/>
        <v>0</v>
      </c>
      <c r="AD40" s="25">
        <f t="shared" si="17"/>
        <v>0</v>
      </c>
      <c r="AE40" s="25">
        <f t="shared" si="17"/>
        <v>0</v>
      </c>
      <c r="AF40" s="25">
        <f t="shared" si="17"/>
        <v>0</v>
      </c>
      <c r="AG40" s="25">
        <f t="shared" si="17"/>
        <v>0</v>
      </c>
      <c r="AH40" s="25">
        <f t="shared" si="17"/>
        <v>0</v>
      </c>
      <c r="AI40" s="26">
        <f t="shared" si="17"/>
        <v>0</v>
      </c>
      <c r="AJ40" s="91"/>
      <c r="AK40" s="91"/>
      <c r="AL40" s="92"/>
    </row>
    <row r="41" spans="1:38" s="30" customFormat="1" ht="31.75" hidden="1" customHeight="1" outlineLevel="1">
      <c r="A41" s="205" t="s">
        <v>439</v>
      </c>
      <c r="B41" s="408" t="s">
        <v>251</v>
      </c>
      <c r="C41" s="235" t="s">
        <v>284</v>
      </c>
      <c r="D41" s="236" t="s">
        <v>284</v>
      </c>
      <c r="E41" s="378" t="e">
        <f>IF((#REF!-C41)/(D41-C41)&lt;0,0,IF((#REF!-C41)/(D41-C41)&gt;100%,100%,(#REF!-C41)/(D41-C41)))</f>
        <v>#REF!</v>
      </c>
      <c r="F41" s="245" t="s">
        <v>284</v>
      </c>
      <c r="G41" s="246" t="s">
        <v>284</v>
      </c>
      <c r="H41" s="378" t="e">
        <f>IF((#REF!-F41)/(G41-F41)&lt;0,0,IF((#REF!-F41)/(G41-F41)&gt;100%,100%,(#REF!-F41)/(G41-F41)))</f>
        <v>#REF!</v>
      </c>
      <c r="I41" s="222" t="e">
        <f t="shared" si="7"/>
        <v>#VALUE!</v>
      </c>
      <c r="J41" s="25">
        <f t="shared" si="15"/>
        <v>0</v>
      </c>
      <c r="K41" s="26">
        <f t="shared" si="15"/>
        <v>0</v>
      </c>
      <c r="L41" s="25">
        <f t="shared" si="18"/>
        <v>0</v>
      </c>
      <c r="M41" s="25">
        <f t="shared" si="16"/>
        <v>0</v>
      </c>
      <c r="N41" s="25">
        <f t="shared" si="16"/>
        <v>0</v>
      </c>
      <c r="O41" s="25">
        <f t="shared" si="16"/>
        <v>0</v>
      </c>
      <c r="P41" s="25">
        <f t="shared" si="16"/>
        <v>0</v>
      </c>
      <c r="Q41" s="25">
        <f t="shared" si="16"/>
        <v>0</v>
      </c>
      <c r="R41" s="25">
        <f t="shared" si="16"/>
        <v>0</v>
      </c>
      <c r="S41" s="25">
        <f t="shared" si="16"/>
        <v>0</v>
      </c>
      <c r="T41" s="25">
        <f t="shared" si="16"/>
        <v>0</v>
      </c>
      <c r="U41" s="25">
        <f t="shared" si="16"/>
        <v>0</v>
      </c>
      <c r="V41" s="25">
        <f t="shared" si="16"/>
        <v>0</v>
      </c>
      <c r="W41" s="26">
        <f t="shared" si="16"/>
        <v>0</v>
      </c>
      <c r="X41" s="27">
        <f t="shared" si="17"/>
        <v>0</v>
      </c>
      <c r="Y41" s="25">
        <f t="shared" si="17"/>
        <v>0</v>
      </c>
      <c r="Z41" s="25">
        <f t="shared" si="17"/>
        <v>0</v>
      </c>
      <c r="AA41" s="25">
        <f t="shared" si="17"/>
        <v>0</v>
      </c>
      <c r="AB41" s="25">
        <f t="shared" si="17"/>
        <v>0</v>
      </c>
      <c r="AC41" s="25">
        <f t="shared" si="17"/>
        <v>0</v>
      </c>
      <c r="AD41" s="25">
        <f t="shared" si="17"/>
        <v>0</v>
      </c>
      <c r="AE41" s="25">
        <f t="shared" si="17"/>
        <v>0</v>
      </c>
      <c r="AF41" s="25">
        <f t="shared" si="17"/>
        <v>0</v>
      </c>
      <c r="AG41" s="25">
        <f t="shared" si="17"/>
        <v>0</v>
      </c>
      <c r="AH41" s="25">
        <f t="shared" si="17"/>
        <v>0</v>
      </c>
      <c r="AI41" s="26">
        <f t="shared" si="17"/>
        <v>0</v>
      </c>
      <c r="AJ41" s="91"/>
      <c r="AK41" s="91"/>
      <c r="AL41" s="92"/>
    </row>
    <row r="42" spans="1:38" s="30" customFormat="1" ht="42" hidden="1" outlineLevel="1">
      <c r="A42" s="205" t="s">
        <v>440</v>
      </c>
      <c r="B42" s="408" t="s">
        <v>102</v>
      </c>
      <c r="C42" s="235" t="s">
        <v>284</v>
      </c>
      <c r="D42" s="236" t="s">
        <v>284</v>
      </c>
      <c r="E42" s="378" t="e">
        <f>IF((#REF!-C42)/(D42-C42)&lt;0,0,IF((#REF!-C42)/(D42-C42)&gt;100%,100%,(#REF!-C42)/(D42-C42)))</f>
        <v>#REF!</v>
      </c>
      <c r="F42" s="245" t="s">
        <v>284</v>
      </c>
      <c r="G42" s="246" t="s">
        <v>284</v>
      </c>
      <c r="H42" s="378" t="e">
        <f>IF((#REF!-F42)/(G42-F42)&lt;0,0,IF((#REF!-F42)/(G42-F42)&gt;100%,100%,(#REF!-F42)/(G42-F42)))</f>
        <v>#REF!</v>
      </c>
      <c r="I42" s="222" t="e">
        <f t="shared" si="7"/>
        <v>#VALUE!</v>
      </c>
      <c r="J42" s="25">
        <f t="shared" si="15"/>
        <v>0</v>
      </c>
      <c r="K42" s="26">
        <f t="shared" si="15"/>
        <v>0</v>
      </c>
      <c r="L42" s="25">
        <f t="shared" si="18"/>
        <v>0</v>
      </c>
      <c r="M42" s="25">
        <f t="shared" si="16"/>
        <v>0</v>
      </c>
      <c r="N42" s="25">
        <f t="shared" si="16"/>
        <v>0</v>
      </c>
      <c r="O42" s="25">
        <f t="shared" si="16"/>
        <v>0</v>
      </c>
      <c r="P42" s="25">
        <f t="shared" si="16"/>
        <v>0</v>
      </c>
      <c r="Q42" s="25">
        <f t="shared" si="16"/>
        <v>0</v>
      </c>
      <c r="R42" s="25">
        <f t="shared" si="16"/>
        <v>0</v>
      </c>
      <c r="S42" s="25">
        <f t="shared" si="16"/>
        <v>0</v>
      </c>
      <c r="T42" s="25">
        <f t="shared" si="16"/>
        <v>0</v>
      </c>
      <c r="U42" s="25">
        <f t="shared" si="16"/>
        <v>0</v>
      </c>
      <c r="V42" s="25">
        <f t="shared" si="16"/>
        <v>0</v>
      </c>
      <c r="W42" s="26">
        <f t="shared" si="16"/>
        <v>0</v>
      </c>
      <c r="X42" s="27">
        <f t="shared" si="17"/>
        <v>0</v>
      </c>
      <c r="Y42" s="25">
        <f t="shared" si="17"/>
        <v>0</v>
      </c>
      <c r="Z42" s="25">
        <f t="shared" si="17"/>
        <v>0</v>
      </c>
      <c r="AA42" s="25">
        <f t="shared" si="17"/>
        <v>0</v>
      </c>
      <c r="AB42" s="25">
        <f t="shared" si="17"/>
        <v>0</v>
      </c>
      <c r="AC42" s="25">
        <f t="shared" si="17"/>
        <v>0</v>
      </c>
      <c r="AD42" s="25">
        <f t="shared" si="17"/>
        <v>0</v>
      </c>
      <c r="AE42" s="25">
        <f t="shared" si="17"/>
        <v>0</v>
      </c>
      <c r="AF42" s="25">
        <f t="shared" si="17"/>
        <v>0</v>
      </c>
      <c r="AG42" s="25">
        <f t="shared" si="17"/>
        <v>0</v>
      </c>
      <c r="AH42" s="25">
        <f t="shared" si="17"/>
        <v>0</v>
      </c>
      <c r="AI42" s="26">
        <f t="shared" si="17"/>
        <v>0</v>
      </c>
      <c r="AJ42" s="91"/>
      <c r="AK42" s="91"/>
      <c r="AL42" s="92"/>
    </row>
    <row r="43" spans="1:38" s="30" customFormat="1" ht="28" hidden="1" outlineLevel="1">
      <c r="A43" s="205" t="s">
        <v>441</v>
      </c>
      <c r="B43" s="408" t="s">
        <v>103</v>
      </c>
      <c r="C43" s="235" t="s">
        <v>284</v>
      </c>
      <c r="D43" s="236" t="s">
        <v>284</v>
      </c>
      <c r="E43" s="378" t="e">
        <f>IF((#REF!-C43)/(D43-C43)&lt;0,0,IF((#REF!-C43)/(D43-C43)&gt;100%,100%,(#REF!-C43)/(D43-C43)))</f>
        <v>#REF!</v>
      </c>
      <c r="F43" s="245" t="s">
        <v>284</v>
      </c>
      <c r="G43" s="246" t="s">
        <v>284</v>
      </c>
      <c r="H43" s="378" t="e">
        <f>IF((#REF!-F43)/(G43-F43)&lt;0,0,IF((#REF!-F43)/(G43-F43)&gt;100%,100%,(#REF!-F43)/(G43-F43)))</f>
        <v>#REF!</v>
      </c>
      <c r="I43" s="222" t="e">
        <f t="shared" si="7"/>
        <v>#VALUE!</v>
      </c>
      <c r="J43" s="25">
        <f t="shared" si="15"/>
        <v>0</v>
      </c>
      <c r="K43" s="26">
        <f t="shared" si="15"/>
        <v>0</v>
      </c>
      <c r="L43" s="25">
        <f t="shared" si="18"/>
        <v>0</v>
      </c>
      <c r="M43" s="25">
        <f t="shared" si="16"/>
        <v>0</v>
      </c>
      <c r="N43" s="25">
        <f t="shared" si="16"/>
        <v>0</v>
      </c>
      <c r="O43" s="25">
        <f t="shared" si="16"/>
        <v>0</v>
      </c>
      <c r="P43" s="25">
        <f t="shared" si="16"/>
        <v>0</v>
      </c>
      <c r="Q43" s="25">
        <f t="shared" si="16"/>
        <v>0</v>
      </c>
      <c r="R43" s="25">
        <f t="shared" si="16"/>
        <v>0</v>
      </c>
      <c r="S43" s="25">
        <f t="shared" si="16"/>
        <v>0</v>
      </c>
      <c r="T43" s="25">
        <f t="shared" si="16"/>
        <v>0</v>
      </c>
      <c r="U43" s="25">
        <f t="shared" si="16"/>
        <v>0</v>
      </c>
      <c r="V43" s="25">
        <f t="shared" si="16"/>
        <v>0</v>
      </c>
      <c r="W43" s="26">
        <f t="shared" si="16"/>
        <v>0</v>
      </c>
      <c r="X43" s="27">
        <f t="shared" si="17"/>
        <v>0</v>
      </c>
      <c r="Y43" s="25">
        <f t="shared" si="17"/>
        <v>0</v>
      </c>
      <c r="Z43" s="25">
        <f t="shared" si="17"/>
        <v>0</v>
      </c>
      <c r="AA43" s="25">
        <f t="shared" si="17"/>
        <v>0</v>
      </c>
      <c r="AB43" s="25">
        <f t="shared" si="17"/>
        <v>0</v>
      </c>
      <c r="AC43" s="25">
        <f t="shared" si="17"/>
        <v>0</v>
      </c>
      <c r="AD43" s="25">
        <f t="shared" si="17"/>
        <v>0</v>
      </c>
      <c r="AE43" s="25">
        <f t="shared" si="17"/>
        <v>0</v>
      </c>
      <c r="AF43" s="25">
        <f t="shared" si="17"/>
        <v>0</v>
      </c>
      <c r="AG43" s="25">
        <f t="shared" si="17"/>
        <v>0</v>
      </c>
      <c r="AH43" s="25">
        <f t="shared" si="17"/>
        <v>0</v>
      </c>
      <c r="AI43" s="26">
        <f t="shared" si="17"/>
        <v>0</v>
      </c>
      <c r="AJ43" s="91"/>
      <c r="AK43" s="91"/>
      <c r="AL43" s="92"/>
    </row>
    <row r="44" spans="1:38" s="30" customFormat="1" ht="55.25" hidden="1" customHeight="1" outlineLevel="1">
      <c r="A44" s="205" t="s">
        <v>442</v>
      </c>
      <c r="B44" s="408" t="s">
        <v>249</v>
      </c>
      <c r="C44" s="235" t="s">
        <v>284</v>
      </c>
      <c r="D44" s="236" t="s">
        <v>284</v>
      </c>
      <c r="E44" s="378" t="e">
        <f>IF((#REF!-C44)/(D44-C44)&lt;0,0,IF((#REF!-C44)/(D44-C44)&gt;100%,100%,(#REF!-C44)/(D44-C44)))</f>
        <v>#REF!</v>
      </c>
      <c r="F44" s="245" t="s">
        <v>284</v>
      </c>
      <c r="G44" s="246" t="s">
        <v>284</v>
      </c>
      <c r="H44" s="378" t="e">
        <f>IF((#REF!-F44)/(G44-F44)&lt;0,0,IF((#REF!-F44)/(G44-F44)&gt;100%,100%,(#REF!-F44)/(G44-F44)))</f>
        <v>#REF!</v>
      </c>
      <c r="I44" s="222" t="e">
        <f t="shared" si="7"/>
        <v>#VALUE!</v>
      </c>
      <c r="J44" s="25">
        <f t="shared" si="15"/>
        <v>0</v>
      </c>
      <c r="K44" s="26">
        <f t="shared" si="15"/>
        <v>0</v>
      </c>
      <c r="L44" s="25">
        <f t="shared" si="18"/>
        <v>0</v>
      </c>
      <c r="M44" s="25">
        <f t="shared" si="16"/>
        <v>0</v>
      </c>
      <c r="N44" s="25">
        <f t="shared" si="16"/>
        <v>0</v>
      </c>
      <c r="O44" s="25">
        <f t="shared" si="16"/>
        <v>0</v>
      </c>
      <c r="P44" s="25">
        <f t="shared" si="16"/>
        <v>0</v>
      </c>
      <c r="Q44" s="25">
        <f t="shared" si="16"/>
        <v>0</v>
      </c>
      <c r="R44" s="25">
        <f t="shared" si="16"/>
        <v>0</v>
      </c>
      <c r="S44" s="25">
        <f t="shared" si="16"/>
        <v>0</v>
      </c>
      <c r="T44" s="25">
        <f t="shared" si="16"/>
        <v>0</v>
      </c>
      <c r="U44" s="25">
        <f t="shared" si="16"/>
        <v>0</v>
      </c>
      <c r="V44" s="25">
        <f t="shared" si="16"/>
        <v>0</v>
      </c>
      <c r="W44" s="26">
        <f t="shared" si="16"/>
        <v>0</v>
      </c>
      <c r="X44" s="27">
        <f t="shared" si="17"/>
        <v>0</v>
      </c>
      <c r="Y44" s="25">
        <f t="shared" si="17"/>
        <v>0</v>
      </c>
      <c r="Z44" s="25">
        <f t="shared" si="17"/>
        <v>0</v>
      </c>
      <c r="AA44" s="25">
        <f t="shared" si="17"/>
        <v>0</v>
      </c>
      <c r="AB44" s="25">
        <f t="shared" si="17"/>
        <v>0</v>
      </c>
      <c r="AC44" s="25">
        <f t="shared" si="17"/>
        <v>0</v>
      </c>
      <c r="AD44" s="25">
        <f t="shared" si="17"/>
        <v>0</v>
      </c>
      <c r="AE44" s="25">
        <f t="shared" si="17"/>
        <v>0</v>
      </c>
      <c r="AF44" s="25">
        <f t="shared" si="17"/>
        <v>0</v>
      </c>
      <c r="AG44" s="25">
        <f t="shared" si="17"/>
        <v>0</v>
      </c>
      <c r="AH44" s="25">
        <f t="shared" si="17"/>
        <v>0</v>
      </c>
      <c r="AI44" s="26">
        <f t="shared" si="17"/>
        <v>0</v>
      </c>
      <c r="AJ44" s="91"/>
      <c r="AK44" s="91"/>
      <c r="AL44" s="92"/>
    </row>
    <row r="45" spans="1:38" s="30" customFormat="1" ht="33" hidden="1" customHeight="1" outlineLevel="1">
      <c r="A45" s="205" t="s">
        <v>443</v>
      </c>
      <c r="B45" s="408" t="s">
        <v>225</v>
      </c>
      <c r="C45" s="235" t="s">
        <v>284</v>
      </c>
      <c r="D45" s="236" t="s">
        <v>284</v>
      </c>
      <c r="E45" s="378" t="e">
        <f>IF((#REF!-C45)/(D45-C45)&lt;0,0,IF((#REF!-C45)/(D45-C45)&gt;100%,100%,(#REF!-C45)/(D45-C45)))</f>
        <v>#REF!</v>
      </c>
      <c r="F45" s="245" t="s">
        <v>284</v>
      </c>
      <c r="G45" s="246" t="s">
        <v>284</v>
      </c>
      <c r="H45" s="378" t="e">
        <f>IF((#REF!-F45)/(G45-F45)&lt;0,0,IF((#REF!-F45)/(G45-F45)&gt;100%,100%,(#REF!-F45)/(G45-F45)))</f>
        <v>#REF!</v>
      </c>
      <c r="I45" s="222" t="e">
        <f t="shared" si="7"/>
        <v>#VALUE!</v>
      </c>
      <c r="J45" s="25">
        <f t="shared" si="15"/>
        <v>0</v>
      </c>
      <c r="K45" s="26">
        <f t="shared" si="15"/>
        <v>0</v>
      </c>
      <c r="L45" s="25">
        <f t="shared" si="18"/>
        <v>0</v>
      </c>
      <c r="M45" s="25">
        <f t="shared" si="16"/>
        <v>0</v>
      </c>
      <c r="N45" s="25">
        <f t="shared" si="16"/>
        <v>0</v>
      </c>
      <c r="O45" s="25">
        <f t="shared" si="16"/>
        <v>0</v>
      </c>
      <c r="P45" s="25">
        <f t="shared" si="16"/>
        <v>0</v>
      </c>
      <c r="Q45" s="25">
        <f t="shared" si="16"/>
        <v>0</v>
      </c>
      <c r="R45" s="25">
        <f t="shared" si="16"/>
        <v>0</v>
      </c>
      <c r="S45" s="25">
        <f t="shared" si="16"/>
        <v>0</v>
      </c>
      <c r="T45" s="25">
        <f t="shared" si="16"/>
        <v>0</v>
      </c>
      <c r="U45" s="25">
        <f t="shared" si="16"/>
        <v>0</v>
      </c>
      <c r="V45" s="25">
        <f t="shared" si="16"/>
        <v>0</v>
      </c>
      <c r="W45" s="26">
        <f t="shared" si="16"/>
        <v>0</v>
      </c>
      <c r="X45" s="27">
        <f t="shared" si="17"/>
        <v>0</v>
      </c>
      <c r="Y45" s="25">
        <f t="shared" si="17"/>
        <v>0</v>
      </c>
      <c r="Z45" s="25">
        <f t="shared" si="17"/>
        <v>0</v>
      </c>
      <c r="AA45" s="25">
        <f t="shared" si="17"/>
        <v>0</v>
      </c>
      <c r="AB45" s="25">
        <f t="shared" si="17"/>
        <v>0</v>
      </c>
      <c r="AC45" s="25">
        <f t="shared" si="17"/>
        <v>0</v>
      </c>
      <c r="AD45" s="25">
        <f t="shared" si="17"/>
        <v>0</v>
      </c>
      <c r="AE45" s="25">
        <f t="shared" si="17"/>
        <v>0</v>
      </c>
      <c r="AF45" s="25">
        <f t="shared" si="17"/>
        <v>0</v>
      </c>
      <c r="AG45" s="25">
        <f t="shared" si="17"/>
        <v>0</v>
      </c>
      <c r="AH45" s="25">
        <f t="shared" si="17"/>
        <v>0</v>
      </c>
      <c r="AI45" s="26">
        <f t="shared" si="17"/>
        <v>0</v>
      </c>
      <c r="AJ45" s="91"/>
      <c r="AK45" s="91"/>
      <c r="AL45" s="92"/>
    </row>
    <row r="46" spans="1:38" s="30" customFormat="1" ht="18" hidden="1" customHeight="1" outlineLevel="1">
      <c r="A46" s="205" t="s">
        <v>444</v>
      </c>
      <c r="B46" s="408" t="s">
        <v>243</v>
      </c>
      <c r="C46" s="235" t="s">
        <v>284</v>
      </c>
      <c r="D46" s="236" t="s">
        <v>284</v>
      </c>
      <c r="E46" s="378" t="e">
        <f>IF((#REF!-C46)/(D46-C46)&lt;0,0,IF((#REF!-C46)/(D46-C46)&gt;100%,100%,(#REF!-C46)/(D46-C46)))</f>
        <v>#REF!</v>
      </c>
      <c r="F46" s="245" t="s">
        <v>284</v>
      </c>
      <c r="G46" s="246" t="s">
        <v>284</v>
      </c>
      <c r="H46" s="378" t="e">
        <f>IF((#REF!-F46)/(G46-F46)&lt;0,0,IF((#REF!-F46)/(G46-F46)&gt;100%,100%,(#REF!-F46)/(G46-F46)))</f>
        <v>#REF!</v>
      </c>
      <c r="I46" s="222" t="e">
        <f t="shared" si="7"/>
        <v>#VALUE!</v>
      </c>
      <c r="J46" s="25">
        <f t="shared" si="15"/>
        <v>0</v>
      </c>
      <c r="K46" s="26">
        <f t="shared" si="15"/>
        <v>0</v>
      </c>
      <c r="L46" s="25">
        <f t="shared" si="18"/>
        <v>0</v>
      </c>
      <c r="M46" s="25">
        <f t="shared" si="16"/>
        <v>0</v>
      </c>
      <c r="N46" s="25">
        <f t="shared" si="16"/>
        <v>0</v>
      </c>
      <c r="O46" s="25">
        <f t="shared" si="16"/>
        <v>0</v>
      </c>
      <c r="P46" s="25">
        <f t="shared" si="16"/>
        <v>0</v>
      </c>
      <c r="Q46" s="25">
        <f t="shared" si="16"/>
        <v>0</v>
      </c>
      <c r="R46" s="25">
        <f t="shared" si="16"/>
        <v>0</v>
      </c>
      <c r="S46" s="25">
        <f t="shared" si="16"/>
        <v>0</v>
      </c>
      <c r="T46" s="25">
        <f t="shared" si="16"/>
        <v>0</v>
      </c>
      <c r="U46" s="25">
        <f t="shared" si="16"/>
        <v>0</v>
      </c>
      <c r="V46" s="25">
        <f t="shared" si="16"/>
        <v>0</v>
      </c>
      <c r="W46" s="26">
        <f t="shared" si="16"/>
        <v>0</v>
      </c>
      <c r="X46" s="27">
        <f t="shared" si="17"/>
        <v>0</v>
      </c>
      <c r="Y46" s="25">
        <f t="shared" si="17"/>
        <v>0</v>
      </c>
      <c r="Z46" s="25">
        <f t="shared" si="17"/>
        <v>0</v>
      </c>
      <c r="AA46" s="25">
        <f t="shared" si="17"/>
        <v>0</v>
      </c>
      <c r="AB46" s="25">
        <f t="shared" si="17"/>
        <v>0</v>
      </c>
      <c r="AC46" s="25">
        <f t="shared" si="17"/>
        <v>0</v>
      </c>
      <c r="AD46" s="25">
        <f t="shared" si="17"/>
        <v>0</v>
      </c>
      <c r="AE46" s="25">
        <f t="shared" si="17"/>
        <v>0</v>
      </c>
      <c r="AF46" s="25">
        <f t="shared" si="17"/>
        <v>0</v>
      </c>
      <c r="AG46" s="25">
        <f t="shared" si="17"/>
        <v>0</v>
      </c>
      <c r="AH46" s="25">
        <f t="shared" si="17"/>
        <v>0</v>
      </c>
      <c r="AI46" s="26">
        <f t="shared" si="17"/>
        <v>0</v>
      </c>
      <c r="AJ46" s="91"/>
      <c r="AK46" s="91"/>
      <c r="AL46" s="92"/>
    </row>
    <row r="47" spans="1:38" s="30" customFormat="1" ht="28" hidden="1" outlineLevel="1">
      <c r="A47" s="205" t="s">
        <v>445</v>
      </c>
      <c r="B47" s="408" t="s">
        <v>244</v>
      </c>
      <c r="C47" s="235" t="s">
        <v>284</v>
      </c>
      <c r="D47" s="236" t="s">
        <v>284</v>
      </c>
      <c r="E47" s="378" t="e">
        <f>IF((#REF!-C47)/(D47-C47)&lt;0,0,IF((#REF!-C47)/(D47-C47)&gt;100%,100%,(#REF!-C47)/(D47-C47)))</f>
        <v>#REF!</v>
      </c>
      <c r="F47" s="245" t="s">
        <v>284</v>
      </c>
      <c r="G47" s="246" t="s">
        <v>284</v>
      </c>
      <c r="H47" s="378" t="e">
        <f>IF((#REF!-F47)/(G47-F47)&lt;0,0,IF((#REF!-F47)/(G47-F47)&gt;100%,100%,(#REF!-F47)/(G47-F47)))</f>
        <v>#REF!</v>
      </c>
      <c r="I47" s="222" t="e">
        <f t="shared" si="7"/>
        <v>#VALUE!</v>
      </c>
      <c r="J47" s="25">
        <f t="shared" si="15"/>
        <v>0</v>
      </c>
      <c r="K47" s="26">
        <f t="shared" si="15"/>
        <v>0</v>
      </c>
      <c r="L47" s="25">
        <f t="shared" si="18"/>
        <v>0</v>
      </c>
      <c r="M47" s="25">
        <f t="shared" ref="M47:W56" si="19">+IF(M$3&gt;=$C47,IF(M$3&lt;=$D47,1,0),0)</f>
        <v>0</v>
      </c>
      <c r="N47" s="25">
        <f t="shared" si="19"/>
        <v>0</v>
      </c>
      <c r="O47" s="25">
        <f t="shared" si="19"/>
        <v>0</v>
      </c>
      <c r="P47" s="25">
        <f t="shared" si="19"/>
        <v>0</v>
      </c>
      <c r="Q47" s="25">
        <f t="shared" si="19"/>
        <v>0</v>
      </c>
      <c r="R47" s="25">
        <f t="shared" si="19"/>
        <v>0</v>
      </c>
      <c r="S47" s="25">
        <f t="shared" si="19"/>
        <v>0</v>
      </c>
      <c r="T47" s="25">
        <f t="shared" si="19"/>
        <v>0</v>
      </c>
      <c r="U47" s="25">
        <f t="shared" si="19"/>
        <v>0</v>
      </c>
      <c r="V47" s="25">
        <f t="shared" si="19"/>
        <v>0</v>
      </c>
      <c r="W47" s="26">
        <f t="shared" si="19"/>
        <v>0</v>
      </c>
      <c r="X47" s="27">
        <f t="shared" si="17"/>
        <v>0</v>
      </c>
      <c r="Y47" s="25">
        <f t="shared" si="17"/>
        <v>0</v>
      </c>
      <c r="Z47" s="25">
        <f t="shared" si="17"/>
        <v>0</v>
      </c>
      <c r="AA47" s="25">
        <f t="shared" si="17"/>
        <v>0</v>
      </c>
      <c r="AB47" s="25">
        <f t="shared" si="17"/>
        <v>0</v>
      </c>
      <c r="AC47" s="25">
        <f t="shared" si="17"/>
        <v>0</v>
      </c>
      <c r="AD47" s="25">
        <f t="shared" si="17"/>
        <v>0</v>
      </c>
      <c r="AE47" s="25">
        <f t="shared" si="17"/>
        <v>0</v>
      </c>
      <c r="AF47" s="25">
        <f t="shared" si="17"/>
        <v>0</v>
      </c>
      <c r="AG47" s="25">
        <f t="shared" si="17"/>
        <v>0</v>
      </c>
      <c r="AH47" s="25">
        <f t="shared" si="17"/>
        <v>0</v>
      </c>
      <c r="AI47" s="26">
        <f t="shared" si="17"/>
        <v>0</v>
      </c>
      <c r="AJ47" s="91"/>
      <c r="AK47" s="91"/>
      <c r="AL47" s="92"/>
    </row>
    <row r="48" spans="1:38" s="30" customFormat="1" ht="21.5" hidden="1" customHeight="1" outlineLevel="1">
      <c r="A48" s="205" t="s">
        <v>446</v>
      </c>
      <c r="B48" s="408" t="s">
        <v>245</v>
      </c>
      <c r="C48" s="235" t="s">
        <v>284</v>
      </c>
      <c r="D48" s="236" t="s">
        <v>284</v>
      </c>
      <c r="E48" s="378" t="e">
        <f>IF((#REF!-C48)/(D48-C48)&lt;0,0,IF((#REF!-C48)/(D48-C48)&gt;100%,100%,(#REF!-C48)/(D48-C48)))</f>
        <v>#REF!</v>
      </c>
      <c r="F48" s="245" t="s">
        <v>284</v>
      </c>
      <c r="G48" s="246" t="s">
        <v>284</v>
      </c>
      <c r="H48" s="378" t="e">
        <f>IF((#REF!-F48)/(G48-F48)&lt;0,0,IF((#REF!-F48)/(G48-F48)&gt;100%,100%,(#REF!-F48)/(G48-F48)))</f>
        <v>#REF!</v>
      </c>
      <c r="I48" s="222" t="e">
        <f t="shared" si="7"/>
        <v>#VALUE!</v>
      </c>
      <c r="J48" s="25">
        <f t="shared" si="15"/>
        <v>0</v>
      </c>
      <c r="K48" s="26">
        <f t="shared" si="15"/>
        <v>0</v>
      </c>
      <c r="L48" s="25">
        <f t="shared" si="18"/>
        <v>0</v>
      </c>
      <c r="M48" s="25">
        <f t="shared" si="19"/>
        <v>0</v>
      </c>
      <c r="N48" s="25">
        <f t="shared" si="19"/>
        <v>0</v>
      </c>
      <c r="O48" s="25">
        <f t="shared" si="19"/>
        <v>0</v>
      </c>
      <c r="P48" s="25">
        <f t="shared" si="19"/>
        <v>0</v>
      </c>
      <c r="Q48" s="25">
        <f t="shared" si="19"/>
        <v>0</v>
      </c>
      <c r="R48" s="25">
        <f t="shared" si="19"/>
        <v>0</v>
      </c>
      <c r="S48" s="25">
        <f t="shared" si="19"/>
        <v>0</v>
      </c>
      <c r="T48" s="25">
        <f t="shared" si="19"/>
        <v>0</v>
      </c>
      <c r="U48" s="25">
        <f t="shared" si="19"/>
        <v>0</v>
      </c>
      <c r="V48" s="25">
        <f t="shared" si="19"/>
        <v>0</v>
      </c>
      <c r="W48" s="26">
        <f t="shared" si="19"/>
        <v>0</v>
      </c>
      <c r="X48" s="27">
        <f t="shared" ref="X48:AI57" si="20">+IF(X$3&gt;=$C48,IF(X$3&lt;=$D48,1,0),0)</f>
        <v>0</v>
      </c>
      <c r="Y48" s="25">
        <f t="shared" si="20"/>
        <v>0</v>
      </c>
      <c r="Z48" s="25">
        <f t="shared" si="20"/>
        <v>0</v>
      </c>
      <c r="AA48" s="25">
        <f t="shared" si="20"/>
        <v>0</v>
      </c>
      <c r="AB48" s="25">
        <f t="shared" si="20"/>
        <v>0</v>
      </c>
      <c r="AC48" s="25">
        <f t="shared" si="20"/>
        <v>0</v>
      </c>
      <c r="AD48" s="25">
        <f t="shared" si="20"/>
        <v>0</v>
      </c>
      <c r="AE48" s="25">
        <f t="shared" si="20"/>
        <v>0</v>
      </c>
      <c r="AF48" s="25">
        <f t="shared" si="20"/>
        <v>0</v>
      </c>
      <c r="AG48" s="25">
        <f t="shared" si="20"/>
        <v>0</v>
      </c>
      <c r="AH48" s="25">
        <f t="shared" si="20"/>
        <v>0</v>
      </c>
      <c r="AI48" s="26">
        <f t="shared" si="20"/>
        <v>0</v>
      </c>
      <c r="AJ48" s="91"/>
      <c r="AK48" s="91"/>
      <c r="AL48" s="92"/>
    </row>
    <row r="49" spans="1:38" s="30" customFormat="1" ht="28" hidden="1" outlineLevel="1">
      <c r="A49" s="205" t="s">
        <v>447</v>
      </c>
      <c r="B49" s="408" t="s">
        <v>246</v>
      </c>
      <c r="C49" s="235" t="s">
        <v>284</v>
      </c>
      <c r="D49" s="236" t="s">
        <v>284</v>
      </c>
      <c r="E49" s="378" t="e">
        <f>IF((#REF!-C49)/(D49-C49)&lt;0,0,IF((#REF!-C49)/(D49-C49)&gt;100%,100%,(#REF!-C49)/(D49-C49)))</f>
        <v>#REF!</v>
      </c>
      <c r="F49" s="245" t="s">
        <v>284</v>
      </c>
      <c r="G49" s="246" t="s">
        <v>284</v>
      </c>
      <c r="H49" s="378" t="e">
        <f>IF((#REF!-F49)/(G49-F49)&lt;0,0,IF((#REF!-F49)/(G49-F49)&gt;100%,100%,(#REF!-F49)/(G49-F49)))</f>
        <v>#REF!</v>
      </c>
      <c r="I49" s="222" t="e">
        <f t="shared" si="7"/>
        <v>#VALUE!</v>
      </c>
      <c r="J49" s="25">
        <f t="shared" si="15"/>
        <v>0</v>
      </c>
      <c r="K49" s="26">
        <f t="shared" si="15"/>
        <v>0</v>
      </c>
      <c r="L49" s="25">
        <f t="shared" si="18"/>
        <v>0</v>
      </c>
      <c r="M49" s="25">
        <f t="shared" si="19"/>
        <v>0</v>
      </c>
      <c r="N49" s="25">
        <f t="shared" si="19"/>
        <v>0</v>
      </c>
      <c r="O49" s="25">
        <f t="shared" si="19"/>
        <v>0</v>
      </c>
      <c r="P49" s="25">
        <f t="shared" si="19"/>
        <v>0</v>
      </c>
      <c r="Q49" s="25">
        <f t="shared" si="19"/>
        <v>0</v>
      </c>
      <c r="R49" s="25">
        <f t="shared" si="19"/>
        <v>0</v>
      </c>
      <c r="S49" s="25">
        <f t="shared" si="19"/>
        <v>0</v>
      </c>
      <c r="T49" s="25">
        <f t="shared" si="19"/>
        <v>0</v>
      </c>
      <c r="U49" s="25">
        <f t="shared" si="19"/>
        <v>0</v>
      </c>
      <c r="V49" s="25">
        <f t="shared" si="19"/>
        <v>0</v>
      </c>
      <c r="W49" s="26">
        <f t="shared" si="19"/>
        <v>0</v>
      </c>
      <c r="X49" s="27">
        <f t="shared" si="20"/>
        <v>0</v>
      </c>
      <c r="Y49" s="25">
        <f t="shared" si="20"/>
        <v>0</v>
      </c>
      <c r="Z49" s="25">
        <f t="shared" si="20"/>
        <v>0</v>
      </c>
      <c r="AA49" s="25">
        <f t="shared" si="20"/>
        <v>0</v>
      </c>
      <c r="AB49" s="25">
        <f t="shared" si="20"/>
        <v>0</v>
      </c>
      <c r="AC49" s="25">
        <f t="shared" si="20"/>
        <v>0</v>
      </c>
      <c r="AD49" s="25">
        <f t="shared" si="20"/>
        <v>0</v>
      </c>
      <c r="AE49" s="25">
        <f t="shared" si="20"/>
        <v>0</v>
      </c>
      <c r="AF49" s="25">
        <f t="shared" si="20"/>
        <v>0</v>
      </c>
      <c r="AG49" s="25">
        <f t="shared" si="20"/>
        <v>0</v>
      </c>
      <c r="AH49" s="25">
        <f t="shared" si="20"/>
        <v>0</v>
      </c>
      <c r="AI49" s="26">
        <f t="shared" si="20"/>
        <v>0</v>
      </c>
      <c r="AJ49" s="91"/>
      <c r="AK49" s="91"/>
      <c r="AL49" s="92"/>
    </row>
    <row r="50" spans="1:38" s="30" customFormat="1" ht="42" hidden="1" outlineLevel="1">
      <c r="A50" s="205" t="s">
        <v>448</v>
      </c>
      <c r="B50" s="408" t="s">
        <v>247</v>
      </c>
      <c r="C50" s="235" t="s">
        <v>284</v>
      </c>
      <c r="D50" s="236" t="s">
        <v>284</v>
      </c>
      <c r="E50" s="378" t="e">
        <f>IF((#REF!-C50)/(D50-C50)&lt;0,0,IF((#REF!-C50)/(D50-C50)&gt;100%,100%,(#REF!-C50)/(D50-C50)))</f>
        <v>#REF!</v>
      </c>
      <c r="F50" s="245" t="s">
        <v>284</v>
      </c>
      <c r="G50" s="246" t="s">
        <v>284</v>
      </c>
      <c r="H50" s="378" t="e">
        <f>IF((#REF!-F50)/(G50-F50)&lt;0,0,IF((#REF!-F50)/(G50-F50)&gt;100%,100%,(#REF!-F50)/(G50-F50)))</f>
        <v>#REF!</v>
      </c>
      <c r="I50" s="222" t="e">
        <f t="shared" si="7"/>
        <v>#VALUE!</v>
      </c>
      <c r="J50" s="25">
        <f t="shared" si="15"/>
        <v>0</v>
      </c>
      <c r="K50" s="26">
        <f t="shared" si="15"/>
        <v>0</v>
      </c>
      <c r="L50" s="25">
        <f t="shared" si="18"/>
        <v>0</v>
      </c>
      <c r="M50" s="25">
        <f t="shared" si="19"/>
        <v>0</v>
      </c>
      <c r="N50" s="25">
        <f t="shared" si="19"/>
        <v>0</v>
      </c>
      <c r="O50" s="25">
        <f t="shared" si="19"/>
        <v>0</v>
      </c>
      <c r="P50" s="25">
        <f t="shared" si="19"/>
        <v>0</v>
      </c>
      <c r="Q50" s="25">
        <f t="shared" si="19"/>
        <v>0</v>
      </c>
      <c r="R50" s="25">
        <f t="shared" si="19"/>
        <v>0</v>
      </c>
      <c r="S50" s="25">
        <f t="shared" si="19"/>
        <v>0</v>
      </c>
      <c r="T50" s="25">
        <f t="shared" si="19"/>
        <v>0</v>
      </c>
      <c r="U50" s="25">
        <f t="shared" si="19"/>
        <v>0</v>
      </c>
      <c r="V50" s="25">
        <f t="shared" si="19"/>
        <v>0</v>
      </c>
      <c r="W50" s="26">
        <f t="shared" si="19"/>
        <v>0</v>
      </c>
      <c r="X50" s="27">
        <f t="shared" si="20"/>
        <v>0</v>
      </c>
      <c r="Y50" s="25">
        <f t="shared" si="20"/>
        <v>0</v>
      </c>
      <c r="Z50" s="25">
        <f t="shared" si="20"/>
        <v>0</v>
      </c>
      <c r="AA50" s="25">
        <f t="shared" si="20"/>
        <v>0</v>
      </c>
      <c r="AB50" s="25">
        <f t="shared" si="20"/>
        <v>0</v>
      </c>
      <c r="AC50" s="25">
        <f t="shared" si="20"/>
        <v>0</v>
      </c>
      <c r="AD50" s="25">
        <f t="shared" si="20"/>
        <v>0</v>
      </c>
      <c r="AE50" s="25">
        <f t="shared" si="20"/>
        <v>0</v>
      </c>
      <c r="AF50" s="25">
        <f t="shared" si="20"/>
        <v>0</v>
      </c>
      <c r="AG50" s="25">
        <f t="shared" si="20"/>
        <v>0</v>
      </c>
      <c r="AH50" s="25">
        <f t="shared" si="20"/>
        <v>0</v>
      </c>
      <c r="AI50" s="26">
        <f t="shared" si="20"/>
        <v>0</v>
      </c>
      <c r="AJ50" s="91"/>
      <c r="AK50" s="91"/>
      <c r="AL50" s="92"/>
    </row>
    <row r="51" spans="1:38" s="30" customFormat="1" ht="56" hidden="1" outlineLevel="1">
      <c r="A51" s="205" t="s">
        <v>449</v>
      </c>
      <c r="B51" s="408" t="s">
        <v>250</v>
      </c>
      <c r="C51" s="235" t="s">
        <v>284</v>
      </c>
      <c r="D51" s="236" t="s">
        <v>284</v>
      </c>
      <c r="E51" s="378" t="e">
        <f>IF((#REF!-C51)/(D51-C51)&lt;0,0,IF((#REF!-C51)/(D51-C51)&gt;100%,100%,(#REF!-C51)/(D51-C51)))</f>
        <v>#REF!</v>
      </c>
      <c r="F51" s="245" t="s">
        <v>284</v>
      </c>
      <c r="G51" s="246" t="s">
        <v>284</v>
      </c>
      <c r="H51" s="378" t="e">
        <f>IF((#REF!-F51)/(G51-F51)&lt;0,0,IF((#REF!-F51)/(G51-F51)&gt;100%,100%,(#REF!-F51)/(G51-F51)))</f>
        <v>#REF!</v>
      </c>
      <c r="I51" s="222" t="e">
        <f t="shared" si="7"/>
        <v>#VALUE!</v>
      </c>
      <c r="J51" s="25">
        <f t="shared" ref="J51:K70" si="21">+IF(J$3&gt;=$C51,IF(J$3&lt;=$D51,1,0),0)</f>
        <v>0</v>
      </c>
      <c r="K51" s="26">
        <f t="shared" si="21"/>
        <v>0</v>
      </c>
      <c r="L51" s="25">
        <f t="shared" si="18"/>
        <v>0</v>
      </c>
      <c r="M51" s="25">
        <f t="shared" si="19"/>
        <v>0</v>
      </c>
      <c r="N51" s="25">
        <f t="shared" si="19"/>
        <v>0</v>
      </c>
      <c r="O51" s="25">
        <f t="shared" si="19"/>
        <v>0</v>
      </c>
      <c r="P51" s="25">
        <f t="shared" si="19"/>
        <v>0</v>
      </c>
      <c r="Q51" s="25">
        <f t="shared" si="19"/>
        <v>0</v>
      </c>
      <c r="R51" s="25">
        <f t="shared" si="19"/>
        <v>0</v>
      </c>
      <c r="S51" s="25">
        <f t="shared" si="19"/>
        <v>0</v>
      </c>
      <c r="T51" s="25">
        <f t="shared" si="19"/>
        <v>0</v>
      </c>
      <c r="U51" s="25">
        <f t="shared" si="19"/>
        <v>0</v>
      </c>
      <c r="V51" s="25">
        <f t="shared" si="19"/>
        <v>0</v>
      </c>
      <c r="W51" s="26">
        <f t="shared" si="19"/>
        <v>0</v>
      </c>
      <c r="X51" s="27">
        <f t="shared" si="20"/>
        <v>0</v>
      </c>
      <c r="Y51" s="25">
        <f t="shared" si="20"/>
        <v>0</v>
      </c>
      <c r="Z51" s="25">
        <f t="shared" si="20"/>
        <v>0</v>
      </c>
      <c r="AA51" s="25">
        <f t="shared" si="20"/>
        <v>0</v>
      </c>
      <c r="AB51" s="25">
        <f t="shared" si="20"/>
        <v>0</v>
      </c>
      <c r="AC51" s="25">
        <f t="shared" si="20"/>
        <v>0</v>
      </c>
      <c r="AD51" s="25">
        <f t="shared" si="20"/>
        <v>0</v>
      </c>
      <c r="AE51" s="25">
        <f t="shared" si="20"/>
        <v>0</v>
      </c>
      <c r="AF51" s="25">
        <f t="shared" si="20"/>
        <v>0</v>
      </c>
      <c r="AG51" s="25">
        <f t="shared" si="20"/>
        <v>0</v>
      </c>
      <c r="AH51" s="25">
        <f t="shared" si="20"/>
        <v>0</v>
      </c>
      <c r="AI51" s="26">
        <f t="shared" si="20"/>
        <v>0</v>
      </c>
      <c r="AJ51" s="91"/>
      <c r="AK51" s="91"/>
      <c r="AL51" s="92"/>
    </row>
    <row r="52" spans="1:38" s="30" customFormat="1" ht="28" hidden="1" outlineLevel="1">
      <c r="A52" s="205" t="s">
        <v>450</v>
      </c>
      <c r="B52" s="408" t="s">
        <v>252</v>
      </c>
      <c r="C52" s="235" t="s">
        <v>284</v>
      </c>
      <c r="D52" s="236" t="s">
        <v>284</v>
      </c>
      <c r="E52" s="378" t="e">
        <f>IF((#REF!-C52)/(D52-C52)&lt;0,0,IF((#REF!-C52)/(D52-C52)&gt;100%,100%,(#REF!-C52)/(D52-C52)))</f>
        <v>#REF!</v>
      </c>
      <c r="F52" s="245" t="s">
        <v>284</v>
      </c>
      <c r="G52" s="246" t="s">
        <v>284</v>
      </c>
      <c r="H52" s="378" t="e">
        <f>IF((#REF!-F52)/(G52-F52)&lt;0,0,IF((#REF!-F52)/(G52-F52)&gt;100%,100%,(#REF!-F52)/(G52-F52)))</f>
        <v>#REF!</v>
      </c>
      <c r="I52" s="222" t="e">
        <f t="shared" si="7"/>
        <v>#VALUE!</v>
      </c>
      <c r="J52" s="25">
        <f t="shared" si="21"/>
        <v>0</v>
      </c>
      <c r="K52" s="26">
        <f t="shared" si="21"/>
        <v>0</v>
      </c>
      <c r="L52" s="25">
        <f t="shared" si="18"/>
        <v>0</v>
      </c>
      <c r="M52" s="25">
        <f t="shared" si="19"/>
        <v>0</v>
      </c>
      <c r="N52" s="25">
        <f t="shared" si="19"/>
        <v>0</v>
      </c>
      <c r="O52" s="25">
        <f t="shared" si="19"/>
        <v>0</v>
      </c>
      <c r="P52" s="25">
        <f t="shared" si="19"/>
        <v>0</v>
      </c>
      <c r="Q52" s="25">
        <f t="shared" si="19"/>
        <v>0</v>
      </c>
      <c r="R52" s="25">
        <f t="shared" si="19"/>
        <v>0</v>
      </c>
      <c r="S52" s="25">
        <f t="shared" si="19"/>
        <v>0</v>
      </c>
      <c r="T52" s="25">
        <f t="shared" si="19"/>
        <v>0</v>
      </c>
      <c r="U52" s="25">
        <f t="shared" si="19"/>
        <v>0</v>
      </c>
      <c r="V52" s="25">
        <f t="shared" si="19"/>
        <v>0</v>
      </c>
      <c r="W52" s="26">
        <f t="shared" si="19"/>
        <v>0</v>
      </c>
      <c r="X52" s="27">
        <f t="shared" si="20"/>
        <v>0</v>
      </c>
      <c r="Y52" s="25">
        <f t="shared" si="20"/>
        <v>0</v>
      </c>
      <c r="Z52" s="25">
        <f t="shared" si="20"/>
        <v>0</v>
      </c>
      <c r="AA52" s="25">
        <f t="shared" si="20"/>
        <v>0</v>
      </c>
      <c r="AB52" s="25">
        <f t="shared" si="20"/>
        <v>0</v>
      </c>
      <c r="AC52" s="25">
        <f t="shared" si="20"/>
        <v>0</v>
      </c>
      <c r="AD52" s="25">
        <f t="shared" si="20"/>
        <v>0</v>
      </c>
      <c r="AE52" s="25">
        <f t="shared" si="20"/>
        <v>0</v>
      </c>
      <c r="AF52" s="25">
        <f t="shared" si="20"/>
        <v>0</v>
      </c>
      <c r="AG52" s="25">
        <f t="shared" si="20"/>
        <v>0</v>
      </c>
      <c r="AH52" s="25">
        <f t="shared" si="20"/>
        <v>0</v>
      </c>
      <c r="AI52" s="26">
        <f t="shared" si="20"/>
        <v>0</v>
      </c>
      <c r="AJ52" s="91"/>
      <c r="AK52" s="91"/>
      <c r="AL52" s="92"/>
    </row>
    <row r="53" spans="1:38" s="30" customFormat="1" ht="28" hidden="1" outlineLevel="1">
      <c r="A53" s="205" t="s">
        <v>451</v>
      </c>
      <c r="B53" s="408" t="s">
        <v>253</v>
      </c>
      <c r="C53" s="235" t="s">
        <v>284</v>
      </c>
      <c r="D53" s="236" t="s">
        <v>284</v>
      </c>
      <c r="E53" s="378" t="e">
        <f>IF((#REF!-C53)/(D53-C53)&lt;0,0,IF((#REF!-C53)/(D53-C53)&gt;100%,100%,(#REF!-C53)/(D53-C53)))</f>
        <v>#REF!</v>
      </c>
      <c r="F53" s="245" t="s">
        <v>284</v>
      </c>
      <c r="G53" s="246" t="s">
        <v>284</v>
      </c>
      <c r="H53" s="378" t="e">
        <f>IF((#REF!-F53)/(G53-F53)&lt;0,0,IF((#REF!-F53)/(G53-F53)&gt;100%,100%,(#REF!-F53)/(G53-F53)))</f>
        <v>#REF!</v>
      </c>
      <c r="I53" s="222" t="e">
        <f t="shared" si="7"/>
        <v>#VALUE!</v>
      </c>
      <c r="J53" s="25">
        <f t="shared" si="21"/>
        <v>0</v>
      </c>
      <c r="K53" s="26">
        <f t="shared" si="21"/>
        <v>0</v>
      </c>
      <c r="L53" s="25">
        <f t="shared" si="18"/>
        <v>0</v>
      </c>
      <c r="M53" s="25">
        <f t="shared" si="19"/>
        <v>0</v>
      </c>
      <c r="N53" s="25">
        <f t="shared" si="19"/>
        <v>0</v>
      </c>
      <c r="O53" s="25">
        <f t="shared" si="19"/>
        <v>0</v>
      </c>
      <c r="P53" s="25">
        <f t="shared" si="19"/>
        <v>0</v>
      </c>
      <c r="Q53" s="25">
        <f t="shared" si="19"/>
        <v>0</v>
      </c>
      <c r="R53" s="25">
        <f t="shared" si="19"/>
        <v>0</v>
      </c>
      <c r="S53" s="25">
        <f t="shared" si="19"/>
        <v>0</v>
      </c>
      <c r="T53" s="25">
        <f t="shared" si="19"/>
        <v>0</v>
      </c>
      <c r="U53" s="25">
        <f t="shared" si="19"/>
        <v>0</v>
      </c>
      <c r="V53" s="25">
        <f t="shared" si="19"/>
        <v>0</v>
      </c>
      <c r="W53" s="26">
        <f t="shared" si="19"/>
        <v>0</v>
      </c>
      <c r="X53" s="27">
        <f t="shared" si="20"/>
        <v>0</v>
      </c>
      <c r="Y53" s="25">
        <f t="shared" si="20"/>
        <v>0</v>
      </c>
      <c r="Z53" s="25">
        <f t="shared" si="20"/>
        <v>0</v>
      </c>
      <c r="AA53" s="25">
        <f t="shared" si="20"/>
        <v>0</v>
      </c>
      <c r="AB53" s="25">
        <f t="shared" si="20"/>
        <v>0</v>
      </c>
      <c r="AC53" s="25">
        <f t="shared" si="20"/>
        <v>0</v>
      </c>
      <c r="AD53" s="25">
        <f t="shared" si="20"/>
        <v>0</v>
      </c>
      <c r="AE53" s="25">
        <f t="shared" si="20"/>
        <v>0</v>
      </c>
      <c r="AF53" s="25">
        <f t="shared" si="20"/>
        <v>0</v>
      </c>
      <c r="AG53" s="25">
        <f t="shared" si="20"/>
        <v>0</v>
      </c>
      <c r="AH53" s="25">
        <f t="shared" si="20"/>
        <v>0</v>
      </c>
      <c r="AI53" s="26">
        <f t="shared" si="20"/>
        <v>0</v>
      </c>
      <c r="AJ53" s="91"/>
      <c r="AK53" s="91"/>
      <c r="AL53" s="92"/>
    </row>
    <row r="54" spans="1:38" s="30" customFormat="1" ht="28" hidden="1" outlineLevel="1">
      <c r="A54" s="205" t="s">
        <v>452</v>
      </c>
      <c r="B54" s="408" t="s">
        <v>254</v>
      </c>
      <c r="C54" s="235" t="s">
        <v>284</v>
      </c>
      <c r="D54" s="236" t="s">
        <v>284</v>
      </c>
      <c r="E54" s="378" t="e">
        <f>IF((#REF!-C54)/(D54-C54)&lt;0,0,IF((#REF!-C54)/(D54-C54)&gt;100%,100%,(#REF!-C54)/(D54-C54)))</f>
        <v>#REF!</v>
      </c>
      <c r="F54" s="245" t="s">
        <v>284</v>
      </c>
      <c r="G54" s="246" t="s">
        <v>284</v>
      </c>
      <c r="H54" s="378" t="e">
        <f>IF((#REF!-F54)/(G54-F54)&lt;0,0,IF((#REF!-F54)/(G54-F54)&gt;100%,100%,(#REF!-F54)/(G54-F54)))</f>
        <v>#REF!</v>
      </c>
      <c r="I54" s="222" t="e">
        <f t="shared" si="7"/>
        <v>#VALUE!</v>
      </c>
      <c r="J54" s="25">
        <f t="shared" si="21"/>
        <v>0</v>
      </c>
      <c r="K54" s="26">
        <f t="shared" si="21"/>
        <v>0</v>
      </c>
      <c r="L54" s="25">
        <f t="shared" si="18"/>
        <v>0</v>
      </c>
      <c r="M54" s="25">
        <f t="shared" si="19"/>
        <v>0</v>
      </c>
      <c r="N54" s="25">
        <f t="shared" si="19"/>
        <v>0</v>
      </c>
      <c r="O54" s="25">
        <f t="shared" si="19"/>
        <v>0</v>
      </c>
      <c r="P54" s="25">
        <f t="shared" si="19"/>
        <v>0</v>
      </c>
      <c r="Q54" s="25">
        <f t="shared" si="19"/>
        <v>0</v>
      </c>
      <c r="R54" s="25">
        <f t="shared" si="19"/>
        <v>0</v>
      </c>
      <c r="S54" s="25">
        <f t="shared" si="19"/>
        <v>0</v>
      </c>
      <c r="T54" s="25">
        <f t="shared" si="19"/>
        <v>0</v>
      </c>
      <c r="U54" s="25">
        <f t="shared" si="19"/>
        <v>0</v>
      </c>
      <c r="V54" s="25">
        <f t="shared" si="19"/>
        <v>0</v>
      </c>
      <c r="W54" s="26">
        <f t="shared" si="19"/>
        <v>0</v>
      </c>
      <c r="X54" s="27">
        <f t="shared" si="20"/>
        <v>0</v>
      </c>
      <c r="Y54" s="25">
        <f t="shared" si="20"/>
        <v>0</v>
      </c>
      <c r="Z54" s="25">
        <f t="shared" si="20"/>
        <v>0</v>
      </c>
      <c r="AA54" s="25">
        <f t="shared" si="20"/>
        <v>0</v>
      </c>
      <c r="AB54" s="25">
        <f t="shared" si="20"/>
        <v>0</v>
      </c>
      <c r="AC54" s="25">
        <f t="shared" si="20"/>
        <v>0</v>
      </c>
      <c r="AD54" s="25">
        <f t="shared" si="20"/>
        <v>0</v>
      </c>
      <c r="AE54" s="25">
        <f t="shared" si="20"/>
        <v>0</v>
      </c>
      <c r="AF54" s="25">
        <f t="shared" si="20"/>
        <v>0</v>
      </c>
      <c r="AG54" s="25">
        <f t="shared" si="20"/>
        <v>0</v>
      </c>
      <c r="AH54" s="25">
        <f t="shared" si="20"/>
        <v>0</v>
      </c>
      <c r="AI54" s="26">
        <f t="shared" si="20"/>
        <v>0</v>
      </c>
      <c r="AJ54" s="91"/>
      <c r="AK54" s="91"/>
      <c r="AL54" s="92"/>
    </row>
    <row r="55" spans="1:38" s="30" customFormat="1" ht="28" hidden="1" outlineLevel="1">
      <c r="A55" s="205" t="s">
        <v>453</v>
      </c>
      <c r="B55" s="408" t="s">
        <v>268</v>
      </c>
      <c r="C55" s="235" t="s">
        <v>284</v>
      </c>
      <c r="D55" s="236" t="s">
        <v>284</v>
      </c>
      <c r="E55" s="378" t="e">
        <f>IF((#REF!-C55)/(D55-C55)&lt;0,0,IF((#REF!-C55)/(D55-C55)&gt;100%,100%,(#REF!-C55)/(D55-C55)))</f>
        <v>#REF!</v>
      </c>
      <c r="F55" s="245" t="s">
        <v>284</v>
      </c>
      <c r="G55" s="246" t="s">
        <v>284</v>
      </c>
      <c r="H55" s="378" t="e">
        <f>IF((#REF!-F55)/(G55-F55)&lt;0,0,IF((#REF!-F55)/(G55-F55)&gt;100%,100%,(#REF!-F55)/(G55-F55)))</f>
        <v>#REF!</v>
      </c>
      <c r="I55" s="222" t="e">
        <f t="shared" si="7"/>
        <v>#VALUE!</v>
      </c>
      <c r="J55" s="25">
        <f t="shared" si="21"/>
        <v>0</v>
      </c>
      <c r="K55" s="26">
        <f t="shared" si="21"/>
        <v>0</v>
      </c>
      <c r="L55" s="25">
        <f t="shared" si="18"/>
        <v>0</v>
      </c>
      <c r="M55" s="25">
        <f t="shared" si="19"/>
        <v>0</v>
      </c>
      <c r="N55" s="25">
        <f t="shared" si="19"/>
        <v>0</v>
      </c>
      <c r="O55" s="25">
        <f t="shared" si="19"/>
        <v>0</v>
      </c>
      <c r="P55" s="25">
        <f t="shared" si="19"/>
        <v>0</v>
      </c>
      <c r="Q55" s="25">
        <f t="shared" si="19"/>
        <v>0</v>
      </c>
      <c r="R55" s="25">
        <f t="shared" si="19"/>
        <v>0</v>
      </c>
      <c r="S55" s="25">
        <f t="shared" si="19"/>
        <v>0</v>
      </c>
      <c r="T55" s="25">
        <f t="shared" si="19"/>
        <v>0</v>
      </c>
      <c r="U55" s="25">
        <f t="shared" si="19"/>
        <v>0</v>
      </c>
      <c r="V55" s="25">
        <f t="shared" si="19"/>
        <v>0</v>
      </c>
      <c r="W55" s="26">
        <f t="shared" si="19"/>
        <v>0</v>
      </c>
      <c r="X55" s="27">
        <f t="shared" si="20"/>
        <v>0</v>
      </c>
      <c r="Y55" s="25">
        <f t="shared" si="20"/>
        <v>0</v>
      </c>
      <c r="Z55" s="25">
        <f t="shared" si="20"/>
        <v>0</v>
      </c>
      <c r="AA55" s="25">
        <f t="shared" si="20"/>
        <v>0</v>
      </c>
      <c r="AB55" s="25">
        <f t="shared" si="20"/>
        <v>0</v>
      </c>
      <c r="AC55" s="25">
        <f t="shared" si="20"/>
        <v>0</v>
      </c>
      <c r="AD55" s="25">
        <f t="shared" si="20"/>
        <v>0</v>
      </c>
      <c r="AE55" s="25">
        <f t="shared" si="20"/>
        <v>0</v>
      </c>
      <c r="AF55" s="25">
        <f t="shared" si="20"/>
        <v>0</v>
      </c>
      <c r="AG55" s="25">
        <f t="shared" si="20"/>
        <v>0</v>
      </c>
      <c r="AH55" s="25">
        <f t="shared" si="20"/>
        <v>0</v>
      </c>
      <c r="AI55" s="26">
        <f t="shared" si="20"/>
        <v>0</v>
      </c>
      <c r="AJ55" s="91"/>
      <c r="AK55" s="91"/>
      <c r="AL55" s="92"/>
    </row>
    <row r="56" spans="1:38" s="30" customFormat="1" ht="16.25" hidden="1" customHeight="1" outlineLevel="1">
      <c r="A56" s="205" t="s">
        <v>454</v>
      </c>
      <c r="B56" s="408" t="s">
        <v>255</v>
      </c>
      <c r="C56" s="235" t="s">
        <v>284</v>
      </c>
      <c r="D56" s="236" t="s">
        <v>284</v>
      </c>
      <c r="E56" s="378" t="e">
        <f>IF((#REF!-C56)/(D56-C56)&lt;0,0,IF((#REF!-C56)/(D56-C56)&gt;100%,100%,(#REF!-C56)/(D56-C56)))</f>
        <v>#REF!</v>
      </c>
      <c r="F56" s="245" t="s">
        <v>284</v>
      </c>
      <c r="G56" s="246" t="s">
        <v>284</v>
      </c>
      <c r="H56" s="378" t="e">
        <f>IF((#REF!-F56)/(G56-F56)&lt;0,0,IF((#REF!-F56)/(G56-F56)&gt;100%,100%,(#REF!-F56)/(G56-F56)))</f>
        <v>#REF!</v>
      </c>
      <c r="I56" s="222" t="e">
        <f t="shared" si="7"/>
        <v>#VALUE!</v>
      </c>
      <c r="J56" s="25">
        <f t="shared" si="21"/>
        <v>0</v>
      </c>
      <c r="K56" s="26">
        <f t="shared" si="21"/>
        <v>0</v>
      </c>
      <c r="L56" s="25">
        <f t="shared" si="18"/>
        <v>0</v>
      </c>
      <c r="M56" s="25">
        <f t="shared" si="19"/>
        <v>0</v>
      </c>
      <c r="N56" s="25">
        <f t="shared" si="19"/>
        <v>0</v>
      </c>
      <c r="O56" s="25">
        <f t="shared" si="19"/>
        <v>0</v>
      </c>
      <c r="P56" s="25">
        <f t="shared" si="19"/>
        <v>0</v>
      </c>
      <c r="Q56" s="25">
        <f t="shared" si="19"/>
        <v>0</v>
      </c>
      <c r="R56" s="25">
        <f t="shared" si="19"/>
        <v>0</v>
      </c>
      <c r="S56" s="25">
        <f t="shared" si="19"/>
        <v>0</v>
      </c>
      <c r="T56" s="25">
        <f t="shared" si="19"/>
        <v>0</v>
      </c>
      <c r="U56" s="25">
        <f t="shared" si="19"/>
        <v>0</v>
      </c>
      <c r="V56" s="25">
        <f t="shared" si="19"/>
        <v>0</v>
      </c>
      <c r="W56" s="26">
        <f t="shared" si="19"/>
        <v>0</v>
      </c>
      <c r="X56" s="27">
        <f t="shared" si="20"/>
        <v>0</v>
      </c>
      <c r="Y56" s="25">
        <f t="shared" si="20"/>
        <v>0</v>
      </c>
      <c r="Z56" s="25">
        <f t="shared" si="20"/>
        <v>0</v>
      </c>
      <c r="AA56" s="25">
        <f t="shared" si="20"/>
        <v>0</v>
      </c>
      <c r="AB56" s="25">
        <f t="shared" si="20"/>
        <v>0</v>
      </c>
      <c r="AC56" s="25">
        <f t="shared" si="20"/>
        <v>0</v>
      </c>
      <c r="AD56" s="25">
        <f t="shared" si="20"/>
        <v>0</v>
      </c>
      <c r="AE56" s="25">
        <f t="shared" si="20"/>
        <v>0</v>
      </c>
      <c r="AF56" s="25">
        <f t="shared" si="20"/>
        <v>0</v>
      </c>
      <c r="AG56" s="25">
        <f t="shared" si="20"/>
        <v>0</v>
      </c>
      <c r="AH56" s="25">
        <f t="shared" si="20"/>
        <v>0</v>
      </c>
      <c r="AI56" s="26">
        <f t="shared" si="20"/>
        <v>0</v>
      </c>
      <c r="AJ56" s="91"/>
      <c r="AK56" s="91"/>
      <c r="AL56" s="92"/>
    </row>
    <row r="57" spans="1:38" s="30" customFormat="1" ht="18" customHeight="1">
      <c r="A57" s="105" t="s">
        <v>238</v>
      </c>
      <c r="B57" s="66" t="s">
        <v>269</v>
      </c>
      <c r="C57" s="256">
        <v>46069</v>
      </c>
      <c r="D57" s="257">
        <v>46142</v>
      </c>
      <c r="E57" s="381" t="e">
        <f>IF((#REF!-C57)/(D57-C57)&lt;0,0,IF((#REF!-C57)/(D57-C57)&gt;100%,100%,(#REF!-C57)/(D57-C57)))</f>
        <v>#REF!</v>
      </c>
      <c r="F57" s="256">
        <v>46069</v>
      </c>
      <c r="G57" s="218"/>
      <c r="H57" s="381" t="e">
        <f>IF((#REF!-F57)/(G57-F57)&lt;0,0,IF((#REF!-F57)/(G57-F57)&gt;100%,100%,(#REF!-F57)/(G57-F57)))</f>
        <v>#REF!</v>
      </c>
      <c r="I57" s="219" t="e">
        <f t="shared" si="7"/>
        <v>#REF!</v>
      </c>
      <c r="J57" s="49">
        <f t="shared" si="21"/>
        <v>0</v>
      </c>
      <c r="K57" s="50">
        <f t="shared" si="21"/>
        <v>0</v>
      </c>
      <c r="L57" s="49">
        <f t="shared" si="18"/>
        <v>0</v>
      </c>
      <c r="M57" s="49">
        <f t="shared" ref="M57:W66" si="22">+IF(M$3&gt;=$C57,IF(M$3&lt;=$D57,1,0),0)</f>
        <v>1</v>
      </c>
      <c r="N57" s="49">
        <f t="shared" si="22"/>
        <v>1</v>
      </c>
      <c r="O57" s="49">
        <f t="shared" si="22"/>
        <v>1</v>
      </c>
      <c r="P57" s="49">
        <f t="shared" si="22"/>
        <v>0</v>
      </c>
      <c r="Q57" s="49">
        <f t="shared" si="22"/>
        <v>0</v>
      </c>
      <c r="R57" s="49">
        <f t="shared" si="22"/>
        <v>0</v>
      </c>
      <c r="S57" s="49">
        <f t="shared" si="22"/>
        <v>0</v>
      </c>
      <c r="T57" s="49">
        <f t="shared" si="22"/>
        <v>0</v>
      </c>
      <c r="U57" s="49">
        <f t="shared" si="22"/>
        <v>0</v>
      </c>
      <c r="V57" s="49">
        <f t="shared" si="22"/>
        <v>0</v>
      </c>
      <c r="W57" s="50">
        <f t="shared" si="22"/>
        <v>0</v>
      </c>
      <c r="X57" s="51">
        <f t="shared" si="20"/>
        <v>0</v>
      </c>
      <c r="Y57" s="49">
        <f t="shared" si="20"/>
        <v>0</v>
      </c>
      <c r="Z57" s="49">
        <f t="shared" si="20"/>
        <v>0</v>
      </c>
      <c r="AA57" s="49">
        <f t="shared" si="20"/>
        <v>0</v>
      </c>
      <c r="AB57" s="49">
        <f t="shared" si="20"/>
        <v>0</v>
      </c>
      <c r="AC57" s="49">
        <f t="shared" si="20"/>
        <v>0</v>
      </c>
      <c r="AD57" s="49">
        <f t="shared" si="20"/>
        <v>0</v>
      </c>
      <c r="AE57" s="49">
        <f t="shared" si="20"/>
        <v>0</v>
      </c>
      <c r="AF57" s="49">
        <f t="shared" si="20"/>
        <v>0</v>
      </c>
      <c r="AG57" s="49">
        <f t="shared" si="20"/>
        <v>0</v>
      </c>
      <c r="AH57" s="49">
        <f t="shared" si="20"/>
        <v>0</v>
      </c>
      <c r="AI57" s="50">
        <f t="shared" si="20"/>
        <v>0</v>
      </c>
      <c r="AJ57" s="106"/>
      <c r="AK57" s="106"/>
      <c r="AL57" s="107"/>
    </row>
    <row r="58" spans="1:38" s="30" customFormat="1" ht="16" hidden="1" outlineLevel="1">
      <c r="A58" s="108" t="s">
        <v>460</v>
      </c>
      <c r="B58" s="410" t="s">
        <v>270</v>
      </c>
      <c r="C58" s="260" t="s">
        <v>284</v>
      </c>
      <c r="D58" s="261" t="s">
        <v>284</v>
      </c>
      <c r="E58" s="378" t="e">
        <f>IF((#REF!-C58)/(D58-C58)&lt;0,0,IF((#REF!-C58)/(D58-C58)&gt;100%,100%,(#REF!-C58)/(D58-C58)))</f>
        <v>#REF!</v>
      </c>
      <c r="F58" s="260" t="s">
        <v>284</v>
      </c>
      <c r="G58" s="314" t="s">
        <v>284</v>
      </c>
      <c r="H58" s="378" t="e">
        <f>IF((#REF!-F58)/(G58-F58)&lt;0,0,IF((#REF!-F58)/(G58-F58)&gt;100%,100%,(#REF!-F58)/(G58-F58)))</f>
        <v>#REF!</v>
      </c>
      <c r="I58" s="222" t="e">
        <f t="shared" si="7"/>
        <v>#VALUE!</v>
      </c>
      <c r="J58" s="25">
        <f t="shared" si="21"/>
        <v>0</v>
      </c>
      <c r="K58" s="26">
        <f t="shared" si="21"/>
        <v>0</v>
      </c>
      <c r="L58" s="25">
        <f t="shared" si="18"/>
        <v>0</v>
      </c>
      <c r="M58" s="25">
        <f t="shared" si="22"/>
        <v>0</v>
      </c>
      <c r="N58" s="25">
        <f t="shared" si="22"/>
        <v>0</v>
      </c>
      <c r="O58" s="25">
        <f t="shared" si="22"/>
        <v>0</v>
      </c>
      <c r="P58" s="25">
        <f t="shared" si="22"/>
        <v>0</v>
      </c>
      <c r="Q58" s="25">
        <f t="shared" si="22"/>
        <v>0</v>
      </c>
      <c r="R58" s="25">
        <f t="shared" si="22"/>
        <v>0</v>
      </c>
      <c r="S58" s="25">
        <f t="shared" si="22"/>
        <v>0</v>
      </c>
      <c r="T58" s="25">
        <f t="shared" si="22"/>
        <v>0</v>
      </c>
      <c r="U58" s="25">
        <f t="shared" si="22"/>
        <v>0</v>
      </c>
      <c r="V58" s="25">
        <f t="shared" si="22"/>
        <v>0</v>
      </c>
      <c r="W58" s="26">
        <f t="shared" si="22"/>
        <v>0</v>
      </c>
      <c r="X58" s="27">
        <f t="shared" ref="X58:AI67" si="23">+IF(X$3&gt;=$C58,IF(X$3&lt;=$D58,1,0),0)</f>
        <v>0</v>
      </c>
      <c r="Y58" s="25">
        <f t="shared" si="23"/>
        <v>0</v>
      </c>
      <c r="Z58" s="25">
        <f t="shared" si="23"/>
        <v>0</v>
      </c>
      <c r="AA58" s="25">
        <f t="shared" si="23"/>
        <v>0</v>
      </c>
      <c r="AB58" s="25">
        <f t="shared" si="23"/>
        <v>0</v>
      </c>
      <c r="AC58" s="25">
        <f t="shared" si="23"/>
        <v>0</v>
      </c>
      <c r="AD58" s="25">
        <f t="shared" si="23"/>
        <v>0</v>
      </c>
      <c r="AE58" s="25">
        <f t="shared" si="23"/>
        <v>0</v>
      </c>
      <c r="AF58" s="25">
        <f t="shared" si="23"/>
        <v>0</v>
      </c>
      <c r="AG58" s="25">
        <f t="shared" si="23"/>
        <v>0</v>
      </c>
      <c r="AH58" s="25">
        <f t="shared" si="23"/>
        <v>0</v>
      </c>
      <c r="AI58" s="26">
        <f t="shared" si="23"/>
        <v>0</v>
      </c>
      <c r="AJ58" s="91"/>
      <c r="AK58" s="91"/>
      <c r="AL58" s="92"/>
    </row>
    <row r="59" spans="1:38" s="30" customFormat="1" ht="16" hidden="1" outlineLevel="1">
      <c r="A59" s="108" t="s">
        <v>461</v>
      </c>
      <c r="B59" s="410" t="s">
        <v>271</v>
      </c>
      <c r="C59" s="260" t="s">
        <v>284</v>
      </c>
      <c r="D59" s="261" t="s">
        <v>284</v>
      </c>
      <c r="E59" s="378" t="e">
        <f>IF((#REF!-C59)/(D59-C59)&lt;0,0,IF((#REF!-C59)/(D59-C59)&gt;100%,100%,(#REF!-C59)/(D59-C59)))</f>
        <v>#REF!</v>
      </c>
      <c r="F59" s="260" t="s">
        <v>284</v>
      </c>
      <c r="G59" s="314" t="s">
        <v>284</v>
      </c>
      <c r="H59" s="378" t="e">
        <f>IF((#REF!-F59)/(G59-F59)&lt;0,0,IF((#REF!-F59)/(G59-F59)&gt;100%,100%,(#REF!-F59)/(G59-F59)))</f>
        <v>#REF!</v>
      </c>
      <c r="I59" s="222" t="e">
        <f t="shared" si="7"/>
        <v>#VALUE!</v>
      </c>
      <c r="J59" s="25">
        <f t="shared" si="21"/>
        <v>0</v>
      </c>
      <c r="K59" s="26">
        <f t="shared" si="21"/>
        <v>0</v>
      </c>
      <c r="L59" s="25">
        <f t="shared" si="18"/>
        <v>0</v>
      </c>
      <c r="M59" s="25">
        <f t="shared" si="22"/>
        <v>0</v>
      </c>
      <c r="N59" s="25">
        <f t="shared" si="22"/>
        <v>0</v>
      </c>
      <c r="O59" s="25">
        <f t="shared" si="22"/>
        <v>0</v>
      </c>
      <c r="P59" s="25">
        <f t="shared" si="22"/>
        <v>0</v>
      </c>
      <c r="Q59" s="25">
        <f t="shared" si="22"/>
        <v>0</v>
      </c>
      <c r="R59" s="25">
        <f t="shared" si="22"/>
        <v>0</v>
      </c>
      <c r="S59" s="25">
        <f t="shared" si="22"/>
        <v>0</v>
      </c>
      <c r="T59" s="25">
        <f t="shared" si="22"/>
        <v>0</v>
      </c>
      <c r="U59" s="25">
        <f t="shared" si="22"/>
        <v>0</v>
      </c>
      <c r="V59" s="25">
        <f t="shared" si="22"/>
        <v>0</v>
      </c>
      <c r="W59" s="26">
        <f t="shared" si="22"/>
        <v>0</v>
      </c>
      <c r="X59" s="27">
        <f t="shared" si="23"/>
        <v>0</v>
      </c>
      <c r="Y59" s="25">
        <f t="shared" si="23"/>
        <v>0</v>
      </c>
      <c r="Z59" s="25">
        <f t="shared" si="23"/>
        <v>0</v>
      </c>
      <c r="AA59" s="25">
        <f t="shared" si="23"/>
        <v>0</v>
      </c>
      <c r="AB59" s="25">
        <f t="shared" si="23"/>
        <v>0</v>
      </c>
      <c r="AC59" s="25">
        <f t="shared" si="23"/>
        <v>0</v>
      </c>
      <c r="AD59" s="25">
        <f t="shared" si="23"/>
        <v>0</v>
      </c>
      <c r="AE59" s="25">
        <f t="shared" si="23"/>
        <v>0</v>
      </c>
      <c r="AF59" s="25">
        <f t="shared" si="23"/>
        <v>0</v>
      </c>
      <c r="AG59" s="25">
        <f t="shared" si="23"/>
        <v>0</v>
      </c>
      <c r="AH59" s="25">
        <f t="shared" si="23"/>
        <v>0</v>
      </c>
      <c r="AI59" s="26">
        <f t="shared" si="23"/>
        <v>0</v>
      </c>
      <c r="AJ59" s="91"/>
      <c r="AK59" s="91"/>
      <c r="AL59" s="92"/>
    </row>
    <row r="60" spans="1:38" s="361" customFormat="1" outlineLevel="1">
      <c r="A60" s="205" t="s">
        <v>462</v>
      </c>
      <c r="B60" s="409" t="s">
        <v>272</v>
      </c>
      <c r="C60" s="260">
        <v>46069</v>
      </c>
      <c r="D60" s="261">
        <v>46142</v>
      </c>
      <c r="F60" s="260">
        <v>46069</v>
      </c>
      <c r="G60" s="233"/>
      <c r="H60" s="378" t="e">
        <f>IF((#REF!-F60)/(G60-F60)&lt;0,0,IF((#REF!-F60)/(G60-F60)&gt;100%,100%,(#REF!-F60)/(G60-F60)))</f>
        <v>#REF!</v>
      </c>
      <c r="I60" s="222" t="e">
        <f>(D60-C60)/100%*(H60-E32)</f>
        <v>#REF!</v>
      </c>
      <c r="J60" s="356">
        <f t="shared" si="21"/>
        <v>0</v>
      </c>
      <c r="K60" s="357">
        <f t="shared" si="21"/>
        <v>0</v>
      </c>
      <c r="L60" s="356">
        <f t="shared" si="18"/>
        <v>0</v>
      </c>
      <c r="M60" s="356">
        <f t="shared" si="22"/>
        <v>1</v>
      </c>
      <c r="N60" s="356">
        <f t="shared" si="22"/>
        <v>1</v>
      </c>
      <c r="O60" s="356">
        <f t="shared" si="22"/>
        <v>1</v>
      </c>
      <c r="P60" s="356">
        <f t="shared" si="22"/>
        <v>0</v>
      </c>
      <c r="Q60" s="356">
        <f t="shared" si="22"/>
        <v>0</v>
      </c>
      <c r="R60" s="356">
        <f t="shared" si="22"/>
        <v>0</v>
      </c>
      <c r="S60" s="356">
        <f t="shared" si="22"/>
        <v>0</v>
      </c>
      <c r="T60" s="356">
        <f t="shared" si="22"/>
        <v>0</v>
      </c>
      <c r="U60" s="356">
        <f t="shared" si="22"/>
        <v>0</v>
      </c>
      <c r="V60" s="356">
        <f t="shared" si="22"/>
        <v>0</v>
      </c>
      <c r="W60" s="357">
        <f t="shared" si="22"/>
        <v>0</v>
      </c>
      <c r="X60" s="358">
        <f t="shared" si="23"/>
        <v>0</v>
      </c>
      <c r="Y60" s="356">
        <f t="shared" si="23"/>
        <v>0</v>
      </c>
      <c r="Z60" s="356">
        <f t="shared" si="23"/>
        <v>0</v>
      </c>
      <c r="AA60" s="356">
        <f t="shared" si="23"/>
        <v>0</v>
      </c>
      <c r="AB60" s="356">
        <f t="shared" si="23"/>
        <v>0</v>
      </c>
      <c r="AC60" s="356">
        <f t="shared" si="23"/>
        <v>0</v>
      </c>
      <c r="AD60" s="356">
        <f t="shared" si="23"/>
        <v>0</v>
      </c>
      <c r="AE60" s="356">
        <f t="shared" si="23"/>
        <v>0</v>
      </c>
      <c r="AF60" s="356">
        <f t="shared" si="23"/>
        <v>0</v>
      </c>
      <c r="AG60" s="356">
        <f t="shared" si="23"/>
        <v>0</v>
      </c>
      <c r="AH60" s="356">
        <f t="shared" si="23"/>
        <v>0</v>
      </c>
      <c r="AI60" s="357">
        <f t="shared" si="23"/>
        <v>0</v>
      </c>
      <c r="AJ60" s="359"/>
      <c r="AK60" s="359"/>
      <c r="AL60" s="360"/>
    </row>
    <row r="61" spans="1:38" s="361" customFormat="1" hidden="1" outlineLevel="1">
      <c r="A61" s="205" t="s">
        <v>463</v>
      </c>
      <c r="B61" s="409" t="s">
        <v>273</v>
      </c>
      <c r="C61" s="260" t="s">
        <v>284</v>
      </c>
      <c r="D61" s="261" t="s">
        <v>284</v>
      </c>
      <c r="E61" s="378" t="e">
        <f>IF((#REF!-C61)/(D61-C61)&lt;0,0,IF((#REF!-C61)/(D61-C61)&gt;100%,100%,(#REF!-C61)/(D61-C61)))</f>
        <v>#REF!</v>
      </c>
      <c r="F61" s="260" t="s">
        <v>284</v>
      </c>
      <c r="G61" s="314" t="s">
        <v>284</v>
      </c>
      <c r="H61" s="378" t="e">
        <f>IF((#REF!-F61)/(G61-F61)&lt;0,0,IF((#REF!-F61)/(G61-F61)&gt;100%,100%,(#REF!-F61)/(G61-F61)))</f>
        <v>#REF!</v>
      </c>
      <c r="I61" s="222" t="e">
        <f t="shared" si="7"/>
        <v>#VALUE!</v>
      </c>
      <c r="J61" s="356">
        <f t="shared" si="21"/>
        <v>0</v>
      </c>
      <c r="K61" s="357">
        <f t="shared" si="21"/>
        <v>0</v>
      </c>
      <c r="L61" s="356">
        <f t="shared" si="18"/>
        <v>0</v>
      </c>
      <c r="M61" s="356">
        <f t="shared" si="22"/>
        <v>0</v>
      </c>
      <c r="N61" s="356">
        <f t="shared" si="22"/>
        <v>0</v>
      </c>
      <c r="O61" s="356">
        <f t="shared" si="22"/>
        <v>0</v>
      </c>
      <c r="P61" s="356">
        <f t="shared" si="22"/>
        <v>0</v>
      </c>
      <c r="Q61" s="356">
        <f t="shared" si="22"/>
        <v>0</v>
      </c>
      <c r="R61" s="356">
        <f t="shared" si="22"/>
        <v>0</v>
      </c>
      <c r="S61" s="356">
        <f t="shared" si="22"/>
        <v>0</v>
      </c>
      <c r="T61" s="356">
        <f t="shared" si="22"/>
        <v>0</v>
      </c>
      <c r="U61" s="356">
        <f t="shared" si="22"/>
        <v>0</v>
      </c>
      <c r="V61" s="356">
        <f t="shared" si="22"/>
        <v>0</v>
      </c>
      <c r="W61" s="357">
        <f t="shared" si="22"/>
        <v>0</v>
      </c>
      <c r="X61" s="358">
        <f t="shared" si="23"/>
        <v>0</v>
      </c>
      <c r="Y61" s="356">
        <f t="shared" si="23"/>
        <v>0</v>
      </c>
      <c r="Z61" s="356">
        <f t="shared" si="23"/>
        <v>0</v>
      </c>
      <c r="AA61" s="356">
        <f t="shared" si="23"/>
        <v>0</v>
      </c>
      <c r="AB61" s="356">
        <f t="shared" si="23"/>
        <v>0</v>
      </c>
      <c r="AC61" s="356">
        <f t="shared" si="23"/>
        <v>0</v>
      </c>
      <c r="AD61" s="356">
        <f t="shared" si="23"/>
        <v>0</v>
      </c>
      <c r="AE61" s="356">
        <f t="shared" si="23"/>
        <v>0</v>
      </c>
      <c r="AF61" s="356">
        <f t="shared" si="23"/>
        <v>0</v>
      </c>
      <c r="AG61" s="356">
        <f t="shared" si="23"/>
        <v>0</v>
      </c>
      <c r="AH61" s="356">
        <f t="shared" si="23"/>
        <v>0</v>
      </c>
      <c r="AI61" s="357">
        <f t="shared" si="23"/>
        <v>0</v>
      </c>
      <c r="AJ61" s="359"/>
      <c r="AK61" s="359"/>
      <c r="AL61" s="360"/>
    </row>
    <row r="62" spans="1:38" s="361" customFormat="1" hidden="1" outlineLevel="1">
      <c r="A62" s="205" t="s">
        <v>464</v>
      </c>
      <c r="B62" s="409" t="s">
        <v>274</v>
      </c>
      <c r="C62" s="260" t="s">
        <v>284</v>
      </c>
      <c r="D62" s="261" t="s">
        <v>284</v>
      </c>
      <c r="E62" s="378" t="e">
        <f>IF((#REF!-C62)/(D62-C62)&lt;0,0,IF((#REF!-C62)/(D62-C62)&gt;100%,100%,(#REF!-C62)/(D62-C62)))</f>
        <v>#REF!</v>
      </c>
      <c r="F62" s="260" t="s">
        <v>284</v>
      </c>
      <c r="G62" s="233" t="s">
        <v>284</v>
      </c>
      <c r="H62" s="378" t="e">
        <f>IF((#REF!-F62)/(G62-F62)&lt;0,0,IF((#REF!-F62)/(G62-F62)&gt;100%,100%,(#REF!-F62)/(G62-F62)))</f>
        <v>#REF!</v>
      </c>
      <c r="I62" s="222" t="e">
        <f t="shared" si="7"/>
        <v>#VALUE!</v>
      </c>
      <c r="J62" s="356">
        <f t="shared" si="21"/>
        <v>0</v>
      </c>
      <c r="K62" s="357">
        <f t="shared" si="21"/>
        <v>0</v>
      </c>
      <c r="L62" s="356">
        <f t="shared" si="18"/>
        <v>0</v>
      </c>
      <c r="M62" s="356">
        <f t="shared" si="22"/>
        <v>0</v>
      </c>
      <c r="N62" s="356">
        <f t="shared" si="22"/>
        <v>0</v>
      </c>
      <c r="O62" s="356">
        <f t="shared" si="22"/>
        <v>0</v>
      </c>
      <c r="P62" s="356">
        <f t="shared" si="22"/>
        <v>0</v>
      </c>
      <c r="Q62" s="356">
        <f t="shared" si="22"/>
        <v>0</v>
      </c>
      <c r="R62" s="356">
        <f t="shared" si="22"/>
        <v>0</v>
      </c>
      <c r="S62" s="356">
        <f t="shared" si="22"/>
        <v>0</v>
      </c>
      <c r="T62" s="356">
        <f t="shared" si="22"/>
        <v>0</v>
      </c>
      <c r="U62" s="356">
        <f t="shared" si="22"/>
        <v>0</v>
      </c>
      <c r="V62" s="356">
        <f t="shared" si="22"/>
        <v>0</v>
      </c>
      <c r="W62" s="357">
        <f t="shared" si="22"/>
        <v>0</v>
      </c>
      <c r="X62" s="358">
        <f t="shared" si="23"/>
        <v>0</v>
      </c>
      <c r="Y62" s="356">
        <f t="shared" si="23"/>
        <v>0</v>
      </c>
      <c r="Z62" s="356">
        <f t="shared" si="23"/>
        <v>0</v>
      </c>
      <c r="AA62" s="356">
        <f t="shared" si="23"/>
        <v>0</v>
      </c>
      <c r="AB62" s="356">
        <f t="shared" si="23"/>
        <v>0</v>
      </c>
      <c r="AC62" s="356">
        <f t="shared" si="23"/>
        <v>0</v>
      </c>
      <c r="AD62" s="356">
        <f t="shared" si="23"/>
        <v>0</v>
      </c>
      <c r="AE62" s="356">
        <f t="shared" si="23"/>
        <v>0</v>
      </c>
      <c r="AF62" s="356">
        <f t="shared" si="23"/>
        <v>0</v>
      </c>
      <c r="AG62" s="356">
        <f t="shared" si="23"/>
        <v>0</v>
      </c>
      <c r="AH62" s="356">
        <f t="shared" si="23"/>
        <v>0</v>
      </c>
      <c r="AI62" s="357">
        <f t="shared" si="23"/>
        <v>0</v>
      </c>
      <c r="AJ62" s="359"/>
      <c r="AK62" s="359"/>
      <c r="AL62" s="360"/>
    </row>
    <row r="63" spans="1:38" s="361" customFormat="1" hidden="1" outlineLevel="1">
      <c r="A63" s="205" t="s">
        <v>465</v>
      </c>
      <c r="B63" s="409" t="s">
        <v>275</v>
      </c>
      <c r="C63" s="260" t="s">
        <v>284</v>
      </c>
      <c r="D63" s="261" t="s">
        <v>284</v>
      </c>
      <c r="E63" s="378" t="e">
        <f>IF((#REF!-C63)/(D63-C63)&lt;0,0,IF((#REF!-C63)/(D63-C63)&gt;100%,100%,(#REF!-C63)/(D63-C63)))</f>
        <v>#REF!</v>
      </c>
      <c r="F63" s="260" t="s">
        <v>284</v>
      </c>
      <c r="G63" s="314" t="s">
        <v>284</v>
      </c>
      <c r="H63" s="378" t="e">
        <f>IF((#REF!-F63)/(G63-F63)&lt;0,0,IF((#REF!-F63)/(G63-F63)&gt;100%,100%,(#REF!-F63)/(G63-F63)))</f>
        <v>#REF!</v>
      </c>
      <c r="I63" s="222" t="e">
        <f t="shared" si="7"/>
        <v>#VALUE!</v>
      </c>
      <c r="J63" s="356">
        <f t="shared" si="21"/>
        <v>0</v>
      </c>
      <c r="K63" s="357">
        <f t="shared" si="21"/>
        <v>0</v>
      </c>
      <c r="L63" s="356">
        <f t="shared" si="18"/>
        <v>0</v>
      </c>
      <c r="M63" s="356">
        <f t="shared" si="22"/>
        <v>0</v>
      </c>
      <c r="N63" s="356">
        <f t="shared" si="22"/>
        <v>0</v>
      </c>
      <c r="O63" s="356">
        <f t="shared" si="22"/>
        <v>0</v>
      </c>
      <c r="P63" s="356">
        <f t="shared" si="22"/>
        <v>0</v>
      </c>
      <c r="Q63" s="356">
        <f t="shared" si="22"/>
        <v>0</v>
      </c>
      <c r="R63" s="356">
        <f t="shared" si="22"/>
        <v>0</v>
      </c>
      <c r="S63" s="356">
        <f t="shared" si="22"/>
        <v>0</v>
      </c>
      <c r="T63" s="356">
        <f t="shared" si="22"/>
        <v>0</v>
      </c>
      <c r="U63" s="356">
        <f t="shared" si="22"/>
        <v>0</v>
      </c>
      <c r="V63" s="356">
        <f t="shared" si="22"/>
        <v>0</v>
      </c>
      <c r="W63" s="357">
        <f t="shared" si="22"/>
        <v>0</v>
      </c>
      <c r="X63" s="358">
        <f t="shared" si="23"/>
        <v>0</v>
      </c>
      <c r="Y63" s="356">
        <f t="shared" si="23"/>
        <v>0</v>
      </c>
      <c r="Z63" s="356">
        <f t="shared" si="23"/>
        <v>0</v>
      </c>
      <c r="AA63" s="356">
        <f t="shared" si="23"/>
        <v>0</v>
      </c>
      <c r="AB63" s="356">
        <f t="shared" si="23"/>
        <v>0</v>
      </c>
      <c r="AC63" s="356">
        <f t="shared" si="23"/>
        <v>0</v>
      </c>
      <c r="AD63" s="356">
        <f t="shared" si="23"/>
        <v>0</v>
      </c>
      <c r="AE63" s="356">
        <f t="shared" si="23"/>
        <v>0</v>
      </c>
      <c r="AF63" s="356">
        <f t="shared" si="23"/>
        <v>0</v>
      </c>
      <c r="AG63" s="356">
        <f t="shared" si="23"/>
        <v>0</v>
      </c>
      <c r="AH63" s="356">
        <f t="shared" si="23"/>
        <v>0</v>
      </c>
      <c r="AI63" s="357">
        <f t="shared" si="23"/>
        <v>0</v>
      </c>
      <c r="AJ63" s="359"/>
      <c r="AK63" s="359"/>
      <c r="AL63" s="360"/>
    </row>
    <row r="64" spans="1:38" s="361" customFormat="1" outlineLevel="1">
      <c r="A64" s="205" t="s">
        <v>466</v>
      </c>
      <c r="B64" s="409" t="s">
        <v>276</v>
      </c>
      <c r="C64" s="260">
        <v>46069</v>
      </c>
      <c r="D64" s="261">
        <v>46142</v>
      </c>
      <c r="E64" s="378" t="e">
        <f>IF((#REF!-C64)/(D64-C64)&lt;0,0,IF((#REF!-C64)/(D64-C64)&gt;100%,100%,(#REF!-C64)/(D64-C64)))</f>
        <v>#REF!</v>
      </c>
      <c r="F64" s="260">
        <v>46069</v>
      </c>
      <c r="G64" s="233"/>
      <c r="H64" s="378" t="e">
        <f>IF((#REF!-F64)/(G64-F64)&lt;0,0,IF((#REF!-F64)/(G64-F64)&gt;100%,100%,(#REF!-F64)/(G64-F64)))</f>
        <v>#REF!</v>
      </c>
      <c r="I64" s="222" t="e">
        <f t="shared" si="7"/>
        <v>#REF!</v>
      </c>
      <c r="J64" s="356">
        <f t="shared" si="21"/>
        <v>0</v>
      </c>
      <c r="K64" s="357">
        <f t="shared" si="21"/>
        <v>0</v>
      </c>
      <c r="L64" s="356">
        <f t="shared" si="18"/>
        <v>0</v>
      </c>
      <c r="M64" s="356">
        <f t="shared" si="22"/>
        <v>1</v>
      </c>
      <c r="N64" s="356">
        <f t="shared" si="22"/>
        <v>1</v>
      </c>
      <c r="O64" s="356">
        <f t="shared" si="22"/>
        <v>1</v>
      </c>
      <c r="P64" s="356">
        <f t="shared" si="22"/>
        <v>0</v>
      </c>
      <c r="Q64" s="356">
        <f t="shared" si="22"/>
        <v>0</v>
      </c>
      <c r="R64" s="356">
        <f t="shared" si="22"/>
        <v>0</v>
      </c>
      <c r="S64" s="356">
        <f t="shared" si="22"/>
        <v>0</v>
      </c>
      <c r="T64" s="356">
        <f t="shared" si="22"/>
        <v>0</v>
      </c>
      <c r="U64" s="356">
        <f t="shared" si="22"/>
        <v>0</v>
      </c>
      <c r="V64" s="356">
        <f t="shared" si="22"/>
        <v>0</v>
      </c>
      <c r="W64" s="357">
        <f t="shared" si="22"/>
        <v>0</v>
      </c>
      <c r="X64" s="358">
        <f t="shared" si="23"/>
        <v>0</v>
      </c>
      <c r="Y64" s="356">
        <f t="shared" si="23"/>
        <v>0</v>
      </c>
      <c r="Z64" s="356">
        <f t="shared" si="23"/>
        <v>0</v>
      </c>
      <c r="AA64" s="356">
        <f t="shared" si="23"/>
        <v>0</v>
      </c>
      <c r="AB64" s="356">
        <f t="shared" si="23"/>
        <v>0</v>
      </c>
      <c r="AC64" s="356">
        <f t="shared" si="23"/>
        <v>0</v>
      </c>
      <c r="AD64" s="356">
        <f t="shared" si="23"/>
        <v>0</v>
      </c>
      <c r="AE64" s="356">
        <f t="shared" si="23"/>
        <v>0</v>
      </c>
      <c r="AF64" s="356">
        <f t="shared" si="23"/>
        <v>0</v>
      </c>
      <c r="AG64" s="356">
        <f t="shared" si="23"/>
        <v>0</v>
      </c>
      <c r="AH64" s="356">
        <f t="shared" si="23"/>
        <v>0</v>
      </c>
      <c r="AI64" s="357">
        <f t="shared" si="23"/>
        <v>0</v>
      </c>
      <c r="AJ64" s="359"/>
      <c r="AK64" s="359"/>
      <c r="AL64" s="360"/>
    </row>
    <row r="65" spans="1:38" s="30" customFormat="1" ht="16" hidden="1" outlineLevel="1">
      <c r="A65" s="108" t="s">
        <v>467</v>
      </c>
      <c r="B65" s="410" t="s">
        <v>277</v>
      </c>
      <c r="C65" s="260" t="s">
        <v>284</v>
      </c>
      <c r="D65" s="261" t="s">
        <v>284</v>
      </c>
      <c r="E65" s="378" t="e">
        <f>IF((#REF!-C65)/(D65-C65)&lt;0,0,IF((#REF!-C65)/(D65-C65)&gt;100%,100%,(#REF!-C65)/(D65-C65)))</f>
        <v>#REF!</v>
      </c>
      <c r="F65" s="260" t="s">
        <v>284</v>
      </c>
      <c r="G65" s="314" t="s">
        <v>284</v>
      </c>
      <c r="H65" s="378" t="e">
        <f>IF((#REF!-F65)/(G65-F65)&lt;0,0,IF((#REF!-F65)/(G65-F65)&gt;100%,100%,(#REF!-F65)/(G65-F65)))</f>
        <v>#REF!</v>
      </c>
      <c r="I65" s="222" t="e">
        <f t="shared" si="7"/>
        <v>#VALUE!</v>
      </c>
      <c r="J65" s="25">
        <f t="shared" si="21"/>
        <v>0</v>
      </c>
      <c r="K65" s="26">
        <f t="shared" si="21"/>
        <v>0</v>
      </c>
      <c r="L65" s="25">
        <f t="shared" si="18"/>
        <v>0</v>
      </c>
      <c r="M65" s="25">
        <f t="shared" si="22"/>
        <v>0</v>
      </c>
      <c r="N65" s="25">
        <f t="shared" si="22"/>
        <v>0</v>
      </c>
      <c r="O65" s="25">
        <f t="shared" si="22"/>
        <v>0</v>
      </c>
      <c r="P65" s="25">
        <f t="shared" si="22"/>
        <v>0</v>
      </c>
      <c r="Q65" s="25">
        <f t="shared" si="22"/>
        <v>0</v>
      </c>
      <c r="R65" s="25">
        <f t="shared" si="22"/>
        <v>0</v>
      </c>
      <c r="S65" s="25">
        <f t="shared" si="22"/>
        <v>0</v>
      </c>
      <c r="T65" s="25">
        <f t="shared" si="22"/>
        <v>0</v>
      </c>
      <c r="U65" s="25">
        <f t="shared" si="22"/>
        <v>0</v>
      </c>
      <c r="V65" s="25">
        <f t="shared" si="22"/>
        <v>0</v>
      </c>
      <c r="W65" s="26">
        <f t="shared" si="22"/>
        <v>0</v>
      </c>
      <c r="X65" s="27">
        <f t="shared" si="23"/>
        <v>0</v>
      </c>
      <c r="Y65" s="25">
        <f t="shared" si="23"/>
        <v>0</v>
      </c>
      <c r="Z65" s="25">
        <f t="shared" si="23"/>
        <v>0</v>
      </c>
      <c r="AA65" s="25">
        <f t="shared" si="23"/>
        <v>0</v>
      </c>
      <c r="AB65" s="25">
        <f t="shared" si="23"/>
        <v>0</v>
      </c>
      <c r="AC65" s="25">
        <f t="shared" si="23"/>
        <v>0</v>
      </c>
      <c r="AD65" s="25">
        <f t="shared" si="23"/>
        <v>0</v>
      </c>
      <c r="AE65" s="25">
        <f t="shared" si="23"/>
        <v>0</v>
      </c>
      <c r="AF65" s="25">
        <f t="shared" si="23"/>
        <v>0</v>
      </c>
      <c r="AG65" s="25">
        <f t="shared" si="23"/>
        <v>0</v>
      </c>
      <c r="AH65" s="25">
        <f t="shared" si="23"/>
        <v>0</v>
      </c>
      <c r="AI65" s="26">
        <f t="shared" si="23"/>
        <v>0</v>
      </c>
      <c r="AJ65" s="91"/>
      <c r="AK65" s="91"/>
      <c r="AL65" s="92"/>
    </row>
    <row r="66" spans="1:38" s="30" customFormat="1" ht="16" hidden="1" outlineLevel="1">
      <c r="A66" s="108" t="s">
        <v>468</v>
      </c>
      <c r="B66" s="410" t="s">
        <v>278</v>
      </c>
      <c r="C66" s="260" t="s">
        <v>284</v>
      </c>
      <c r="D66" s="261" t="s">
        <v>284</v>
      </c>
      <c r="E66" s="378" t="e">
        <f>IF((#REF!-C66)/(D66-C66)&lt;0,0,IF((#REF!-C66)/(D66-C66)&gt;100%,100%,(#REF!-C66)/(D66-C66)))</f>
        <v>#REF!</v>
      </c>
      <c r="F66" s="260" t="s">
        <v>284</v>
      </c>
      <c r="G66" s="314" t="s">
        <v>284</v>
      </c>
      <c r="H66" s="378" t="e">
        <f>IF((#REF!-F66)/(G66-F66)&lt;0,0,IF((#REF!-F66)/(G66-F66)&gt;100%,100%,(#REF!-F66)/(G66-F66)))</f>
        <v>#REF!</v>
      </c>
      <c r="I66" s="222" t="e">
        <f t="shared" si="7"/>
        <v>#VALUE!</v>
      </c>
      <c r="J66" s="25">
        <f t="shared" si="21"/>
        <v>0</v>
      </c>
      <c r="K66" s="26">
        <f t="shared" si="21"/>
        <v>0</v>
      </c>
      <c r="L66" s="25">
        <f t="shared" si="18"/>
        <v>0</v>
      </c>
      <c r="M66" s="25">
        <f t="shared" si="22"/>
        <v>0</v>
      </c>
      <c r="N66" s="25">
        <f t="shared" si="22"/>
        <v>0</v>
      </c>
      <c r="O66" s="25">
        <f t="shared" si="22"/>
        <v>0</v>
      </c>
      <c r="P66" s="25">
        <f t="shared" si="22"/>
        <v>0</v>
      </c>
      <c r="Q66" s="25">
        <f t="shared" si="22"/>
        <v>0</v>
      </c>
      <c r="R66" s="25">
        <f t="shared" si="22"/>
        <v>0</v>
      </c>
      <c r="S66" s="25">
        <f t="shared" si="22"/>
        <v>0</v>
      </c>
      <c r="T66" s="25">
        <f t="shared" si="22"/>
        <v>0</v>
      </c>
      <c r="U66" s="25">
        <f t="shared" si="22"/>
        <v>0</v>
      </c>
      <c r="V66" s="25">
        <f t="shared" si="22"/>
        <v>0</v>
      </c>
      <c r="W66" s="26">
        <f t="shared" si="22"/>
        <v>0</v>
      </c>
      <c r="X66" s="27">
        <f t="shared" si="23"/>
        <v>0</v>
      </c>
      <c r="Y66" s="25">
        <f t="shared" si="23"/>
        <v>0</v>
      </c>
      <c r="Z66" s="25">
        <f t="shared" si="23"/>
        <v>0</v>
      </c>
      <c r="AA66" s="25">
        <f t="shared" si="23"/>
        <v>0</v>
      </c>
      <c r="AB66" s="25">
        <f t="shared" si="23"/>
        <v>0</v>
      </c>
      <c r="AC66" s="25">
        <f t="shared" si="23"/>
        <v>0</v>
      </c>
      <c r="AD66" s="25">
        <f t="shared" si="23"/>
        <v>0</v>
      </c>
      <c r="AE66" s="25">
        <f t="shared" si="23"/>
        <v>0</v>
      </c>
      <c r="AF66" s="25">
        <f t="shared" si="23"/>
        <v>0</v>
      </c>
      <c r="AG66" s="25">
        <f t="shared" si="23"/>
        <v>0</v>
      </c>
      <c r="AH66" s="25">
        <f t="shared" si="23"/>
        <v>0</v>
      </c>
      <c r="AI66" s="26">
        <f t="shared" si="23"/>
        <v>0</v>
      </c>
      <c r="AJ66" s="91"/>
      <c r="AK66" s="91"/>
      <c r="AL66" s="92"/>
    </row>
    <row r="67" spans="1:38" s="30" customFormat="1" ht="16">
      <c r="A67" s="109" t="s">
        <v>469</v>
      </c>
      <c r="B67" s="66" t="s">
        <v>288</v>
      </c>
      <c r="C67" s="256">
        <v>46097</v>
      </c>
      <c r="D67" s="257">
        <v>46142</v>
      </c>
      <c r="E67" s="381" t="e">
        <f>IF((#REF!-C67)/(D67-C67)&lt;0,0,IF((#REF!-C67)/(D67-C67)&gt;100%,100%,(#REF!-C67)/(D67-C67)))</f>
        <v>#REF!</v>
      </c>
      <c r="F67" s="258"/>
      <c r="G67" s="259"/>
      <c r="H67" s="381" t="e">
        <f>IF((#REF!-F67)/(G67-F67)&lt;0,0,IF((#REF!-F67)/(G67-F67)&gt;100%,100%,(#REF!-F67)/(G67-F67)))</f>
        <v>#REF!</v>
      </c>
      <c r="I67" s="219" t="e">
        <f t="shared" si="7"/>
        <v>#REF!</v>
      </c>
      <c r="J67" s="49">
        <f t="shared" si="21"/>
        <v>0</v>
      </c>
      <c r="K67" s="50">
        <f t="shared" si="21"/>
        <v>0</v>
      </c>
      <c r="L67" s="49">
        <f t="shared" si="18"/>
        <v>0</v>
      </c>
      <c r="M67" s="49">
        <f t="shared" ref="M67:W76" si="24">+IF(M$3&gt;=$C67,IF(M$3&lt;=$D67,1,0),0)</f>
        <v>0</v>
      </c>
      <c r="N67" s="49">
        <f t="shared" si="24"/>
        <v>1</v>
      </c>
      <c r="O67" s="49">
        <f t="shared" si="24"/>
        <v>1</v>
      </c>
      <c r="P67" s="49">
        <f t="shared" si="24"/>
        <v>0</v>
      </c>
      <c r="Q67" s="49">
        <f t="shared" si="24"/>
        <v>0</v>
      </c>
      <c r="R67" s="49">
        <f t="shared" si="24"/>
        <v>0</v>
      </c>
      <c r="S67" s="49">
        <f t="shared" si="24"/>
        <v>0</v>
      </c>
      <c r="T67" s="49">
        <f t="shared" si="24"/>
        <v>0</v>
      </c>
      <c r="U67" s="49">
        <f t="shared" si="24"/>
        <v>0</v>
      </c>
      <c r="V67" s="49">
        <f t="shared" si="24"/>
        <v>0</v>
      </c>
      <c r="W67" s="50">
        <f t="shared" si="24"/>
        <v>0</v>
      </c>
      <c r="X67" s="51">
        <f t="shared" si="23"/>
        <v>0</v>
      </c>
      <c r="Y67" s="49">
        <f t="shared" si="23"/>
        <v>0</v>
      </c>
      <c r="Z67" s="49">
        <f t="shared" si="23"/>
        <v>0</v>
      </c>
      <c r="AA67" s="49">
        <f t="shared" si="23"/>
        <v>0</v>
      </c>
      <c r="AB67" s="49">
        <f t="shared" si="23"/>
        <v>0</v>
      </c>
      <c r="AC67" s="49">
        <f t="shared" si="23"/>
        <v>0</v>
      </c>
      <c r="AD67" s="49">
        <f t="shared" si="23"/>
        <v>0</v>
      </c>
      <c r="AE67" s="49">
        <f t="shared" si="23"/>
        <v>0</v>
      </c>
      <c r="AF67" s="49">
        <f t="shared" si="23"/>
        <v>0</v>
      </c>
      <c r="AG67" s="49">
        <f t="shared" si="23"/>
        <v>0</v>
      </c>
      <c r="AH67" s="49">
        <f t="shared" si="23"/>
        <v>0</v>
      </c>
      <c r="AI67" s="50">
        <f t="shared" si="23"/>
        <v>0</v>
      </c>
      <c r="AJ67" s="106"/>
      <c r="AK67" s="106"/>
      <c r="AL67" s="107"/>
    </row>
    <row r="68" spans="1:38" s="30" customFormat="1" ht="16">
      <c r="A68" s="109" t="s">
        <v>470</v>
      </c>
      <c r="B68" s="66" t="s">
        <v>739</v>
      </c>
      <c r="C68" s="256">
        <v>46082</v>
      </c>
      <c r="D68" s="257">
        <v>46387</v>
      </c>
      <c r="E68" s="381" t="e">
        <f>IF((#REF!-C68)/(D68-C68)&lt;0,0,IF((#REF!-C68)/(D68-C68)&gt;100%,100%,(#REF!-C68)/(D68-C68)))</f>
        <v>#REF!</v>
      </c>
      <c r="F68" s="258"/>
      <c r="G68" s="259"/>
      <c r="H68" s="381" t="e">
        <f>IF((#REF!-F68)/(G68-F68)&lt;0,0,IF((#REF!-F68)/(G68-F68)&gt;100%,100%,(#REF!-F68)/(G68-F68)))</f>
        <v>#REF!</v>
      </c>
      <c r="I68" s="219" t="e">
        <f t="shared" si="7"/>
        <v>#REF!</v>
      </c>
      <c r="J68" s="49">
        <f t="shared" si="21"/>
        <v>0</v>
      </c>
      <c r="K68" s="50">
        <f t="shared" si="21"/>
        <v>0</v>
      </c>
      <c r="L68" s="49">
        <f t="shared" si="18"/>
        <v>0</v>
      </c>
      <c r="M68" s="49">
        <f t="shared" si="24"/>
        <v>0</v>
      </c>
      <c r="N68" s="49">
        <f t="shared" si="24"/>
        <v>1</v>
      </c>
      <c r="O68" s="49">
        <f t="shared" si="24"/>
        <v>1</v>
      </c>
      <c r="P68" s="49">
        <f t="shared" si="24"/>
        <v>1</v>
      </c>
      <c r="Q68" s="49">
        <f t="shared" si="24"/>
        <v>1</v>
      </c>
      <c r="R68" s="49">
        <f t="shared" si="24"/>
        <v>1</v>
      </c>
      <c r="S68" s="49">
        <f t="shared" si="24"/>
        <v>1</v>
      </c>
      <c r="T68" s="49">
        <f t="shared" si="24"/>
        <v>1</v>
      </c>
      <c r="U68" s="49">
        <f t="shared" si="24"/>
        <v>1</v>
      </c>
      <c r="V68" s="49">
        <f t="shared" si="24"/>
        <v>1</v>
      </c>
      <c r="W68" s="50">
        <f t="shared" si="24"/>
        <v>1</v>
      </c>
      <c r="X68" s="51">
        <f t="shared" ref="X68:AI77" si="25">+IF(X$3&gt;=$C68,IF(X$3&lt;=$D68,1,0),0)</f>
        <v>0</v>
      </c>
      <c r="Y68" s="49">
        <f t="shared" si="25"/>
        <v>0</v>
      </c>
      <c r="Z68" s="49">
        <f t="shared" si="25"/>
        <v>0</v>
      </c>
      <c r="AA68" s="49">
        <f t="shared" si="25"/>
        <v>0</v>
      </c>
      <c r="AB68" s="49">
        <f t="shared" si="25"/>
        <v>0</v>
      </c>
      <c r="AC68" s="49">
        <f t="shared" si="25"/>
        <v>0</v>
      </c>
      <c r="AD68" s="49">
        <f t="shared" si="25"/>
        <v>0</v>
      </c>
      <c r="AE68" s="49">
        <f t="shared" si="25"/>
        <v>0</v>
      </c>
      <c r="AF68" s="49">
        <f t="shared" si="25"/>
        <v>0</v>
      </c>
      <c r="AG68" s="49">
        <f t="shared" si="25"/>
        <v>0</v>
      </c>
      <c r="AH68" s="49">
        <f t="shared" si="25"/>
        <v>0</v>
      </c>
      <c r="AI68" s="50">
        <f t="shared" si="25"/>
        <v>0</v>
      </c>
      <c r="AJ68" s="106"/>
      <c r="AK68" s="106"/>
      <c r="AL68" s="107"/>
    </row>
    <row r="69" spans="1:38" ht="16">
      <c r="A69" s="110" t="s">
        <v>338</v>
      </c>
      <c r="B69" s="411" t="s">
        <v>104</v>
      </c>
      <c r="C69" s="315">
        <f>C70</f>
        <v>46045</v>
      </c>
      <c r="D69" s="316">
        <v>46112</v>
      </c>
      <c r="E69" s="380" t="e">
        <f>IF((#REF!-C69)/(D69-C69)&lt;0,0,IF((#REF!-C69)/(D69-C69)&gt;100%,100%,(#REF!-C69)/(D69-C69)))</f>
        <v>#REF!</v>
      </c>
      <c r="F69" s="317">
        <v>46045</v>
      </c>
      <c r="G69" s="318"/>
      <c r="H69" s="380" t="e">
        <f>IF((#REF!-F69)/(G69-F69)&lt;0,0,IF((#REF!-F69)/(G69-F69)&gt;100%,100%,(#REF!-F69)/(G69-F69)))</f>
        <v>#REF!</v>
      </c>
      <c r="I69" s="253" t="e">
        <f t="shared" si="7"/>
        <v>#REF!</v>
      </c>
      <c r="J69" s="25">
        <f t="shared" si="21"/>
        <v>0</v>
      </c>
      <c r="K69" s="26">
        <f t="shared" si="21"/>
        <v>0</v>
      </c>
      <c r="L69" s="25">
        <f t="shared" si="18"/>
        <v>1</v>
      </c>
      <c r="M69" s="25">
        <f t="shared" si="24"/>
        <v>1</v>
      </c>
      <c r="N69" s="25">
        <f t="shared" si="24"/>
        <v>1</v>
      </c>
      <c r="O69" s="25">
        <f t="shared" si="24"/>
        <v>0</v>
      </c>
      <c r="P69" s="25">
        <f t="shared" si="24"/>
        <v>0</v>
      </c>
      <c r="Q69" s="25">
        <f t="shared" si="24"/>
        <v>0</v>
      </c>
      <c r="R69" s="25">
        <f t="shared" si="24"/>
        <v>0</v>
      </c>
      <c r="S69" s="25">
        <f t="shared" si="24"/>
        <v>0</v>
      </c>
      <c r="T69" s="25">
        <f t="shared" si="24"/>
        <v>0</v>
      </c>
      <c r="U69" s="25">
        <f t="shared" si="24"/>
        <v>0</v>
      </c>
      <c r="V69" s="25">
        <f t="shared" si="24"/>
        <v>0</v>
      </c>
      <c r="W69" s="26">
        <f t="shared" si="24"/>
        <v>0</v>
      </c>
      <c r="X69" s="27">
        <f t="shared" si="25"/>
        <v>0</v>
      </c>
      <c r="Y69" s="25">
        <f t="shared" si="25"/>
        <v>0</v>
      </c>
      <c r="Z69" s="25">
        <f t="shared" si="25"/>
        <v>0</v>
      </c>
      <c r="AA69" s="25">
        <f t="shared" si="25"/>
        <v>0</v>
      </c>
      <c r="AB69" s="25">
        <f t="shared" si="25"/>
        <v>0</v>
      </c>
      <c r="AC69" s="25">
        <f t="shared" si="25"/>
        <v>0</v>
      </c>
      <c r="AD69" s="25">
        <f t="shared" si="25"/>
        <v>0</v>
      </c>
      <c r="AE69" s="25">
        <f t="shared" si="25"/>
        <v>0</v>
      </c>
      <c r="AF69" s="25">
        <f t="shared" si="25"/>
        <v>0</v>
      </c>
      <c r="AG69" s="25">
        <f t="shared" si="25"/>
        <v>0</v>
      </c>
      <c r="AH69" s="25">
        <f t="shared" si="25"/>
        <v>0</v>
      </c>
      <c r="AI69" s="26">
        <f t="shared" si="25"/>
        <v>0</v>
      </c>
      <c r="AJ69" s="111"/>
      <c r="AK69" s="111"/>
      <c r="AL69" s="112"/>
    </row>
    <row r="70" spans="1:38" ht="16" outlineLevel="1">
      <c r="A70" s="206" t="s">
        <v>471</v>
      </c>
      <c r="B70" s="409" t="s">
        <v>279</v>
      </c>
      <c r="C70" s="305">
        <v>46045</v>
      </c>
      <c r="D70" s="319">
        <v>46047</v>
      </c>
      <c r="E70" s="378" t="e">
        <f>IF((#REF!-C70)/(D70-C70)&lt;0,0,IF((#REF!-C70)/(D70-C70)&gt;100%,100%,(#REF!-C70)/(D70-C70)))</f>
        <v>#REF!</v>
      </c>
      <c r="F70" s="320">
        <v>46045</v>
      </c>
      <c r="G70" s="282"/>
      <c r="H70" s="378" t="e">
        <f>IF((#REF!-F70)/(G70-F70)&lt;0,0,IF((#REF!-F70)/(G70-F70)&gt;100%,100%,(#REF!-F70)/(G70-F70)))</f>
        <v>#REF!</v>
      </c>
      <c r="I70" s="222" t="e">
        <f t="shared" si="7"/>
        <v>#REF!</v>
      </c>
      <c r="J70" s="25">
        <f t="shared" si="21"/>
        <v>0</v>
      </c>
      <c r="K70" s="26">
        <f t="shared" si="21"/>
        <v>0</v>
      </c>
      <c r="L70" s="25">
        <f t="shared" si="18"/>
        <v>0</v>
      </c>
      <c r="M70" s="25">
        <f t="shared" si="24"/>
        <v>0</v>
      </c>
      <c r="N70" s="25">
        <f t="shared" si="24"/>
        <v>0</v>
      </c>
      <c r="O70" s="25">
        <f t="shared" si="24"/>
        <v>0</v>
      </c>
      <c r="P70" s="25">
        <f t="shared" si="24"/>
        <v>0</v>
      </c>
      <c r="Q70" s="25">
        <f t="shared" si="24"/>
        <v>0</v>
      </c>
      <c r="R70" s="25">
        <f t="shared" si="24"/>
        <v>0</v>
      </c>
      <c r="S70" s="25">
        <f t="shared" si="24"/>
        <v>0</v>
      </c>
      <c r="T70" s="25">
        <f t="shared" si="24"/>
        <v>0</v>
      </c>
      <c r="U70" s="25">
        <f t="shared" si="24"/>
        <v>0</v>
      </c>
      <c r="V70" s="25">
        <f t="shared" si="24"/>
        <v>0</v>
      </c>
      <c r="W70" s="26">
        <f t="shared" si="24"/>
        <v>0</v>
      </c>
      <c r="X70" s="27">
        <f t="shared" si="25"/>
        <v>0</v>
      </c>
      <c r="Y70" s="25">
        <f t="shared" si="25"/>
        <v>0</v>
      </c>
      <c r="Z70" s="25">
        <f t="shared" si="25"/>
        <v>0</v>
      </c>
      <c r="AA70" s="25">
        <f t="shared" si="25"/>
        <v>0</v>
      </c>
      <c r="AB70" s="25">
        <f t="shared" si="25"/>
        <v>0</v>
      </c>
      <c r="AC70" s="25">
        <f t="shared" si="25"/>
        <v>0</v>
      </c>
      <c r="AD70" s="25">
        <f t="shared" si="25"/>
        <v>0</v>
      </c>
      <c r="AE70" s="25">
        <f t="shared" si="25"/>
        <v>0</v>
      </c>
      <c r="AF70" s="25">
        <f t="shared" si="25"/>
        <v>0</v>
      </c>
      <c r="AG70" s="25">
        <f t="shared" si="25"/>
        <v>0</v>
      </c>
      <c r="AH70" s="25">
        <f t="shared" si="25"/>
        <v>0</v>
      </c>
      <c r="AI70" s="26">
        <f t="shared" si="25"/>
        <v>0</v>
      </c>
      <c r="AJ70" s="114"/>
      <c r="AK70" s="114"/>
      <c r="AL70" s="115"/>
    </row>
    <row r="71" spans="1:38" ht="16.75" customHeight="1" outlineLevel="1">
      <c r="A71" s="206" t="s">
        <v>472</v>
      </c>
      <c r="B71" s="409" t="s">
        <v>105</v>
      </c>
      <c r="C71" s="320">
        <f>D70</f>
        <v>46047</v>
      </c>
      <c r="D71" s="321">
        <v>46049</v>
      </c>
      <c r="E71" s="378" t="e">
        <f>IF((#REF!-C71)/(D71-C71)&lt;0,0,IF((#REF!-C71)/(D71-C71)&gt;100%,100%,(#REF!-C71)/(D71-C71)))</f>
        <v>#REF!</v>
      </c>
      <c r="F71" s="320">
        <v>46047</v>
      </c>
      <c r="G71" s="282"/>
      <c r="H71" s="378" t="e">
        <f>IF((#REF!-F71)/(G71-F71)&lt;0,0,IF((#REF!-F71)/(G71-F71)&gt;100%,100%,(#REF!-F71)/(G71-F71)))</f>
        <v>#REF!</v>
      </c>
      <c r="I71" s="222" t="e">
        <f t="shared" si="7"/>
        <v>#REF!</v>
      </c>
      <c r="J71" s="25">
        <f t="shared" ref="J71:K90" si="26">+IF(J$3&gt;=$C71,IF(J$3&lt;=$D71,1,0),0)</f>
        <v>0</v>
      </c>
      <c r="K71" s="26">
        <f t="shared" si="26"/>
        <v>0</v>
      </c>
      <c r="L71" s="25">
        <f t="shared" si="18"/>
        <v>0</v>
      </c>
      <c r="M71" s="25">
        <f t="shared" si="24"/>
        <v>0</v>
      </c>
      <c r="N71" s="25">
        <f t="shared" si="24"/>
        <v>0</v>
      </c>
      <c r="O71" s="25">
        <f t="shared" si="24"/>
        <v>0</v>
      </c>
      <c r="P71" s="25">
        <f t="shared" si="24"/>
        <v>0</v>
      </c>
      <c r="Q71" s="25">
        <f t="shared" si="24"/>
        <v>0</v>
      </c>
      <c r="R71" s="25">
        <f t="shared" si="24"/>
        <v>0</v>
      </c>
      <c r="S71" s="25">
        <f t="shared" si="24"/>
        <v>0</v>
      </c>
      <c r="T71" s="25">
        <f t="shared" si="24"/>
        <v>0</v>
      </c>
      <c r="U71" s="25">
        <f t="shared" si="24"/>
        <v>0</v>
      </c>
      <c r="V71" s="25">
        <f t="shared" si="24"/>
        <v>0</v>
      </c>
      <c r="W71" s="26">
        <f t="shared" si="24"/>
        <v>0</v>
      </c>
      <c r="X71" s="27">
        <f t="shared" si="25"/>
        <v>0</v>
      </c>
      <c r="Y71" s="25">
        <f t="shared" si="25"/>
        <v>0</v>
      </c>
      <c r="Z71" s="25">
        <f t="shared" si="25"/>
        <v>0</v>
      </c>
      <c r="AA71" s="25">
        <f t="shared" si="25"/>
        <v>0</v>
      </c>
      <c r="AB71" s="25">
        <f t="shared" si="25"/>
        <v>0</v>
      </c>
      <c r="AC71" s="25">
        <f t="shared" si="25"/>
        <v>0</v>
      </c>
      <c r="AD71" s="25">
        <f t="shared" si="25"/>
        <v>0</v>
      </c>
      <c r="AE71" s="25">
        <f t="shared" si="25"/>
        <v>0</v>
      </c>
      <c r="AF71" s="25">
        <f t="shared" si="25"/>
        <v>0</v>
      </c>
      <c r="AG71" s="25">
        <f t="shared" si="25"/>
        <v>0</v>
      </c>
      <c r="AH71" s="25">
        <f t="shared" si="25"/>
        <v>0</v>
      </c>
      <c r="AI71" s="26">
        <f t="shared" si="25"/>
        <v>0</v>
      </c>
      <c r="AJ71" s="114"/>
      <c r="AK71" s="114"/>
      <c r="AL71" s="115"/>
    </row>
    <row r="72" spans="1:38" ht="16" outlineLevel="1">
      <c r="A72" s="206" t="s">
        <v>473</v>
      </c>
      <c r="B72" s="409" t="s">
        <v>92</v>
      </c>
      <c r="C72" s="320">
        <f>D71</f>
        <v>46049</v>
      </c>
      <c r="D72" s="321">
        <v>46050</v>
      </c>
      <c r="E72" s="378" t="e">
        <f>IF((#REF!-C72)/(D72-C72)&lt;0,0,IF((#REF!-C72)/(D72-C72)&gt;100%,100%,(#REF!-C72)/(D72-C72)))</f>
        <v>#REF!</v>
      </c>
      <c r="F72" s="320">
        <v>46049</v>
      </c>
      <c r="G72" s="282"/>
      <c r="H72" s="378" t="e">
        <f>IF((#REF!-F72)/(G72-F72)&lt;0,0,IF((#REF!-F72)/(G72-F72)&gt;100%,100%,(#REF!-F72)/(G72-F72)))</f>
        <v>#REF!</v>
      </c>
      <c r="I72" s="222" t="e">
        <f t="shared" ref="I72:I250" si="27">(D72-C72)/100%*(H72-E72)</f>
        <v>#REF!</v>
      </c>
      <c r="J72" s="25">
        <f t="shared" si="26"/>
        <v>0</v>
      </c>
      <c r="K72" s="26">
        <f t="shared" si="26"/>
        <v>0</v>
      </c>
      <c r="L72" s="25">
        <f t="shared" ref="L72:L237" si="28">+IF(L$3&gt;=$C72,IF(L$3&lt;=$D72,1,0),0)</f>
        <v>0</v>
      </c>
      <c r="M72" s="25">
        <f t="shared" si="24"/>
        <v>0</v>
      </c>
      <c r="N72" s="25">
        <f t="shared" si="24"/>
        <v>0</v>
      </c>
      <c r="O72" s="25">
        <f t="shared" si="24"/>
        <v>0</v>
      </c>
      <c r="P72" s="25">
        <f t="shared" si="24"/>
        <v>0</v>
      </c>
      <c r="Q72" s="25">
        <f t="shared" si="24"/>
        <v>0</v>
      </c>
      <c r="R72" s="25">
        <f t="shared" si="24"/>
        <v>0</v>
      </c>
      <c r="S72" s="25">
        <f t="shared" si="24"/>
        <v>0</v>
      </c>
      <c r="T72" s="25">
        <f t="shared" si="24"/>
        <v>0</v>
      </c>
      <c r="U72" s="25">
        <f t="shared" si="24"/>
        <v>0</v>
      </c>
      <c r="V72" s="25">
        <f t="shared" si="24"/>
        <v>0</v>
      </c>
      <c r="W72" s="26">
        <f t="shared" si="24"/>
        <v>0</v>
      </c>
      <c r="X72" s="27">
        <f t="shared" si="25"/>
        <v>0</v>
      </c>
      <c r="Y72" s="25">
        <f t="shared" si="25"/>
        <v>0</v>
      </c>
      <c r="Z72" s="25">
        <f t="shared" si="25"/>
        <v>0</v>
      </c>
      <c r="AA72" s="25">
        <f t="shared" si="25"/>
        <v>0</v>
      </c>
      <c r="AB72" s="25">
        <f t="shared" si="25"/>
        <v>0</v>
      </c>
      <c r="AC72" s="25">
        <f t="shared" si="25"/>
        <v>0</v>
      </c>
      <c r="AD72" s="25">
        <f t="shared" si="25"/>
        <v>0</v>
      </c>
      <c r="AE72" s="25">
        <f t="shared" si="25"/>
        <v>0</v>
      </c>
      <c r="AF72" s="25">
        <f t="shared" si="25"/>
        <v>0</v>
      </c>
      <c r="AG72" s="25">
        <f t="shared" si="25"/>
        <v>0</v>
      </c>
      <c r="AH72" s="25">
        <f t="shared" si="25"/>
        <v>0</v>
      </c>
      <c r="AI72" s="26">
        <f t="shared" si="25"/>
        <v>0</v>
      </c>
      <c r="AJ72" s="114"/>
      <c r="AK72" s="114"/>
      <c r="AL72" s="115"/>
    </row>
    <row r="73" spans="1:38" ht="15.5" customHeight="1" outlineLevel="1">
      <c r="A73" s="206" t="s">
        <v>474</v>
      </c>
      <c r="B73" s="409" t="s">
        <v>106</v>
      </c>
      <c r="C73" s="320">
        <f>D72</f>
        <v>46050</v>
      </c>
      <c r="D73" s="321">
        <v>46052</v>
      </c>
      <c r="E73" s="378" t="e">
        <f>IF((#REF!-C73)/(D73-C73)&lt;0,0,IF((#REF!-C73)/(D73-C73)&gt;100%,100%,(#REF!-C73)/(D73-C73)))</f>
        <v>#REF!</v>
      </c>
      <c r="F73" s="320">
        <v>46049</v>
      </c>
      <c r="G73" s="282"/>
      <c r="H73" s="378" t="e">
        <f>IF((#REF!-F73)/(G73-F73)&lt;0,0,IF((#REF!-F73)/(G73-F73)&gt;100%,100%,(#REF!-F73)/(G73-F73)))</f>
        <v>#REF!</v>
      </c>
      <c r="I73" s="222" t="e">
        <f t="shared" si="27"/>
        <v>#REF!</v>
      </c>
      <c r="J73" s="25">
        <f t="shared" si="26"/>
        <v>0</v>
      </c>
      <c r="K73" s="26">
        <f t="shared" si="26"/>
        <v>0</v>
      </c>
      <c r="L73" s="25">
        <f t="shared" si="28"/>
        <v>0</v>
      </c>
      <c r="M73" s="25">
        <f t="shared" si="24"/>
        <v>0</v>
      </c>
      <c r="N73" s="25">
        <f t="shared" si="24"/>
        <v>0</v>
      </c>
      <c r="O73" s="25">
        <f t="shared" si="24"/>
        <v>0</v>
      </c>
      <c r="P73" s="25">
        <f t="shared" si="24"/>
        <v>0</v>
      </c>
      <c r="Q73" s="25">
        <f t="shared" si="24"/>
        <v>0</v>
      </c>
      <c r="R73" s="25">
        <f t="shared" si="24"/>
        <v>0</v>
      </c>
      <c r="S73" s="25">
        <f t="shared" si="24"/>
        <v>0</v>
      </c>
      <c r="T73" s="25">
        <f t="shared" si="24"/>
        <v>0</v>
      </c>
      <c r="U73" s="25">
        <f t="shared" si="24"/>
        <v>0</v>
      </c>
      <c r="V73" s="25">
        <f t="shared" si="24"/>
        <v>0</v>
      </c>
      <c r="W73" s="26">
        <f t="shared" si="24"/>
        <v>0</v>
      </c>
      <c r="X73" s="27">
        <f t="shared" si="25"/>
        <v>0</v>
      </c>
      <c r="Y73" s="25">
        <f t="shared" si="25"/>
        <v>0</v>
      </c>
      <c r="Z73" s="25">
        <f t="shared" si="25"/>
        <v>0</v>
      </c>
      <c r="AA73" s="25">
        <f t="shared" si="25"/>
        <v>0</v>
      </c>
      <c r="AB73" s="25">
        <f t="shared" si="25"/>
        <v>0</v>
      </c>
      <c r="AC73" s="25">
        <f t="shared" si="25"/>
        <v>0</v>
      </c>
      <c r="AD73" s="25">
        <f t="shared" si="25"/>
        <v>0</v>
      </c>
      <c r="AE73" s="25">
        <f t="shared" si="25"/>
        <v>0</v>
      </c>
      <c r="AF73" s="25">
        <f t="shared" si="25"/>
        <v>0</v>
      </c>
      <c r="AG73" s="25">
        <f t="shared" si="25"/>
        <v>0</v>
      </c>
      <c r="AH73" s="25">
        <f t="shared" si="25"/>
        <v>0</v>
      </c>
      <c r="AI73" s="26">
        <f t="shared" si="25"/>
        <v>0</v>
      </c>
      <c r="AJ73" s="114"/>
      <c r="AK73" s="114"/>
      <c r="AL73" s="115"/>
    </row>
    <row r="74" spans="1:38" ht="16">
      <c r="A74" s="131" t="s">
        <v>475</v>
      </c>
      <c r="B74" s="66" t="s">
        <v>107</v>
      </c>
      <c r="C74" s="322">
        <f>D73</f>
        <v>46052</v>
      </c>
      <c r="D74" s="323">
        <v>46111</v>
      </c>
      <c r="E74" s="381" t="e">
        <f>IF((#REF!-C74)/(D74-C74)&lt;0,0,IF((#REF!-C74)/(D74-C74)&gt;100%,100%,(#REF!-C74)/(D74-C74)))</f>
        <v>#REF!</v>
      </c>
      <c r="F74" s="322">
        <v>46052</v>
      </c>
      <c r="G74" s="224"/>
      <c r="H74" s="381" t="e">
        <f>IF((#REF!-F74)/(G74-F74)&lt;0,0,IF((#REF!-F74)/(G74-F74)&gt;100%,100%,(#REF!-F74)/(G74-F74)))</f>
        <v>#REF!</v>
      </c>
      <c r="I74" s="219" t="e">
        <f t="shared" si="27"/>
        <v>#REF!</v>
      </c>
      <c r="J74" s="49">
        <f t="shared" si="26"/>
        <v>0</v>
      </c>
      <c r="K74" s="50">
        <f t="shared" si="26"/>
        <v>0</v>
      </c>
      <c r="L74" s="49">
        <f t="shared" si="28"/>
        <v>1</v>
      </c>
      <c r="M74" s="49">
        <f t="shared" si="24"/>
        <v>1</v>
      </c>
      <c r="N74" s="49">
        <f t="shared" si="24"/>
        <v>0</v>
      </c>
      <c r="O74" s="49">
        <f t="shared" si="24"/>
        <v>0</v>
      </c>
      <c r="P74" s="49">
        <f t="shared" si="24"/>
        <v>0</v>
      </c>
      <c r="Q74" s="49">
        <f t="shared" si="24"/>
        <v>0</v>
      </c>
      <c r="R74" s="49">
        <f t="shared" si="24"/>
        <v>0</v>
      </c>
      <c r="S74" s="49">
        <f t="shared" si="24"/>
        <v>0</v>
      </c>
      <c r="T74" s="49">
        <f t="shared" si="24"/>
        <v>0</v>
      </c>
      <c r="U74" s="49">
        <f t="shared" si="24"/>
        <v>0</v>
      </c>
      <c r="V74" s="49">
        <f t="shared" si="24"/>
        <v>0</v>
      </c>
      <c r="W74" s="50">
        <f t="shared" si="24"/>
        <v>0</v>
      </c>
      <c r="X74" s="51">
        <f t="shared" si="25"/>
        <v>0</v>
      </c>
      <c r="Y74" s="49">
        <f t="shared" si="25"/>
        <v>0</v>
      </c>
      <c r="Z74" s="49">
        <f t="shared" si="25"/>
        <v>0</v>
      </c>
      <c r="AA74" s="49">
        <f t="shared" si="25"/>
        <v>0</v>
      </c>
      <c r="AB74" s="49">
        <f t="shared" si="25"/>
        <v>0</v>
      </c>
      <c r="AC74" s="49">
        <f t="shared" si="25"/>
        <v>0</v>
      </c>
      <c r="AD74" s="49">
        <f t="shared" si="25"/>
        <v>0</v>
      </c>
      <c r="AE74" s="49">
        <f t="shared" si="25"/>
        <v>0</v>
      </c>
      <c r="AF74" s="49">
        <f t="shared" si="25"/>
        <v>0</v>
      </c>
      <c r="AG74" s="49">
        <f t="shared" si="25"/>
        <v>0</v>
      </c>
      <c r="AH74" s="49">
        <f t="shared" si="25"/>
        <v>0</v>
      </c>
      <c r="AI74" s="50">
        <f t="shared" si="25"/>
        <v>0</v>
      </c>
      <c r="AJ74" s="117"/>
      <c r="AK74" s="117"/>
      <c r="AL74" s="118"/>
    </row>
    <row r="75" spans="1:38" ht="16" outlineLevel="1">
      <c r="A75" s="206" t="s">
        <v>476</v>
      </c>
      <c r="B75" s="409" t="s">
        <v>108</v>
      </c>
      <c r="C75" s="320">
        <v>46052</v>
      </c>
      <c r="D75" s="321">
        <v>46111</v>
      </c>
      <c r="E75" s="378" t="e">
        <f>IF((#REF!-C75)/(D75-C75)&lt;0,0,IF((#REF!-C75)/(D75-C75)&gt;100%,100%,(#REF!-C75)/(D75-C75)))</f>
        <v>#REF!</v>
      </c>
      <c r="F75" s="320">
        <v>46052</v>
      </c>
      <c r="G75" s="282"/>
      <c r="H75" s="378" t="e">
        <f>IF((#REF!-F75)/(G75-F75)&lt;0,0,IF((#REF!-F75)/(G75-F75)&gt;100%,100%,(#REF!-F75)/(G75-F75)))</f>
        <v>#REF!</v>
      </c>
      <c r="I75" s="222" t="e">
        <f t="shared" si="27"/>
        <v>#REF!</v>
      </c>
      <c r="J75" s="25">
        <f t="shared" si="26"/>
        <v>0</v>
      </c>
      <c r="K75" s="26">
        <f t="shared" si="26"/>
        <v>0</v>
      </c>
      <c r="L75" s="25">
        <f t="shared" si="28"/>
        <v>1</v>
      </c>
      <c r="M75" s="25">
        <f t="shared" si="24"/>
        <v>1</v>
      </c>
      <c r="N75" s="25">
        <f t="shared" si="24"/>
        <v>0</v>
      </c>
      <c r="O75" s="25">
        <f t="shared" si="24"/>
        <v>0</v>
      </c>
      <c r="P75" s="25">
        <f t="shared" si="24"/>
        <v>0</v>
      </c>
      <c r="Q75" s="25">
        <f t="shared" si="24"/>
        <v>0</v>
      </c>
      <c r="R75" s="25">
        <f t="shared" si="24"/>
        <v>0</v>
      </c>
      <c r="S75" s="25">
        <f t="shared" si="24"/>
        <v>0</v>
      </c>
      <c r="T75" s="25">
        <f t="shared" si="24"/>
        <v>0</v>
      </c>
      <c r="U75" s="25">
        <f t="shared" si="24"/>
        <v>0</v>
      </c>
      <c r="V75" s="25">
        <f t="shared" si="24"/>
        <v>0</v>
      </c>
      <c r="W75" s="26">
        <f t="shared" si="24"/>
        <v>0</v>
      </c>
      <c r="X75" s="27">
        <f t="shared" si="25"/>
        <v>0</v>
      </c>
      <c r="Y75" s="25">
        <f t="shared" si="25"/>
        <v>0</v>
      </c>
      <c r="Z75" s="25">
        <f t="shared" si="25"/>
        <v>0</v>
      </c>
      <c r="AA75" s="25">
        <f t="shared" si="25"/>
        <v>0</v>
      </c>
      <c r="AB75" s="25">
        <f t="shared" si="25"/>
        <v>0</v>
      </c>
      <c r="AC75" s="25">
        <f t="shared" si="25"/>
        <v>0</v>
      </c>
      <c r="AD75" s="25">
        <f t="shared" si="25"/>
        <v>0</v>
      </c>
      <c r="AE75" s="25">
        <f t="shared" si="25"/>
        <v>0</v>
      </c>
      <c r="AF75" s="25">
        <f t="shared" si="25"/>
        <v>0</v>
      </c>
      <c r="AG75" s="25">
        <f t="shared" si="25"/>
        <v>0</v>
      </c>
      <c r="AH75" s="25">
        <f t="shared" si="25"/>
        <v>0</v>
      </c>
      <c r="AI75" s="26">
        <f t="shared" si="25"/>
        <v>0</v>
      </c>
      <c r="AJ75" s="114"/>
      <c r="AK75" s="114"/>
      <c r="AL75" s="115"/>
    </row>
    <row r="76" spans="1:38" ht="16" outlineLevel="1">
      <c r="A76" s="206" t="s">
        <v>477</v>
      </c>
      <c r="B76" s="409" t="s">
        <v>109</v>
      </c>
      <c r="C76" s="320">
        <v>46052</v>
      </c>
      <c r="D76" s="321">
        <v>46111</v>
      </c>
      <c r="E76" s="378" t="e">
        <f>IF((#REF!-C76)/(D76-C76)&lt;0,0,IF((#REF!-C76)/(D76-C76)&gt;100%,100%,(#REF!-C76)/(D76-C76)))</f>
        <v>#REF!</v>
      </c>
      <c r="F76" s="320">
        <v>46052</v>
      </c>
      <c r="G76" s="282"/>
      <c r="H76" s="378" t="e">
        <f>IF((#REF!-F76)/(G76-F76)&lt;0,0,IF((#REF!-F76)/(G76-F76)&gt;100%,100%,(#REF!-F76)/(G76-F76)))</f>
        <v>#REF!</v>
      </c>
      <c r="I76" s="222" t="e">
        <f t="shared" si="27"/>
        <v>#REF!</v>
      </c>
      <c r="J76" s="25">
        <f t="shared" si="26"/>
        <v>0</v>
      </c>
      <c r="K76" s="26">
        <f t="shared" si="26"/>
        <v>0</v>
      </c>
      <c r="L76" s="25">
        <f t="shared" si="28"/>
        <v>1</v>
      </c>
      <c r="M76" s="25">
        <f t="shared" si="24"/>
        <v>1</v>
      </c>
      <c r="N76" s="25">
        <f t="shared" si="24"/>
        <v>0</v>
      </c>
      <c r="O76" s="25">
        <f t="shared" si="24"/>
        <v>0</v>
      </c>
      <c r="P76" s="25">
        <f t="shared" si="24"/>
        <v>0</v>
      </c>
      <c r="Q76" s="25">
        <f t="shared" si="24"/>
        <v>0</v>
      </c>
      <c r="R76" s="25">
        <f t="shared" si="24"/>
        <v>0</v>
      </c>
      <c r="S76" s="25">
        <f t="shared" si="24"/>
        <v>0</v>
      </c>
      <c r="T76" s="25">
        <f t="shared" si="24"/>
        <v>0</v>
      </c>
      <c r="U76" s="25">
        <f t="shared" si="24"/>
        <v>0</v>
      </c>
      <c r="V76" s="25">
        <f t="shared" si="24"/>
        <v>0</v>
      </c>
      <c r="W76" s="26">
        <f t="shared" si="24"/>
        <v>0</v>
      </c>
      <c r="X76" s="27">
        <f t="shared" si="25"/>
        <v>0</v>
      </c>
      <c r="Y76" s="25">
        <f t="shared" si="25"/>
        <v>0</v>
      </c>
      <c r="Z76" s="25">
        <f t="shared" si="25"/>
        <v>0</v>
      </c>
      <c r="AA76" s="25">
        <f t="shared" si="25"/>
        <v>0</v>
      </c>
      <c r="AB76" s="25">
        <f t="shared" si="25"/>
        <v>0</v>
      </c>
      <c r="AC76" s="25">
        <f t="shared" si="25"/>
        <v>0</v>
      </c>
      <c r="AD76" s="25">
        <f t="shared" si="25"/>
        <v>0</v>
      </c>
      <c r="AE76" s="25">
        <f t="shared" si="25"/>
        <v>0</v>
      </c>
      <c r="AF76" s="25">
        <f t="shared" si="25"/>
        <v>0</v>
      </c>
      <c r="AG76" s="25">
        <f t="shared" si="25"/>
        <v>0</v>
      </c>
      <c r="AH76" s="25">
        <f t="shared" si="25"/>
        <v>0</v>
      </c>
      <c r="AI76" s="26">
        <f t="shared" si="25"/>
        <v>0</v>
      </c>
      <c r="AJ76" s="114"/>
      <c r="AK76" s="114"/>
      <c r="AL76" s="115"/>
    </row>
    <row r="77" spans="1:38" ht="16" outlineLevel="1">
      <c r="A77" s="206" t="s">
        <v>478</v>
      </c>
      <c r="B77" s="409" t="s">
        <v>110</v>
      </c>
      <c r="C77" s="320">
        <v>46052</v>
      </c>
      <c r="D77" s="321">
        <v>46111</v>
      </c>
      <c r="E77" s="378" t="e">
        <f>IF((#REF!-C77)/(D77-C77)&lt;0,0,IF((#REF!-C77)/(D77-C77)&gt;100%,100%,(#REF!-C77)/(D77-C77)))</f>
        <v>#REF!</v>
      </c>
      <c r="F77" s="320">
        <v>46052</v>
      </c>
      <c r="G77" s="282"/>
      <c r="H77" s="378" t="e">
        <f>IF((#REF!-F77)/(G77-F77)&lt;0,0,IF((#REF!-F77)/(G77-F77)&gt;100%,100%,(#REF!-F77)/(G77-F77)))</f>
        <v>#REF!</v>
      </c>
      <c r="I77" s="222" t="e">
        <f t="shared" si="27"/>
        <v>#REF!</v>
      </c>
      <c r="J77" s="25">
        <f t="shared" si="26"/>
        <v>0</v>
      </c>
      <c r="K77" s="26">
        <f t="shared" si="26"/>
        <v>0</v>
      </c>
      <c r="L77" s="25">
        <f t="shared" si="28"/>
        <v>1</v>
      </c>
      <c r="M77" s="25">
        <f t="shared" ref="M77:W86" si="29">+IF(M$3&gt;=$C77,IF(M$3&lt;=$D77,1,0),0)</f>
        <v>1</v>
      </c>
      <c r="N77" s="25">
        <f t="shared" si="29"/>
        <v>0</v>
      </c>
      <c r="O77" s="25">
        <f t="shared" si="29"/>
        <v>0</v>
      </c>
      <c r="P77" s="25">
        <f t="shared" si="29"/>
        <v>0</v>
      </c>
      <c r="Q77" s="25">
        <f t="shared" si="29"/>
        <v>0</v>
      </c>
      <c r="R77" s="25">
        <f t="shared" si="29"/>
        <v>0</v>
      </c>
      <c r="S77" s="25">
        <f t="shared" si="29"/>
        <v>0</v>
      </c>
      <c r="T77" s="25">
        <f t="shared" si="29"/>
        <v>0</v>
      </c>
      <c r="U77" s="25">
        <f t="shared" si="29"/>
        <v>0</v>
      </c>
      <c r="V77" s="25">
        <f t="shared" si="29"/>
        <v>0</v>
      </c>
      <c r="W77" s="26">
        <f t="shared" si="29"/>
        <v>0</v>
      </c>
      <c r="X77" s="27">
        <f t="shared" si="25"/>
        <v>0</v>
      </c>
      <c r="Y77" s="25">
        <f t="shared" si="25"/>
        <v>0</v>
      </c>
      <c r="Z77" s="25">
        <f t="shared" si="25"/>
        <v>0</v>
      </c>
      <c r="AA77" s="25">
        <f t="shared" si="25"/>
        <v>0</v>
      </c>
      <c r="AB77" s="25">
        <f t="shared" si="25"/>
        <v>0</v>
      </c>
      <c r="AC77" s="25">
        <f t="shared" si="25"/>
        <v>0</v>
      </c>
      <c r="AD77" s="25">
        <f t="shared" si="25"/>
        <v>0</v>
      </c>
      <c r="AE77" s="25">
        <f t="shared" si="25"/>
        <v>0</v>
      </c>
      <c r="AF77" s="25">
        <f t="shared" si="25"/>
        <v>0</v>
      </c>
      <c r="AG77" s="25">
        <f t="shared" si="25"/>
        <v>0</v>
      </c>
      <c r="AH77" s="25">
        <f t="shared" si="25"/>
        <v>0</v>
      </c>
      <c r="AI77" s="26">
        <f t="shared" si="25"/>
        <v>0</v>
      </c>
      <c r="AJ77" s="114"/>
      <c r="AK77" s="114"/>
      <c r="AL77" s="115"/>
    </row>
    <row r="78" spans="1:38" ht="16">
      <c r="A78" s="131" t="s">
        <v>479</v>
      </c>
      <c r="B78" s="66" t="s">
        <v>111</v>
      </c>
      <c r="C78" s="322">
        <f>C74</f>
        <v>46052</v>
      </c>
      <c r="D78" s="323">
        <v>46096</v>
      </c>
      <c r="E78" s="381" t="e">
        <f>IF((#REF!-C78)/(D78-C78)&lt;0,0,IF((#REF!-C78)/(D78-C78)&gt;100%,100%,(#REF!-C78)/(D78-C78)))</f>
        <v>#REF!</v>
      </c>
      <c r="F78" s="322">
        <f>F74</f>
        <v>46052</v>
      </c>
      <c r="G78" s="224"/>
      <c r="H78" s="381" t="e">
        <f>IF((#REF!-F78)/(G78-F78)&lt;0,0,IF((#REF!-F78)/(G78-F78)&gt;100%,100%,(#REF!-F78)/(G78-F78)))</f>
        <v>#REF!</v>
      </c>
      <c r="I78" s="219" t="e">
        <f t="shared" si="27"/>
        <v>#REF!</v>
      </c>
      <c r="J78" s="49">
        <f t="shared" si="26"/>
        <v>0</v>
      </c>
      <c r="K78" s="50">
        <f t="shared" si="26"/>
        <v>0</v>
      </c>
      <c r="L78" s="49">
        <f t="shared" si="28"/>
        <v>1</v>
      </c>
      <c r="M78" s="49">
        <f t="shared" si="29"/>
        <v>1</v>
      </c>
      <c r="N78" s="49">
        <f t="shared" si="29"/>
        <v>0</v>
      </c>
      <c r="O78" s="49">
        <f t="shared" si="29"/>
        <v>0</v>
      </c>
      <c r="P78" s="49">
        <f t="shared" si="29"/>
        <v>0</v>
      </c>
      <c r="Q78" s="49">
        <f t="shared" si="29"/>
        <v>0</v>
      </c>
      <c r="R78" s="49">
        <f t="shared" si="29"/>
        <v>0</v>
      </c>
      <c r="S78" s="49">
        <f t="shared" si="29"/>
        <v>0</v>
      </c>
      <c r="T78" s="49">
        <f t="shared" si="29"/>
        <v>0</v>
      </c>
      <c r="U78" s="49">
        <f t="shared" si="29"/>
        <v>0</v>
      </c>
      <c r="V78" s="49">
        <f t="shared" si="29"/>
        <v>0</v>
      </c>
      <c r="W78" s="50">
        <f t="shared" si="29"/>
        <v>0</v>
      </c>
      <c r="X78" s="51">
        <f t="shared" ref="X78:AI87" si="30">+IF(X$3&gt;=$C78,IF(X$3&lt;=$D78,1,0),0)</f>
        <v>0</v>
      </c>
      <c r="Y78" s="49">
        <f t="shared" si="30"/>
        <v>0</v>
      </c>
      <c r="Z78" s="49">
        <f t="shared" si="30"/>
        <v>0</v>
      </c>
      <c r="AA78" s="49">
        <f t="shared" si="30"/>
        <v>0</v>
      </c>
      <c r="AB78" s="49">
        <f t="shared" si="30"/>
        <v>0</v>
      </c>
      <c r="AC78" s="49">
        <f t="shared" si="30"/>
        <v>0</v>
      </c>
      <c r="AD78" s="49">
        <f t="shared" si="30"/>
        <v>0</v>
      </c>
      <c r="AE78" s="49">
        <f t="shared" si="30"/>
        <v>0</v>
      </c>
      <c r="AF78" s="49">
        <f t="shared" si="30"/>
        <v>0</v>
      </c>
      <c r="AG78" s="49">
        <f t="shared" si="30"/>
        <v>0</v>
      </c>
      <c r="AH78" s="49">
        <f t="shared" si="30"/>
        <v>0</v>
      </c>
      <c r="AI78" s="50">
        <f t="shared" si="30"/>
        <v>0</v>
      </c>
      <c r="AJ78" s="117"/>
      <c r="AK78" s="117"/>
      <c r="AL78" s="118"/>
    </row>
    <row r="79" spans="1:38" ht="16" outlineLevel="1">
      <c r="A79" s="206" t="s">
        <v>480</v>
      </c>
      <c r="B79" s="409" t="s">
        <v>112</v>
      </c>
      <c r="C79" s="320">
        <v>46052</v>
      </c>
      <c r="D79" s="321">
        <v>46096</v>
      </c>
      <c r="E79" s="378" t="e">
        <f>IF((#REF!-C79)/(D79-C79)&lt;0,0,IF((#REF!-C79)/(D79-C79)&gt;100%,100%,(#REF!-C79)/(D79-C79)))</f>
        <v>#REF!</v>
      </c>
      <c r="F79" s="320">
        <v>46052</v>
      </c>
      <c r="G79" s="282"/>
      <c r="H79" s="378" t="e">
        <f>IF((#REF!-F79)/(G79-F79)&lt;0,0,IF((#REF!-F79)/(G79-F79)&gt;100%,100%,(#REF!-F79)/(G79-F79)))</f>
        <v>#REF!</v>
      </c>
      <c r="I79" s="222" t="e">
        <f t="shared" si="27"/>
        <v>#REF!</v>
      </c>
      <c r="J79" s="25">
        <f t="shared" si="26"/>
        <v>0</v>
      </c>
      <c r="K79" s="26">
        <f t="shared" si="26"/>
        <v>0</v>
      </c>
      <c r="L79" s="25">
        <f t="shared" si="28"/>
        <v>1</v>
      </c>
      <c r="M79" s="25">
        <f t="shared" si="29"/>
        <v>1</v>
      </c>
      <c r="N79" s="25">
        <f t="shared" si="29"/>
        <v>0</v>
      </c>
      <c r="O79" s="25">
        <f t="shared" si="29"/>
        <v>0</v>
      </c>
      <c r="P79" s="25">
        <f t="shared" si="29"/>
        <v>0</v>
      </c>
      <c r="Q79" s="25">
        <f t="shared" si="29"/>
        <v>0</v>
      </c>
      <c r="R79" s="25">
        <f t="shared" si="29"/>
        <v>0</v>
      </c>
      <c r="S79" s="25">
        <f t="shared" si="29"/>
        <v>0</v>
      </c>
      <c r="T79" s="25">
        <f t="shared" si="29"/>
        <v>0</v>
      </c>
      <c r="U79" s="25">
        <f t="shared" si="29"/>
        <v>0</v>
      </c>
      <c r="V79" s="25">
        <f t="shared" si="29"/>
        <v>0</v>
      </c>
      <c r="W79" s="26">
        <f t="shared" si="29"/>
        <v>0</v>
      </c>
      <c r="X79" s="27">
        <f t="shared" si="30"/>
        <v>0</v>
      </c>
      <c r="Y79" s="25">
        <f t="shared" si="30"/>
        <v>0</v>
      </c>
      <c r="Z79" s="25">
        <f t="shared" si="30"/>
        <v>0</v>
      </c>
      <c r="AA79" s="25">
        <f t="shared" si="30"/>
        <v>0</v>
      </c>
      <c r="AB79" s="25">
        <f t="shared" si="30"/>
        <v>0</v>
      </c>
      <c r="AC79" s="25">
        <f t="shared" si="30"/>
        <v>0</v>
      </c>
      <c r="AD79" s="25">
        <f t="shared" si="30"/>
        <v>0</v>
      </c>
      <c r="AE79" s="25">
        <f t="shared" si="30"/>
        <v>0</v>
      </c>
      <c r="AF79" s="25">
        <f t="shared" si="30"/>
        <v>0</v>
      </c>
      <c r="AG79" s="25">
        <f t="shared" si="30"/>
        <v>0</v>
      </c>
      <c r="AH79" s="25">
        <f t="shared" si="30"/>
        <v>0</v>
      </c>
      <c r="AI79" s="26">
        <f t="shared" si="30"/>
        <v>0</v>
      </c>
      <c r="AJ79" s="114"/>
      <c r="AK79" s="114"/>
      <c r="AL79" s="115"/>
    </row>
    <row r="80" spans="1:38" ht="16" outlineLevel="1">
      <c r="A80" s="206" t="s">
        <v>481</v>
      </c>
      <c r="B80" s="409" t="s">
        <v>113</v>
      </c>
      <c r="C80" s="320">
        <v>46052</v>
      </c>
      <c r="D80" s="321">
        <v>46096</v>
      </c>
      <c r="E80" s="378" t="e">
        <f>IF((#REF!-C80)/(D80-C80)&lt;0,0,IF((#REF!-C80)/(D80-C80)&gt;100%,100%,(#REF!-C80)/(D80-C80)))</f>
        <v>#REF!</v>
      </c>
      <c r="F80" s="320">
        <v>46052</v>
      </c>
      <c r="G80" s="282"/>
      <c r="H80" s="378" t="e">
        <f>IF((#REF!-F80)/(G80-F80)&lt;0,0,IF((#REF!-F80)/(G80-F80)&gt;100%,100%,(#REF!-F80)/(G80-F80)))</f>
        <v>#REF!</v>
      </c>
      <c r="I80" s="222" t="e">
        <f t="shared" si="27"/>
        <v>#REF!</v>
      </c>
      <c r="J80" s="25">
        <f t="shared" si="26"/>
        <v>0</v>
      </c>
      <c r="K80" s="26">
        <f t="shared" si="26"/>
        <v>0</v>
      </c>
      <c r="L80" s="25">
        <f t="shared" si="28"/>
        <v>1</v>
      </c>
      <c r="M80" s="25">
        <f t="shared" si="29"/>
        <v>1</v>
      </c>
      <c r="N80" s="25">
        <f t="shared" si="29"/>
        <v>0</v>
      </c>
      <c r="O80" s="25">
        <f t="shared" si="29"/>
        <v>0</v>
      </c>
      <c r="P80" s="25">
        <f t="shared" si="29"/>
        <v>0</v>
      </c>
      <c r="Q80" s="25">
        <f t="shared" si="29"/>
        <v>0</v>
      </c>
      <c r="R80" s="25">
        <f t="shared" si="29"/>
        <v>0</v>
      </c>
      <c r="S80" s="25">
        <f t="shared" si="29"/>
        <v>0</v>
      </c>
      <c r="T80" s="25">
        <f t="shared" si="29"/>
        <v>0</v>
      </c>
      <c r="U80" s="25">
        <f t="shared" si="29"/>
        <v>0</v>
      </c>
      <c r="V80" s="25">
        <f t="shared" si="29"/>
        <v>0</v>
      </c>
      <c r="W80" s="26">
        <f t="shared" si="29"/>
        <v>0</v>
      </c>
      <c r="X80" s="27">
        <f t="shared" si="30"/>
        <v>0</v>
      </c>
      <c r="Y80" s="25">
        <f t="shared" si="30"/>
        <v>0</v>
      </c>
      <c r="Z80" s="25">
        <f t="shared" si="30"/>
        <v>0</v>
      </c>
      <c r="AA80" s="25">
        <f t="shared" si="30"/>
        <v>0</v>
      </c>
      <c r="AB80" s="25">
        <f t="shared" si="30"/>
        <v>0</v>
      </c>
      <c r="AC80" s="25">
        <f t="shared" si="30"/>
        <v>0</v>
      </c>
      <c r="AD80" s="25">
        <f t="shared" si="30"/>
        <v>0</v>
      </c>
      <c r="AE80" s="25">
        <f t="shared" si="30"/>
        <v>0</v>
      </c>
      <c r="AF80" s="25">
        <f t="shared" si="30"/>
        <v>0</v>
      </c>
      <c r="AG80" s="25">
        <f t="shared" si="30"/>
        <v>0</v>
      </c>
      <c r="AH80" s="25">
        <f t="shared" si="30"/>
        <v>0</v>
      </c>
      <c r="AI80" s="26">
        <f t="shared" si="30"/>
        <v>0</v>
      </c>
      <c r="AJ80" s="114"/>
      <c r="AK80" s="114"/>
      <c r="AL80" s="115"/>
    </row>
    <row r="81" spans="1:38" ht="16" outlineLevel="1">
      <c r="A81" s="206" t="s">
        <v>482</v>
      </c>
      <c r="B81" s="409" t="s">
        <v>114</v>
      </c>
      <c r="C81" s="320">
        <v>46052</v>
      </c>
      <c r="D81" s="321">
        <v>46096</v>
      </c>
      <c r="E81" s="378" t="e">
        <f>IF((#REF!-C81)/(D81-C81)&lt;0,0,IF((#REF!-C81)/(D81-C81)&gt;100%,100%,(#REF!-C81)/(D81-C81)))</f>
        <v>#REF!</v>
      </c>
      <c r="F81" s="320">
        <v>46052</v>
      </c>
      <c r="G81" s="282"/>
      <c r="H81" s="378" t="e">
        <f>IF((#REF!-F81)/(G81-F81)&lt;0,0,IF((#REF!-F81)/(G81-F81)&gt;100%,100%,(#REF!-F81)/(G81-F81)))</f>
        <v>#REF!</v>
      </c>
      <c r="I81" s="222" t="e">
        <f t="shared" si="27"/>
        <v>#REF!</v>
      </c>
      <c r="J81" s="25">
        <f t="shared" si="26"/>
        <v>0</v>
      </c>
      <c r="K81" s="26">
        <f t="shared" si="26"/>
        <v>0</v>
      </c>
      <c r="L81" s="25">
        <f t="shared" si="28"/>
        <v>1</v>
      </c>
      <c r="M81" s="25">
        <f t="shared" si="29"/>
        <v>1</v>
      </c>
      <c r="N81" s="25">
        <f t="shared" si="29"/>
        <v>0</v>
      </c>
      <c r="O81" s="25">
        <f t="shared" si="29"/>
        <v>0</v>
      </c>
      <c r="P81" s="25">
        <f t="shared" si="29"/>
        <v>0</v>
      </c>
      <c r="Q81" s="25">
        <f t="shared" si="29"/>
        <v>0</v>
      </c>
      <c r="R81" s="25">
        <f t="shared" si="29"/>
        <v>0</v>
      </c>
      <c r="S81" s="25">
        <f t="shared" si="29"/>
        <v>0</v>
      </c>
      <c r="T81" s="25">
        <f t="shared" si="29"/>
        <v>0</v>
      </c>
      <c r="U81" s="25">
        <f t="shared" si="29"/>
        <v>0</v>
      </c>
      <c r="V81" s="25">
        <f t="shared" si="29"/>
        <v>0</v>
      </c>
      <c r="W81" s="26">
        <f t="shared" si="29"/>
        <v>0</v>
      </c>
      <c r="X81" s="27">
        <f t="shared" si="30"/>
        <v>0</v>
      </c>
      <c r="Y81" s="25">
        <f t="shared" si="30"/>
        <v>0</v>
      </c>
      <c r="Z81" s="25">
        <f t="shared" si="30"/>
        <v>0</v>
      </c>
      <c r="AA81" s="25">
        <f t="shared" si="30"/>
        <v>0</v>
      </c>
      <c r="AB81" s="25">
        <f t="shared" si="30"/>
        <v>0</v>
      </c>
      <c r="AC81" s="25">
        <f t="shared" si="30"/>
        <v>0</v>
      </c>
      <c r="AD81" s="25">
        <f t="shared" si="30"/>
        <v>0</v>
      </c>
      <c r="AE81" s="25">
        <f t="shared" si="30"/>
        <v>0</v>
      </c>
      <c r="AF81" s="25">
        <f t="shared" si="30"/>
        <v>0</v>
      </c>
      <c r="AG81" s="25">
        <f t="shared" si="30"/>
        <v>0</v>
      </c>
      <c r="AH81" s="25">
        <f t="shared" si="30"/>
        <v>0</v>
      </c>
      <c r="AI81" s="26">
        <f t="shared" si="30"/>
        <v>0</v>
      </c>
      <c r="AJ81" s="114"/>
      <c r="AK81" s="114"/>
      <c r="AL81" s="115"/>
    </row>
    <row r="82" spans="1:38" ht="16">
      <c r="A82" s="131" t="s">
        <v>483</v>
      </c>
      <c r="B82" s="66" t="s">
        <v>115</v>
      </c>
      <c r="C82" s="322">
        <f>C78</f>
        <v>46052</v>
      </c>
      <c r="D82" s="323">
        <v>46096</v>
      </c>
      <c r="E82" s="381" t="e">
        <f>IF((#REF!-C82)/(D82-C82)&lt;0,0,IF((#REF!-C82)/(D82-C82)&gt;100%,100%,(#REF!-C82)/(D82-C82)))</f>
        <v>#REF!</v>
      </c>
      <c r="F82" s="322">
        <f>F78</f>
        <v>46052</v>
      </c>
      <c r="G82" s="224"/>
      <c r="H82" s="381" t="e">
        <f>IF((#REF!-F82)/(G82-F82)&lt;0,0,IF((#REF!-F82)/(G82-F82)&gt;100%,100%,(#REF!-F82)/(G82-F82)))</f>
        <v>#REF!</v>
      </c>
      <c r="I82" s="219" t="e">
        <f t="shared" si="27"/>
        <v>#REF!</v>
      </c>
      <c r="J82" s="49">
        <f t="shared" si="26"/>
        <v>0</v>
      </c>
      <c r="K82" s="50">
        <f t="shared" si="26"/>
        <v>0</v>
      </c>
      <c r="L82" s="49">
        <f t="shared" si="28"/>
        <v>1</v>
      </c>
      <c r="M82" s="49">
        <f t="shared" si="29"/>
        <v>1</v>
      </c>
      <c r="N82" s="49">
        <f t="shared" si="29"/>
        <v>0</v>
      </c>
      <c r="O82" s="49">
        <f t="shared" si="29"/>
        <v>0</v>
      </c>
      <c r="P82" s="49">
        <f t="shared" si="29"/>
        <v>0</v>
      </c>
      <c r="Q82" s="49">
        <f t="shared" si="29"/>
        <v>0</v>
      </c>
      <c r="R82" s="49">
        <f t="shared" si="29"/>
        <v>0</v>
      </c>
      <c r="S82" s="49">
        <f t="shared" si="29"/>
        <v>0</v>
      </c>
      <c r="T82" s="49">
        <f t="shared" si="29"/>
        <v>0</v>
      </c>
      <c r="U82" s="49">
        <f t="shared" si="29"/>
        <v>0</v>
      </c>
      <c r="V82" s="49">
        <f t="shared" si="29"/>
        <v>0</v>
      </c>
      <c r="W82" s="50">
        <f t="shared" si="29"/>
        <v>0</v>
      </c>
      <c r="X82" s="51">
        <f t="shared" si="30"/>
        <v>0</v>
      </c>
      <c r="Y82" s="49">
        <f t="shared" si="30"/>
        <v>0</v>
      </c>
      <c r="Z82" s="49">
        <f t="shared" si="30"/>
        <v>0</v>
      </c>
      <c r="AA82" s="49">
        <f t="shared" si="30"/>
        <v>0</v>
      </c>
      <c r="AB82" s="49">
        <f t="shared" si="30"/>
        <v>0</v>
      </c>
      <c r="AC82" s="49">
        <f t="shared" si="30"/>
        <v>0</v>
      </c>
      <c r="AD82" s="49">
        <f t="shared" si="30"/>
        <v>0</v>
      </c>
      <c r="AE82" s="49">
        <f t="shared" si="30"/>
        <v>0</v>
      </c>
      <c r="AF82" s="49">
        <f t="shared" si="30"/>
        <v>0</v>
      </c>
      <c r="AG82" s="49">
        <f t="shared" si="30"/>
        <v>0</v>
      </c>
      <c r="AH82" s="49">
        <f t="shared" si="30"/>
        <v>0</v>
      </c>
      <c r="AI82" s="50">
        <f t="shared" si="30"/>
        <v>0</v>
      </c>
      <c r="AJ82" s="117"/>
      <c r="AK82" s="117"/>
      <c r="AL82" s="118"/>
    </row>
    <row r="83" spans="1:38" s="120" customFormat="1" ht="16" outlineLevel="1">
      <c r="A83" s="207" t="s">
        <v>484</v>
      </c>
      <c r="B83" s="409" t="s">
        <v>116</v>
      </c>
      <c r="C83" s="320">
        <v>46052</v>
      </c>
      <c r="D83" s="321">
        <v>46096</v>
      </c>
      <c r="E83" s="378" t="e">
        <f>IF((#REF!-C83)/(D83-C83)&lt;0,0,IF((#REF!-C83)/(D83-C83)&gt;100%,100%,(#REF!-C83)/(D83-C83)))</f>
        <v>#REF!</v>
      </c>
      <c r="F83" s="320">
        <v>46052</v>
      </c>
      <c r="G83" s="324"/>
      <c r="H83" s="378" t="e">
        <f>IF((#REF!-F83)/(G83-F83)&lt;0,0,IF((#REF!-F83)/(G83-F83)&gt;100%,100%,(#REF!-F83)/(G83-F83)))</f>
        <v>#REF!</v>
      </c>
      <c r="I83" s="222" t="e">
        <f t="shared" si="27"/>
        <v>#REF!</v>
      </c>
      <c r="J83" s="25">
        <f t="shared" si="26"/>
        <v>0</v>
      </c>
      <c r="K83" s="26">
        <f t="shared" si="26"/>
        <v>0</v>
      </c>
      <c r="L83" s="25">
        <f t="shared" si="28"/>
        <v>1</v>
      </c>
      <c r="M83" s="25">
        <f t="shared" si="29"/>
        <v>1</v>
      </c>
      <c r="N83" s="25">
        <f t="shared" si="29"/>
        <v>0</v>
      </c>
      <c r="O83" s="25">
        <f t="shared" si="29"/>
        <v>0</v>
      </c>
      <c r="P83" s="25">
        <f t="shared" si="29"/>
        <v>0</v>
      </c>
      <c r="Q83" s="25">
        <f t="shared" si="29"/>
        <v>0</v>
      </c>
      <c r="R83" s="25">
        <f t="shared" si="29"/>
        <v>0</v>
      </c>
      <c r="S83" s="25">
        <f t="shared" si="29"/>
        <v>0</v>
      </c>
      <c r="T83" s="25">
        <f t="shared" si="29"/>
        <v>0</v>
      </c>
      <c r="U83" s="25">
        <f t="shared" si="29"/>
        <v>0</v>
      </c>
      <c r="V83" s="25">
        <f t="shared" si="29"/>
        <v>0</v>
      </c>
      <c r="W83" s="26">
        <f t="shared" si="29"/>
        <v>0</v>
      </c>
      <c r="X83" s="27">
        <f t="shared" si="30"/>
        <v>0</v>
      </c>
      <c r="Y83" s="25">
        <f t="shared" si="30"/>
        <v>0</v>
      </c>
      <c r="Z83" s="25">
        <f t="shared" si="30"/>
        <v>0</v>
      </c>
      <c r="AA83" s="25">
        <f t="shared" si="30"/>
        <v>0</v>
      </c>
      <c r="AB83" s="25">
        <f t="shared" si="30"/>
        <v>0</v>
      </c>
      <c r="AC83" s="25">
        <f t="shared" si="30"/>
        <v>0</v>
      </c>
      <c r="AD83" s="25">
        <f t="shared" si="30"/>
        <v>0</v>
      </c>
      <c r="AE83" s="25">
        <f t="shared" si="30"/>
        <v>0</v>
      </c>
      <c r="AF83" s="25">
        <f t="shared" si="30"/>
        <v>0</v>
      </c>
      <c r="AG83" s="25">
        <f t="shared" si="30"/>
        <v>0</v>
      </c>
      <c r="AH83" s="25">
        <f t="shared" si="30"/>
        <v>0</v>
      </c>
      <c r="AI83" s="26">
        <f t="shared" si="30"/>
        <v>0</v>
      </c>
      <c r="AJ83" s="114"/>
      <c r="AK83" s="114"/>
      <c r="AL83" s="115"/>
    </row>
    <row r="84" spans="1:38" ht="16" outlineLevel="1">
      <c r="A84" s="207" t="s">
        <v>485</v>
      </c>
      <c r="B84" s="409" t="s">
        <v>117</v>
      </c>
      <c r="C84" s="320">
        <v>46052</v>
      </c>
      <c r="D84" s="321">
        <v>46096</v>
      </c>
      <c r="E84" s="378" t="e">
        <f>IF((#REF!-C84)/(D84-C84)&lt;0,0,IF((#REF!-C84)/(D84-C84)&gt;100%,100%,(#REF!-C84)/(D84-C84)))</f>
        <v>#REF!</v>
      </c>
      <c r="F84" s="320">
        <v>46052</v>
      </c>
      <c r="G84" s="282"/>
      <c r="H84" s="378" t="e">
        <f>IF((#REF!-F84)/(G84-F84)&lt;0,0,IF((#REF!-F84)/(G84-F84)&gt;100%,100%,(#REF!-F84)/(G84-F84)))</f>
        <v>#REF!</v>
      </c>
      <c r="I84" s="222" t="e">
        <f t="shared" si="27"/>
        <v>#REF!</v>
      </c>
      <c r="J84" s="25">
        <f t="shared" si="26"/>
        <v>0</v>
      </c>
      <c r="K84" s="26">
        <f t="shared" si="26"/>
        <v>0</v>
      </c>
      <c r="L84" s="25">
        <f t="shared" si="28"/>
        <v>1</v>
      </c>
      <c r="M84" s="25">
        <f t="shared" si="29"/>
        <v>1</v>
      </c>
      <c r="N84" s="25">
        <f t="shared" si="29"/>
        <v>0</v>
      </c>
      <c r="O84" s="25">
        <f t="shared" si="29"/>
        <v>0</v>
      </c>
      <c r="P84" s="25">
        <f t="shared" si="29"/>
        <v>0</v>
      </c>
      <c r="Q84" s="25">
        <f t="shared" si="29"/>
        <v>0</v>
      </c>
      <c r="R84" s="25">
        <f t="shared" si="29"/>
        <v>0</v>
      </c>
      <c r="S84" s="25">
        <f t="shared" si="29"/>
        <v>0</v>
      </c>
      <c r="T84" s="25">
        <f t="shared" si="29"/>
        <v>0</v>
      </c>
      <c r="U84" s="25">
        <f t="shared" si="29"/>
        <v>0</v>
      </c>
      <c r="V84" s="25">
        <f t="shared" si="29"/>
        <v>0</v>
      </c>
      <c r="W84" s="26">
        <f t="shared" si="29"/>
        <v>0</v>
      </c>
      <c r="X84" s="27">
        <f t="shared" si="30"/>
        <v>0</v>
      </c>
      <c r="Y84" s="25">
        <f t="shared" si="30"/>
        <v>0</v>
      </c>
      <c r="Z84" s="25">
        <f t="shared" si="30"/>
        <v>0</v>
      </c>
      <c r="AA84" s="25">
        <f t="shared" si="30"/>
        <v>0</v>
      </c>
      <c r="AB84" s="25">
        <f t="shared" si="30"/>
        <v>0</v>
      </c>
      <c r="AC84" s="25">
        <f t="shared" si="30"/>
        <v>0</v>
      </c>
      <c r="AD84" s="25">
        <f t="shared" si="30"/>
        <v>0</v>
      </c>
      <c r="AE84" s="25">
        <f t="shared" si="30"/>
        <v>0</v>
      </c>
      <c r="AF84" s="25">
        <f t="shared" si="30"/>
        <v>0</v>
      </c>
      <c r="AG84" s="25">
        <f t="shared" si="30"/>
        <v>0</v>
      </c>
      <c r="AH84" s="25">
        <f t="shared" si="30"/>
        <v>0</v>
      </c>
      <c r="AI84" s="26">
        <f t="shared" si="30"/>
        <v>0</v>
      </c>
      <c r="AJ84" s="114"/>
      <c r="AK84" s="114"/>
      <c r="AL84" s="115"/>
    </row>
    <row r="85" spans="1:38" ht="16" outlineLevel="1">
      <c r="A85" s="207" t="s">
        <v>486</v>
      </c>
      <c r="B85" s="409" t="s">
        <v>118</v>
      </c>
      <c r="C85" s="320">
        <v>46052</v>
      </c>
      <c r="D85" s="321">
        <v>46096</v>
      </c>
      <c r="E85" s="378" t="e">
        <f>IF((#REF!-C85)/(D85-C85)&lt;0,0,IF((#REF!-C85)/(D85-C85)&gt;100%,100%,(#REF!-C85)/(D85-C85)))</f>
        <v>#REF!</v>
      </c>
      <c r="F85" s="320">
        <v>46052</v>
      </c>
      <c r="G85" s="282"/>
      <c r="H85" s="378" t="e">
        <f>IF((#REF!-F85)/(G85-F85)&lt;0,0,IF((#REF!-F85)/(G85-F85)&gt;100%,100%,(#REF!-F85)/(G85-F85)))</f>
        <v>#REF!</v>
      </c>
      <c r="I85" s="222" t="e">
        <f t="shared" si="27"/>
        <v>#REF!</v>
      </c>
      <c r="J85" s="25">
        <f t="shared" si="26"/>
        <v>0</v>
      </c>
      <c r="K85" s="26">
        <f t="shared" si="26"/>
        <v>0</v>
      </c>
      <c r="L85" s="25">
        <f t="shared" si="28"/>
        <v>1</v>
      </c>
      <c r="M85" s="25">
        <f t="shared" si="29"/>
        <v>1</v>
      </c>
      <c r="N85" s="25">
        <f t="shared" si="29"/>
        <v>0</v>
      </c>
      <c r="O85" s="25">
        <f t="shared" si="29"/>
        <v>0</v>
      </c>
      <c r="P85" s="25">
        <f t="shared" si="29"/>
        <v>0</v>
      </c>
      <c r="Q85" s="25">
        <f t="shared" si="29"/>
        <v>0</v>
      </c>
      <c r="R85" s="25">
        <f t="shared" si="29"/>
        <v>0</v>
      </c>
      <c r="S85" s="25">
        <f t="shared" si="29"/>
        <v>0</v>
      </c>
      <c r="T85" s="25">
        <f t="shared" si="29"/>
        <v>0</v>
      </c>
      <c r="U85" s="25">
        <f t="shared" si="29"/>
        <v>0</v>
      </c>
      <c r="V85" s="25">
        <f t="shared" si="29"/>
        <v>0</v>
      </c>
      <c r="W85" s="26">
        <f t="shared" si="29"/>
        <v>0</v>
      </c>
      <c r="X85" s="27">
        <f t="shared" si="30"/>
        <v>0</v>
      </c>
      <c r="Y85" s="25">
        <f t="shared" si="30"/>
        <v>0</v>
      </c>
      <c r="Z85" s="25">
        <f t="shared" si="30"/>
        <v>0</v>
      </c>
      <c r="AA85" s="25">
        <f t="shared" si="30"/>
        <v>0</v>
      </c>
      <c r="AB85" s="25">
        <f t="shared" si="30"/>
        <v>0</v>
      </c>
      <c r="AC85" s="25">
        <f t="shared" si="30"/>
        <v>0</v>
      </c>
      <c r="AD85" s="25">
        <f t="shared" si="30"/>
        <v>0</v>
      </c>
      <c r="AE85" s="25">
        <f t="shared" si="30"/>
        <v>0</v>
      </c>
      <c r="AF85" s="25">
        <f t="shared" si="30"/>
        <v>0</v>
      </c>
      <c r="AG85" s="25">
        <f t="shared" si="30"/>
        <v>0</v>
      </c>
      <c r="AH85" s="25">
        <f t="shared" si="30"/>
        <v>0</v>
      </c>
      <c r="AI85" s="26">
        <f t="shared" si="30"/>
        <v>0</v>
      </c>
      <c r="AJ85" s="114"/>
      <c r="AK85" s="114"/>
      <c r="AL85" s="115"/>
    </row>
    <row r="86" spans="1:38" ht="16" outlineLevel="1">
      <c r="A86" s="207" t="s">
        <v>487</v>
      </c>
      <c r="B86" s="362" t="s">
        <v>283</v>
      </c>
      <c r="C86" s="320">
        <v>46052</v>
      </c>
      <c r="D86" s="321">
        <v>46096</v>
      </c>
      <c r="E86" s="378" t="e">
        <f>IF((#REF!-C86)/(D86-C86)&lt;0,0,IF((#REF!-C86)/(D86-C86)&gt;100%,100%,(#REF!-C86)/(D86-C86)))</f>
        <v>#REF!</v>
      </c>
      <c r="F86" s="320">
        <v>46052</v>
      </c>
      <c r="G86" s="282"/>
      <c r="H86" s="378" t="e">
        <f>IF((#REF!-F86)/(G86-F86)&lt;0,0,IF((#REF!-F86)/(G86-F86)&gt;100%,100%,(#REF!-F86)/(G86-F86)))</f>
        <v>#REF!</v>
      </c>
      <c r="I86" s="222" t="e">
        <f t="shared" si="27"/>
        <v>#REF!</v>
      </c>
      <c r="J86" s="25">
        <f t="shared" si="26"/>
        <v>0</v>
      </c>
      <c r="K86" s="26">
        <f t="shared" si="26"/>
        <v>0</v>
      </c>
      <c r="L86" s="25">
        <f t="shared" si="28"/>
        <v>1</v>
      </c>
      <c r="M86" s="25">
        <f t="shared" si="29"/>
        <v>1</v>
      </c>
      <c r="N86" s="25">
        <f t="shared" si="29"/>
        <v>0</v>
      </c>
      <c r="O86" s="25">
        <f t="shared" si="29"/>
        <v>0</v>
      </c>
      <c r="P86" s="25">
        <f t="shared" si="29"/>
        <v>0</v>
      </c>
      <c r="Q86" s="25">
        <f t="shared" si="29"/>
        <v>0</v>
      </c>
      <c r="R86" s="25">
        <f t="shared" si="29"/>
        <v>0</v>
      </c>
      <c r="S86" s="25">
        <f t="shared" si="29"/>
        <v>0</v>
      </c>
      <c r="T86" s="25">
        <f t="shared" si="29"/>
        <v>0</v>
      </c>
      <c r="U86" s="25">
        <f t="shared" si="29"/>
        <v>0</v>
      </c>
      <c r="V86" s="25">
        <f t="shared" si="29"/>
        <v>0</v>
      </c>
      <c r="W86" s="26">
        <f t="shared" si="29"/>
        <v>0</v>
      </c>
      <c r="X86" s="27">
        <f t="shared" si="30"/>
        <v>0</v>
      </c>
      <c r="Y86" s="25">
        <f t="shared" si="30"/>
        <v>0</v>
      </c>
      <c r="Z86" s="25">
        <f t="shared" si="30"/>
        <v>0</v>
      </c>
      <c r="AA86" s="25">
        <f t="shared" si="30"/>
        <v>0</v>
      </c>
      <c r="AB86" s="25">
        <f t="shared" si="30"/>
        <v>0</v>
      </c>
      <c r="AC86" s="25">
        <f t="shared" si="30"/>
        <v>0</v>
      </c>
      <c r="AD86" s="25">
        <f t="shared" si="30"/>
        <v>0</v>
      </c>
      <c r="AE86" s="25">
        <f t="shared" si="30"/>
        <v>0</v>
      </c>
      <c r="AF86" s="25">
        <f t="shared" si="30"/>
        <v>0</v>
      </c>
      <c r="AG86" s="25">
        <f t="shared" si="30"/>
        <v>0</v>
      </c>
      <c r="AH86" s="25">
        <f t="shared" si="30"/>
        <v>0</v>
      </c>
      <c r="AI86" s="26">
        <f t="shared" si="30"/>
        <v>0</v>
      </c>
      <c r="AJ86" s="114"/>
      <c r="AK86" s="114"/>
      <c r="AL86" s="115"/>
    </row>
    <row r="87" spans="1:38" ht="16">
      <c r="A87" s="131" t="s">
        <v>488</v>
      </c>
      <c r="B87" s="66" t="s">
        <v>119</v>
      </c>
      <c r="C87" s="322">
        <f>D73</f>
        <v>46052</v>
      </c>
      <c r="D87" s="323">
        <v>46096</v>
      </c>
      <c r="E87" s="381" t="e">
        <f>IF((#REF!-C87)/(D87-C87)&lt;0,0,IF((#REF!-C87)/(D87-C87)&gt;100%,100%,(#REF!-C87)/(D87-C87)))</f>
        <v>#REF!</v>
      </c>
      <c r="F87" s="322">
        <v>46052</v>
      </c>
      <c r="G87" s="224"/>
      <c r="H87" s="381" t="e">
        <f>IF((#REF!-F87)/(G87-F87)&lt;0,0,IF((#REF!-F87)/(G87-F87)&gt;100%,100%,(#REF!-F87)/(G87-F87)))</f>
        <v>#REF!</v>
      </c>
      <c r="I87" s="219" t="e">
        <f t="shared" si="27"/>
        <v>#REF!</v>
      </c>
      <c r="J87" s="49">
        <f t="shared" si="26"/>
        <v>0</v>
      </c>
      <c r="K87" s="50">
        <f t="shared" si="26"/>
        <v>0</v>
      </c>
      <c r="L87" s="49">
        <f t="shared" si="28"/>
        <v>1</v>
      </c>
      <c r="M87" s="49">
        <f t="shared" ref="M87:W96" si="31">+IF(M$3&gt;=$C87,IF(M$3&lt;=$D87,1,0),0)</f>
        <v>1</v>
      </c>
      <c r="N87" s="49">
        <f t="shared" si="31"/>
        <v>0</v>
      </c>
      <c r="O87" s="49">
        <f t="shared" si="31"/>
        <v>0</v>
      </c>
      <c r="P87" s="49">
        <f t="shared" si="31"/>
        <v>0</v>
      </c>
      <c r="Q87" s="49">
        <f t="shared" si="31"/>
        <v>0</v>
      </c>
      <c r="R87" s="49">
        <f t="shared" si="31"/>
        <v>0</v>
      </c>
      <c r="S87" s="49">
        <f t="shared" si="31"/>
        <v>0</v>
      </c>
      <c r="T87" s="49">
        <f t="shared" si="31"/>
        <v>0</v>
      </c>
      <c r="U87" s="49">
        <f t="shared" si="31"/>
        <v>0</v>
      </c>
      <c r="V87" s="49">
        <f t="shared" si="31"/>
        <v>0</v>
      </c>
      <c r="W87" s="50">
        <f t="shared" si="31"/>
        <v>0</v>
      </c>
      <c r="X87" s="51">
        <f t="shared" si="30"/>
        <v>0</v>
      </c>
      <c r="Y87" s="49">
        <f t="shared" si="30"/>
        <v>0</v>
      </c>
      <c r="Z87" s="49">
        <f t="shared" si="30"/>
        <v>0</v>
      </c>
      <c r="AA87" s="49">
        <f t="shared" si="30"/>
        <v>0</v>
      </c>
      <c r="AB87" s="49">
        <f t="shared" si="30"/>
        <v>0</v>
      </c>
      <c r="AC87" s="49">
        <f t="shared" si="30"/>
        <v>0</v>
      </c>
      <c r="AD87" s="49">
        <f t="shared" si="30"/>
        <v>0</v>
      </c>
      <c r="AE87" s="49">
        <f t="shared" si="30"/>
        <v>0</v>
      </c>
      <c r="AF87" s="49">
        <f t="shared" si="30"/>
        <v>0</v>
      </c>
      <c r="AG87" s="49">
        <f t="shared" si="30"/>
        <v>0</v>
      </c>
      <c r="AH87" s="49">
        <f t="shared" si="30"/>
        <v>0</v>
      </c>
      <c r="AI87" s="50">
        <f t="shared" si="30"/>
        <v>0</v>
      </c>
      <c r="AJ87" s="117"/>
      <c r="AK87" s="117"/>
      <c r="AL87" s="118"/>
    </row>
    <row r="88" spans="1:38" ht="16" outlineLevel="1">
      <c r="A88" s="206" t="s">
        <v>489</v>
      </c>
      <c r="B88" s="409" t="s">
        <v>120</v>
      </c>
      <c r="C88" s="320">
        <v>46052</v>
      </c>
      <c r="D88" s="321">
        <v>46096</v>
      </c>
      <c r="E88" s="378" t="e">
        <f>IF((#REF!-C88)/(D88-C88)&lt;0,0,IF((#REF!-C88)/(D88-C88)&gt;100%,100%,(#REF!-C88)/(D88-C88)))</f>
        <v>#REF!</v>
      </c>
      <c r="F88" s="320">
        <v>46052</v>
      </c>
      <c r="G88" s="282"/>
      <c r="H88" s="378" t="e">
        <f>IF((#REF!-F88)/(G88-F88)&lt;0,0,IF((#REF!-F88)/(G88-F88)&gt;100%,100%,(#REF!-F88)/(G88-F88)))</f>
        <v>#REF!</v>
      </c>
      <c r="I88" s="222" t="e">
        <f t="shared" si="27"/>
        <v>#REF!</v>
      </c>
      <c r="J88" s="25">
        <f t="shared" si="26"/>
        <v>0</v>
      </c>
      <c r="K88" s="26">
        <f t="shared" si="26"/>
        <v>0</v>
      </c>
      <c r="L88" s="25">
        <f t="shared" si="28"/>
        <v>1</v>
      </c>
      <c r="M88" s="25">
        <f t="shared" si="31"/>
        <v>1</v>
      </c>
      <c r="N88" s="25">
        <f t="shared" si="31"/>
        <v>0</v>
      </c>
      <c r="O88" s="25">
        <f t="shared" si="31"/>
        <v>0</v>
      </c>
      <c r="P88" s="25">
        <f t="shared" si="31"/>
        <v>0</v>
      </c>
      <c r="Q88" s="25">
        <f t="shared" si="31"/>
        <v>0</v>
      </c>
      <c r="R88" s="25">
        <f t="shared" si="31"/>
        <v>0</v>
      </c>
      <c r="S88" s="25">
        <f t="shared" si="31"/>
        <v>0</v>
      </c>
      <c r="T88" s="25">
        <f t="shared" si="31"/>
        <v>0</v>
      </c>
      <c r="U88" s="25">
        <f t="shared" si="31"/>
        <v>0</v>
      </c>
      <c r="V88" s="25">
        <f t="shared" si="31"/>
        <v>0</v>
      </c>
      <c r="W88" s="26">
        <f t="shared" si="31"/>
        <v>0</v>
      </c>
      <c r="X88" s="27">
        <f t="shared" ref="X88:AI231" si="32">+IF(X$3&gt;=$C88,IF(X$3&lt;=$D88,1,0),0)</f>
        <v>0</v>
      </c>
      <c r="Y88" s="25">
        <f t="shared" si="32"/>
        <v>0</v>
      </c>
      <c r="Z88" s="25">
        <f t="shared" si="32"/>
        <v>0</v>
      </c>
      <c r="AA88" s="25">
        <f t="shared" si="32"/>
        <v>0</v>
      </c>
      <c r="AB88" s="25">
        <f t="shared" si="32"/>
        <v>0</v>
      </c>
      <c r="AC88" s="25">
        <f t="shared" si="32"/>
        <v>0</v>
      </c>
      <c r="AD88" s="25">
        <f t="shared" si="32"/>
        <v>0</v>
      </c>
      <c r="AE88" s="25">
        <f t="shared" si="32"/>
        <v>0</v>
      </c>
      <c r="AF88" s="25">
        <f t="shared" si="32"/>
        <v>0</v>
      </c>
      <c r="AG88" s="25">
        <f t="shared" si="32"/>
        <v>0</v>
      </c>
      <c r="AH88" s="25">
        <f t="shared" si="32"/>
        <v>0</v>
      </c>
      <c r="AI88" s="26">
        <f t="shared" si="32"/>
        <v>0</v>
      </c>
      <c r="AJ88" s="114"/>
      <c r="AK88" s="114"/>
      <c r="AL88" s="115"/>
    </row>
    <row r="89" spans="1:38" ht="16" outlineLevel="1">
      <c r="A89" s="206" t="s">
        <v>490</v>
      </c>
      <c r="B89" s="409" t="s">
        <v>121</v>
      </c>
      <c r="C89" s="320">
        <v>46052</v>
      </c>
      <c r="D89" s="321">
        <v>46096</v>
      </c>
      <c r="E89" s="378" t="e">
        <f>IF((#REF!-C89)/(D89-C89)&lt;0,0,IF((#REF!-C89)/(D89-C89)&gt;100%,100%,(#REF!-C89)/(D89-C89)))</f>
        <v>#REF!</v>
      </c>
      <c r="F89" s="320">
        <v>46052</v>
      </c>
      <c r="G89" s="282"/>
      <c r="H89" s="378" t="e">
        <f>IF((#REF!-F89)/(G89-F89)&lt;0,0,IF((#REF!-F89)/(G89-F89)&gt;100%,100%,(#REF!-F89)/(G89-F89)))</f>
        <v>#REF!</v>
      </c>
      <c r="I89" s="222" t="e">
        <f t="shared" si="27"/>
        <v>#REF!</v>
      </c>
      <c r="J89" s="25">
        <f t="shared" si="26"/>
        <v>0</v>
      </c>
      <c r="K89" s="26">
        <f t="shared" si="26"/>
        <v>0</v>
      </c>
      <c r="L89" s="25">
        <f t="shared" si="28"/>
        <v>1</v>
      </c>
      <c r="M89" s="25">
        <f t="shared" si="31"/>
        <v>1</v>
      </c>
      <c r="N89" s="25">
        <f t="shared" si="31"/>
        <v>0</v>
      </c>
      <c r="O89" s="25">
        <f t="shared" si="31"/>
        <v>0</v>
      </c>
      <c r="P89" s="25">
        <f t="shared" si="31"/>
        <v>0</v>
      </c>
      <c r="Q89" s="25">
        <f t="shared" si="31"/>
        <v>0</v>
      </c>
      <c r="R89" s="25">
        <f t="shared" si="31"/>
        <v>0</v>
      </c>
      <c r="S89" s="25">
        <f t="shared" si="31"/>
        <v>0</v>
      </c>
      <c r="T89" s="25">
        <f t="shared" si="31"/>
        <v>0</v>
      </c>
      <c r="U89" s="25">
        <f t="shared" si="31"/>
        <v>0</v>
      </c>
      <c r="V89" s="25">
        <f t="shared" si="31"/>
        <v>0</v>
      </c>
      <c r="W89" s="26">
        <f t="shared" si="31"/>
        <v>0</v>
      </c>
      <c r="X89" s="27">
        <f t="shared" si="32"/>
        <v>0</v>
      </c>
      <c r="Y89" s="25">
        <f t="shared" si="32"/>
        <v>0</v>
      </c>
      <c r="Z89" s="25">
        <f t="shared" si="32"/>
        <v>0</v>
      </c>
      <c r="AA89" s="25">
        <f t="shared" si="32"/>
        <v>0</v>
      </c>
      <c r="AB89" s="25">
        <f t="shared" si="32"/>
        <v>0</v>
      </c>
      <c r="AC89" s="25">
        <f t="shared" si="32"/>
        <v>0</v>
      </c>
      <c r="AD89" s="25">
        <f t="shared" si="32"/>
        <v>0</v>
      </c>
      <c r="AE89" s="25">
        <f t="shared" si="32"/>
        <v>0</v>
      </c>
      <c r="AF89" s="25">
        <f t="shared" si="32"/>
        <v>0</v>
      </c>
      <c r="AG89" s="25">
        <f t="shared" si="32"/>
        <v>0</v>
      </c>
      <c r="AH89" s="25">
        <f t="shared" si="32"/>
        <v>0</v>
      </c>
      <c r="AI89" s="26">
        <f t="shared" si="32"/>
        <v>0</v>
      </c>
      <c r="AJ89" s="114"/>
      <c r="AK89" s="114"/>
      <c r="AL89" s="115"/>
    </row>
    <row r="90" spans="1:38" ht="16" outlineLevel="1">
      <c r="A90" s="206" t="s">
        <v>491</v>
      </c>
      <c r="B90" s="409" t="s">
        <v>122</v>
      </c>
      <c r="C90" s="320">
        <v>46052</v>
      </c>
      <c r="D90" s="321">
        <v>46096</v>
      </c>
      <c r="E90" s="378" t="e">
        <f>IF((#REF!-C90)/(D90-C90)&lt;0,0,IF((#REF!-C90)/(D90-C90)&gt;100%,100%,(#REF!-C90)/(D90-C90)))</f>
        <v>#REF!</v>
      </c>
      <c r="F90" s="320">
        <v>46052</v>
      </c>
      <c r="G90" s="282"/>
      <c r="H90" s="378" t="e">
        <f>IF((#REF!-F90)/(G90-F90)&lt;0,0,IF((#REF!-F90)/(G90-F90)&gt;100%,100%,(#REF!-F90)/(G90-F90)))</f>
        <v>#REF!</v>
      </c>
      <c r="I90" s="222" t="e">
        <f t="shared" si="27"/>
        <v>#REF!</v>
      </c>
      <c r="J90" s="25">
        <f t="shared" si="26"/>
        <v>0</v>
      </c>
      <c r="K90" s="26">
        <f t="shared" si="26"/>
        <v>0</v>
      </c>
      <c r="L90" s="25">
        <f t="shared" si="28"/>
        <v>1</v>
      </c>
      <c r="M90" s="25">
        <f t="shared" si="31"/>
        <v>1</v>
      </c>
      <c r="N90" s="25">
        <f t="shared" si="31"/>
        <v>0</v>
      </c>
      <c r="O90" s="25">
        <f t="shared" si="31"/>
        <v>0</v>
      </c>
      <c r="P90" s="25">
        <f t="shared" si="31"/>
        <v>0</v>
      </c>
      <c r="Q90" s="25">
        <f t="shared" si="31"/>
        <v>0</v>
      </c>
      <c r="R90" s="25">
        <f t="shared" si="31"/>
        <v>0</v>
      </c>
      <c r="S90" s="25">
        <f t="shared" si="31"/>
        <v>0</v>
      </c>
      <c r="T90" s="25">
        <f t="shared" si="31"/>
        <v>0</v>
      </c>
      <c r="U90" s="25">
        <f t="shared" si="31"/>
        <v>0</v>
      </c>
      <c r="V90" s="25">
        <f t="shared" si="31"/>
        <v>0</v>
      </c>
      <c r="W90" s="26">
        <f t="shared" si="31"/>
        <v>0</v>
      </c>
      <c r="X90" s="27">
        <f t="shared" si="32"/>
        <v>0</v>
      </c>
      <c r="Y90" s="25">
        <f t="shared" si="32"/>
        <v>0</v>
      </c>
      <c r="Z90" s="25">
        <f t="shared" si="32"/>
        <v>0</v>
      </c>
      <c r="AA90" s="25">
        <f t="shared" si="32"/>
        <v>0</v>
      </c>
      <c r="AB90" s="25">
        <f t="shared" si="32"/>
        <v>0</v>
      </c>
      <c r="AC90" s="25">
        <f t="shared" si="32"/>
        <v>0</v>
      </c>
      <c r="AD90" s="25">
        <f t="shared" si="32"/>
        <v>0</v>
      </c>
      <c r="AE90" s="25">
        <f t="shared" si="32"/>
        <v>0</v>
      </c>
      <c r="AF90" s="25">
        <f t="shared" si="32"/>
        <v>0</v>
      </c>
      <c r="AG90" s="25">
        <f t="shared" si="32"/>
        <v>0</v>
      </c>
      <c r="AH90" s="25">
        <f t="shared" si="32"/>
        <v>0</v>
      </c>
      <c r="AI90" s="26">
        <f t="shared" si="32"/>
        <v>0</v>
      </c>
      <c r="AJ90" s="114"/>
      <c r="AK90" s="114"/>
      <c r="AL90" s="115"/>
    </row>
    <row r="91" spans="1:38" ht="16">
      <c r="A91" s="110" t="s">
        <v>414</v>
      </c>
      <c r="B91" s="411" t="s">
        <v>123</v>
      </c>
      <c r="C91" s="315">
        <v>46082</v>
      </c>
      <c r="D91" s="316">
        <v>46112</v>
      </c>
      <c r="E91" s="380" t="e">
        <f>IF((#REF!-C91)/(D91-C91)&lt;0,0,IF((#REF!-C91)/(D91-C91)&gt;100%,100%,(#REF!-C91)/(D91-C91)))</f>
        <v>#REF!</v>
      </c>
      <c r="F91" s="317"/>
      <c r="G91" s="318"/>
      <c r="H91" s="380" t="e">
        <f>IF((#REF!-F91)/(G91-F91)&lt;0,0,IF((#REF!-F91)/(G91-F91)&gt;100%,100%,(#REF!-F91)/(G91-F91)))</f>
        <v>#REF!</v>
      </c>
      <c r="I91" s="253" t="e">
        <f t="shared" si="27"/>
        <v>#REF!</v>
      </c>
      <c r="J91" s="25">
        <f t="shared" ref="J91:K244" si="33">+IF(J$3&gt;=$C91,IF(J$3&lt;=$D91,1,0),0)</f>
        <v>0</v>
      </c>
      <c r="K91" s="26">
        <f t="shared" si="33"/>
        <v>0</v>
      </c>
      <c r="L91" s="25">
        <f t="shared" si="28"/>
        <v>0</v>
      </c>
      <c r="M91" s="25">
        <f t="shared" si="31"/>
        <v>0</v>
      </c>
      <c r="N91" s="25">
        <f t="shared" si="31"/>
        <v>1</v>
      </c>
      <c r="O91" s="25">
        <f t="shared" si="31"/>
        <v>0</v>
      </c>
      <c r="P91" s="25">
        <f t="shared" si="31"/>
        <v>0</v>
      </c>
      <c r="Q91" s="25">
        <f t="shared" si="31"/>
        <v>0</v>
      </c>
      <c r="R91" s="25">
        <f t="shared" si="31"/>
        <v>0</v>
      </c>
      <c r="S91" s="25">
        <f t="shared" si="31"/>
        <v>0</v>
      </c>
      <c r="T91" s="25">
        <f t="shared" si="31"/>
        <v>0</v>
      </c>
      <c r="U91" s="25">
        <f t="shared" si="31"/>
        <v>0</v>
      </c>
      <c r="V91" s="25">
        <f t="shared" si="31"/>
        <v>0</v>
      </c>
      <c r="W91" s="26">
        <f t="shared" si="31"/>
        <v>0</v>
      </c>
      <c r="X91" s="27">
        <f t="shared" si="32"/>
        <v>0</v>
      </c>
      <c r="Y91" s="25">
        <f t="shared" si="32"/>
        <v>0</v>
      </c>
      <c r="Z91" s="25">
        <f t="shared" si="32"/>
        <v>0</v>
      </c>
      <c r="AA91" s="25">
        <f t="shared" si="32"/>
        <v>0</v>
      </c>
      <c r="AB91" s="25">
        <f t="shared" si="32"/>
        <v>0</v>
      </c>
      <c r="AC91" s="25">
        <f t="shared" si="32"/>
        <v>0</v>
      </c>
      <c r="AD91" s="25">
        <f t="shared" si="32"/>
        <v>0</v>
      </c>
      <c r="AE91" s="25">
        <f t="shared" si="32"/>
        <v>0</v>
      </c>
      <c r="AF91" s="25">
        <f t="shared" si="32"/>
        <v>0</v>
      </c>
      <c r="AG91" s="25">
        <f t="shared" si="32"/>
        <v>0</v>
      </c>
      <c r="AH91" s="25">
        <f t="shared" si="32"/>
        <v>0</v>
      </c>
      <c r="AI91" s="26">
        <f t="shared" si="32"/>
        <v>0</v>
      </c>
      <c r="AJ91" s="111"/>
      <c r="AK91" s="111"/>
      <c r="AL91" s="112"/>
    </row>
    <row r="92" spans="1:38" ht="27" customHeight="1" outlineLevel="1">
      <c r="A92" s="209" t="s">
        <v>492</v>
      </c>
      <c r="B92" s="412" t="s">
        <v>291</v>
      </c>
      <c r="C92" s="320">
        <v>46083</v>
      </c>
      <c r="D92" s="321">
        <v>46087</v>
      </c>
      <c r="E92" s="378" t="e">
        <f>IF((#REF!-C92)/(D92-C92)&lt;0,0,IF((#REF!-C92)/(D92-C92)&gt;100%,100%,(#REF!-C92)/(D92-C92)))</f>
        <v>#REF!</v>
      </c>
      <c r="F92" s="281"/>
      <c r="G92" s="282"/>
      <c r="H92" s="378" t="e">
        <f>IF((#REF!-F92)/(G92-F92)&lt;0,0,IF((#REF!-F92)/(G92-F92)&gt;100%,100%,(#REF!-F92)/(G92-F92)))</f>
        <v>#REF!</v>
      </c>
      <c r="I92" s="222" t="e">
        <f t="shared" si="27"/>
        <v>#REF!</v>
      </c>
      <c r="J92" s="25">
        <f t="shared" si="33"/>
        <v>0</v>
      </c>
      <c r="K92" s="26">
        <f t="shared" si="33"/>
        <v>0</v>
      </c>
      <c r="L92" s="25">
        <f t="shared" si="28"/>
        <v>0</v>
      </c>
      <c r="M92" s="25">
        <f t="shared" si="31"/>
        <v>0</v>
      </c>
      <c r="N92" s="25">
        <f t="shared" si="31"/>
        <v>0</v>
      </c>
      <c r="O92" s="25">
        <f t="shared" si="31"/>
        <v>0</v>
      </c>
      <c r="P92" s="25">
        <f t="shared" si="31"/>
        <v>0</v>
      </c>
      <c r="Q92" s="25">
        <f t="shared" si="31"/>
        <v>0</v>
      </c>
      <c r="R92" s="25">
        <f t="shared" si="31"/>
        <v>0</v>
      </c>
      <c r="S92" s="25">
        <f t="shared" si="31"/>
        <v>0</v>
      </c>
      <c r="T92" s="25">
        <f t="shared" si="31"/>
        <v>0</v>
      </c>
      <c r="U92" s="25">
        <f t="shared" si="31"/>
        <v>0</v>
      </c>
      <c r="V92" s="25">
        <f t="shared" si="31"/>
        <v>0</v>
      </c>
      <c r="W92" s="26">
        <f t="shared" si="31"/>
        <v>0</v>
      </c>
      <c r="X92" s="27">
        <f t="shared" si="32"/>
        <v>0</v>
      </c>
      <c r="Y92" s="25">
        <f t="shared" si="32"/>
        <v>0</v>
      </c>
      <c r="Z92" s="25">
        <f t="shared" si="32"/>
        <v>0</v>
      </c>
      <c r="AA92" s="25">
        <f t="shared" si="32"/>
        <v>0</v>
      </c>
      <c r="AB92" s="25">
        <f t="shared" si="32"/>
        <v>0</v>
      </c>
      <c r="AC92" s="25">
        <f t="shared" si="32"/>
        <v>0</v>
      </c>
      <c r="AD92" s="25">
        <f t="shared" si="32"/>
        <v>0</v>
      </c>
      <c r="AE92" s="25">
        <f t="shared" si="32"/>
        <v>0</v>
      </c>
      <c r="AF92" s="25">
        <f t="shared" si="32"/>
        <v>0</v>
      </c>
      <c r="AG92" s="25">
        <f t="shared" si="32"/>
        <v>0</v>
      </c>
      <c r="AH92" s="25">
        <f t="shared" si="32"/>
        <v>0</v>
      </c>
      <c r="AI92" s="26">
        <f t="shared" si="32"/>
        <v>0</v>
      </c>
      <c r="AJ92" s="114"/>
      <c r="AK92" s="114"/>
      <c r="AL92" s="115"/>
    </row>
    <row r="93" spans="1:38" ht="16.25" customHeight="1" outlineLevel="1">
      <c r="A93" s="209" t="s">
        <v>493</v>
      </c>
      <c r="B93" s="409" t="s">
        <v>124</v>
      </c>
      <c r="C93" s="320">
        <v>46083</v>
      </c>
      <c r="D93" s="321">
        <v>46101</v>
      </c>
      <c r="E93" s="378" t="e">
        <f>IF((#REF!-C93)/(D93-C93)&lt;0,0,IF((#REF!-C93)/(D93-C93)&gt;100%,100%,(#REF!-C93)/(D93-C93)))</f>
        <v>#REF!</v>
      </c>
      <c r="F93" s="281"/>
      <c r="G93" s="282"/>
      <c r="H93" s="378" t="e">
        <f>IF((#REF!-F93)/(G93-F93)&lt;0,0,IF((#REF!-F93)/(G93-F93)&gt;100%,100%,(#REF!-F93)/(G93-F93)))</f>
        <v>#REF!</v>
      </c>
      <c r="I93" s="222" t="e">
        <f t="shared" si="27"/>
        <v>#REF!</v>
      </c>
      <c r="J93" s="25">
        <f t="shared" si="33"/>
        <v>0</v>
      </c>
      <c r="K93" s="26">
        <f t="shared" si="33"/>
        <v>0</v>
      </c>
      <c r="L93" s="25">
        <f t="shared" si="28"/>
        <v>0</v>
      </c>
      <c r="M93" s="25">
        <f t="shared" si="31"/>
        <v>0</v>
      </c>
      <c r="N93" s="25">
        <f t="shared" si="31"/>
        <v>0</v>
      </c>
      <c r="O93" s="25">
        <f t="shared" si="31"/>
        <v>0</v>
      </c>
      <c r="P93" s="25">
        <f t="shared" si="31"/>
        <v>0</v>
      </c>
      <c r="Q93" s="25">
        <f t="shared" si="31"/>
        <v>0</v>
      </c>
      <c r="R93" s="25">
        <f t="shared" si="31"/>
        <v>0</v>
      </c>
      <c r="S93" s="25">
        <f t="shared" si="31"/>
        <v>0</v>
      </c>
      <c r="T93" s="25">
        <f t="shared" si="31"/>
        <v>0</v>
      </c>
      <c r="U93" s="25">
        <f t="shared" si="31"/>
        <v>0</v>
      </c>
      <c r="V93" s="25">
        <f t="shared" si="31"/>
        <v>0</v>
      </c>
      <c r="W93" s="26">
        <f t="shared" si="31"/>
        <v>0</v>
      </c>
      <c r="X93" s="27">
        <f t="shared" si="32"/>
        <v>0</v>
      </c>
      <c r="Y93" s="25">
        <f t="shared" si="32"/>
        <v>0</v>
      </c>
      <c r="Z93" s="25">
        <f t="shared" si="32"/>
        <v>0</v>
      </c>
      <c r="AA93" s="25">
        <f t="shared" si="32"/>
        <v>0</v>
      </c>
      <c r="AB93" s="25">
        <f t="shared" si="32"/>
        <v>0</v>
      </c>
      <c r="AC93" s="25">
        <f t="shared" si="32"/>
        <v>0</v>
      </c>
      <c r="AD93" s="25">
        <f t="shared" si="32"/>
        <v>0</v>
      </c>
      <c r="AE93" s="25">
        <f t="shared" si="32"/>
        <v>0</v>
      </c>
      <c r="AF93" s="25">
        <f t="shared" si="32"/>
        <v>0</v>
      </c>
      <c r="AG93" s="25">
        <f t="shared" si="32"/>
        <v>0</v>
      </c>
      <c r="AH93" s="25">
        <f t="shared" si="32"/>
        <v>0</v>
      </c>
      <c r="AI93" s="26">
        <f t="shared" si="32"/>
        <v>0</v>
      </c>
      <c r="AJ93" s="114"/>
      <c r="AK93" s="114"/>
      <c r="AL93" s="115"/>
    </row>
    <row r="94" spans="1:38" ht="19.25" customHeight="1" outlineLevel="1">
      <c r="A94" s="209" t="s">
        <v>494</v>
      </c>
      <c r="B94" s="409" t="s">
        <v>125</v>
      </c>
      <c r="C94" s="320">
        <v>46101</v>
      </c>
      <c r="D94" s="321">
        <v>46112</v>
      </c>
      <c r="E94" s="378" t="e">
        <f>IF((#REF!-C94)/(D94-C94)&lt;0,0,IF((#REF!-C94)/(D94-C94)&gt;100%,100%,(#REF!-C94)/(D94-C94)))</f>
        <v>#REF!</v>
      </c>
      <c r="F94" s="281"/>
      <c r="G94" s="282"/>
      <c r="H94" s="378" t="e">
        <f>IF((#REF!-F94)/(G94-F94)&lt;0,0,IF((#REF!-F94)/(G94-F94)&gt;100%,100%,(#REF!-F94)/(G94-F94)))</f>
        <v>#REF!</v>
      </c>
      <c r="I94" s="222" t="e">
        <f t="shared" si="27"/>
        <v>#REF!</v>
      </c>
      <c r="J94" s="25">
        <f t="shared" si="33"/>
        <v>0</v>
      </c>
      <c r="K94" s="26">
        <f t="shared" si="33"/>
        <v>0</v>
      </c>
      <c r="L94" s="25">
        <f t="shared" si="28"/>
        <v>0</v>
      </c>
      <c r="M94" s="25">
        <f t="shared" si="31"/>
        <v>0</v>
      </c>
      <c r="N94" s="25">
        <f t="shared" si="31"/>
        <v>1</v>
      </c>
      <c r="O94" s="25">
        <f t="shared" si="31"/>
        <v>0</v>
      </c>
      <c r="P94" s="25">
        <f t="shared" si="31"/>
        <v>0</v>
      </c>
      <c r="Q94" s="25">
        <f t="shared" si="31"/>
        <v>0</v>
      </c>
      <c r="R94" s="25">
        <f t="shared" si="31"/>
        <v>0</v>
      </c>
      <c r="S94" s="25">
        <f t="shared" si="31"/>
        <v>0</v>
      </c>
      <c r="T94" s="25">
        <f t="shared" si="31"/>
        <v>0</v>
      </c>
      <c r="U94" s="25">
        <f t="shared" si="31"/>
        <v>0</v>
      </c>
      <c r="V94" s="25">
        <f t="shared" si="31"/>
        <v>0</v>
      </c>
      <c r="W94" s="26">
        <f t="shared" si="31"/>
        <v>0</v>
      </c>
      <c r="X94" s="27">
        <f t="shared" si="32"/>
        <v>0</v>
      </c>
      <c r="Y94" s="25">
        <f t="shared" si="32"/>
        <v>0</v>
      </c>
      <c r="Z94" s="25">
        <f t="shared" si="32"/>
        <v>0</v>
      </c>
      <c r="AA94" s="25">
        <f t="shared" si="32"/>
        <v>0</v>
      </c>
      <c r="AB94" s="25">
        <f t="shared" si="32"/>
        <v>0</v>
      </c>
      <c r="AC94" s="25">
        <f t="shared" si="32"/>
        <v>0</v>
      </c>
      <c r="AD94" s="25">
        <f t="shared" si="32"/>
        <v>0</v>
      </c>
      <c r="AE94" s="25">
        <f t="shared" si="32"/>
        <v>0</v>
      </c>
      <c r="AF94" s="25">
        <f t="shared" si="32"/>
        <v>0</v>
      </c>
      <c r="AG94" s="25">
        <f t="shared" si="32"/>
        <v>0</v>
      </c>
      <c r="AH94" s="25">
        <f t="shared" si="32"/>
        <v>0</v>
      </c>
      <c r="AI94" s="26">
        <f t="shared" si="32"/>
        <v>0</v>
      </c>
      <c r="AJ94" s="114"/>
      <c r="AK94" s="114"/>
      <c r="AL94" s="115"/>
    </row>
    <row r="95" spans="1:38" ht="40.75" customHeight="1">
      <c r="A95" s="210" t="s">
        <v>234</v>
      </c>
      <c r="B95" s="66" t="s">
        <v>495</v>
      </c>
      <c r="C95" s="325">
        <v>46083</v>
      </c>
      <c r="D95" s="326">
        <v>46112</v>
      </c>
      <c r="E95" s="381" t="e">
        <f>IF((#REF!-C95)/(D95-C95)&lt;0,0,IF((#REF!-C95)/(D95-C95)&gt;100%,100%,(#REF!-C95)/(D95-C95)))</f>
        <v>#REF!</v>
      </c>
      <c r="F95" s="327"/>
      <c r="G95" s="328"/>
      <c r="H95" s="381" t="e">
        <f>IF((#REF!-F95)/(G95-F95)&lt;0,0,IF((#REF!-F95)/(G95-F95)&gt;100%,100%,(#REF!-F95)/(G95-F95)))</f>
        <v>#REF!</v>
      </c>
      <c r="I95" s="219" t="e">
        <f t="shared" si="27"/>
        <v>#REF!</v>
      </c>
      <c r="J95" s="49">
        <f t="shared" si="33"/>
        <v>0</v>
      </c>
      <c r="K95" s="50">
        <f t="shared" si="33"/>
        <v>0</v>
      </c>
      <c r="L95" s="49">
        <f t="shared" si="28"/>
        <v>0</v>
      </c>
      <c r="M95" s="49">
        <f t="shared" si="31"/>
        <v>0</v>
      </c>
      <c r="N95" s="49">
        <f t="shared" si="31"/>
        <v>1</v>
      </c>
      <c r="O95" s="49">
        <f t="shared" si="31"/>
        <v>0</v>
      </c>
      <c r="P95" s="49">
        <f t="shared" si="31"/>
        <v>0</v>
      </c>
      <c r="Q95" s="49">
        <f t="shared" si="31"/>
        <v>0</v>
      </c>
      <c r="R95" s="49">
        <f t="shared" si="31"/>
        <v>0</v>
      </c>
      <c r="S95" s="49">
        <f t="shared" si="31"/>
        <v>0</v>
      </c>
      <c r="T95" s="49">
        <f t="shared" si="31"/>
        <v>0</v>
      </c>
      <c r="U95" s="49">
        <f t="shared" si="31"/>
        <v>0</v>
      </c>
      <c r="V95" s="49">
        <f t="shared" si="31"/>
        <v>0</v>
      </c>
      <c r="W95" s="50">
        <f t="shared" si="31"/>
        <v>0</v>
      </c>
      <c r="X95" s="51">
        <f t="shared" si="32"/>
        <v>0</v>
      </c>
      <c r="Y95" s="49">
        <f t="shared" si="32"/>
        <v>0</v>
      </c>
      <c r="Z95" s="49">
        <f t="shared" si="32"/>
        <v>0</v>
      </c>
      <c r="AA95" s="49">
        <f t="shared" si="32"/>
        <v>0</v>
      </c>
      <c r="AB95" s="49">
        <f t="shared" si="32"/>
        <v>0</v>
      </c>
      <c r="AC95" s="49">
        <f t="shared" si="32"/>
        <v>0</v>
      </c>
      <c r="AD95" s="49">
        <f t="shared" si="32"/>
        <v>0</v>
      </c>
      <c r="AE95" s="49">
        <f t="shared" si="32"/>
        <v>0</v>
      </c>
      <c r="AF95" s="49">
        <f t="shared" si="32"/>
        <v>0</v>
      </c>
      <c r="AG95" s="49">
        <f t="shared" si="32"/>
        <v>0</v>
      </c>
      <c r="AH95" s="49">
        <f t="shared" si="32"/>
        <v>0</v>
      </c>
      <c r="AI95" s="50">
        <f t="shared" si="32"/>
        <v>0</v>
      </c>
      <c r="AJ95" s="135"/>
      <c r="AK95" s="135"/>
      <c r="AL95" s="136"/>
    </row>
    <row r="96" spans="1:38" ht="20.5" customHeight="1">
      <c r="A96" s="125" t="s">
        <v>496</v>
      </c>
      <c r="B96" s="413" t="s">
        <v>306</v>
      </c>
      <c r="C96" s="329">
        <v>46083</v>
      </c>
      <c r="D96" s="330">
        <v>46096</v>
      </c>
      <c r="E96" s="378" t="e">
        <f>IF((#REF!-C96)/(D96-C96)&lt;0,0,IF((#REF!-C96)/(D96-C96)&gt;100%,100%,(#REF!-C96)/(D96-C96)))</f>
        <v>#REF!</v>
      </c>
      <c r="F96" s="331"/>
      <c r="G96" s="332"/>
      <c r="H96" s="378" t="e">
        <f>IF((#REF!-F96)/(G96-F96)&lt;0,0,IF((#REF!-F96)/(G96-F96)&gt;100%,100%,(#REF!-F96)/(G96-F96)))</f>
        <v>#REF!</v>
      </c>
      <c r="I96" s="222" t="e">
        <f t="shared" si="27"/>
        <v>#REF!</v>
      </c>
      <c r="J96" s="25">
        <f t="shared" si="33"/>
        <v>0</v>
      </c>
      <c r="K96" s="26">
        <f t="shared" si="33"/>
        <v>0</v>
      </c>
      <c r="L96" s="25">
        <f t="shared" si="28"/>
        <v>0</v>
      </c>
      <c r="M96" s="25">
        <f t="shared" si="31"/>
        <v>0</v>
      </c>
      <c r="N96" s="25">
        <f t="shared" si="31"/>
        <v>0</v>
      </c>
      <c r="O96" s="25">
        <f t="shared" si="31"/>
        <v>0</v>
      </c>
      <c r="P96" s="25">
        <f t="shared" si="31"/>
        <v>0</v>
      </c>
      <c r="Q96" s="25">
        <f t="shared" si="31"/>
        <v>0</v>
      </c>
      <c r="R96" s="25">
        <f t="shared" si="31"/>
        <v>0</v>
      </c>
      <c r="S96" s="25">
        <f t="shared" si="31"/>
        <v>0</v>
      </c>
      <c r="T96" s="25">
        <f t="shared" si="31"/>
        <v>0</v>
      </c>
      <c r="U96" s="25">
        <f t="shared" si="31"/>
        <v>0</v>
      </c>
      <c r="V96" s="25">
        <f t="shared" si="31"/>
        <v>0</v>
      </c>
      <c r="W96" s="26">
        <f t="shared" si="31"/>
        <v>0</v>
      </c>
      <c r="X96" s="27">
        <f t="shared" si="32"/>
        <v>0</v>
      </c>
      <c r="Y96" s="25">
        <f t="shared" si="32"/>
        <v>0</v>
      </c>
      <c r="Z96" s="25">
        <f t="shared" si="32"/>
        <v>0</v>
      </c>
      <c r="AA96" s="25">
        <f t="shared" si="32"/>
        <v>0</v>
      </c>
      <c r="AB96" s="25">
        <f t="shared" si="32"/>
        <v>0</v>
      </c>
      <c r="AC96" s="25">
        <f t="shared" si="32"/>
        <v>0</v>
      </c>
      <c r="AD96" s="25">
        <f t="shared" si="32"/>
        <v>0</v>
      </c>
      <c r="AE96" s="25">
        <f t="shared" si="32"/>
        <v>0</v>
      </c>
      <c r="AF96" s="25">
        <f t="shared" si="32"/>
        <v>0</v>
      </c>
      <c r="AG96" s="25">
        <f t="shared" si="32"/>
        <v>0</v>
      </c>
      <c r="AH96" s="25">
        <f t="shared" si="32"/>
        <v>0</v>
      </c>
      <c r="AI96" s="26">
        <f t="shared" si="32"/>
        <v>0</v>
      </c>
      <c r="AJ96" s="126"/>
      <c r="AK96" s="126"/>
      <c r="AL96" s="127"/>
    </row>
    <row r="97" spans="1:38" ht="26.5" customHeight="1">
      <c r="A97" s="122" t="s">
        <v>497</v>
      </c>
      <c r="B97" s="411" t="s">
        <v>567</v>
      </c>
      <c r="C97" s="251"/>
      <c r="D97" s="252"/>
      <c r="E97" s="380" t="e">
        <f>IF((#REF!-C97)/(D97-C97)&lt;0,0,IF((#REF!-C97)/(D97-C97)&gt;100%,100%,(#REF!-C97)/(D97-C97)))</f>
        <v>#REF!</v>
      </c>
      <c r="F97" s="333"/>
      <c r="G97" s="334"/>
      <c r="H97" s="380" t="e">
        <f>IF((#REF!-F97)/(G97-F97)&lt;0,0,IF((#REF!-F97)/(G97-F97)&gt;100%,100%,(#REF!-F97)/(G97-F97)))</f>
        <v>#REF!</v>
      </c>
      <c r="I97" s="253" t="e">
        <f t="shared" ref="I97:I128" si="34">(D97-C97)/100%*(H97-E97)</f>
        <v>#REF!</v>
      </c>
      <c r="J97" s="25">
        <f t="shared" ref="J97:S106" si="35">+IF(J$3&gt;=$C97,IF(J$3&lt;=$D97,1,0),0)</f>
        <v>0</v>
      </c>
      <c r="K97" s="26">
        <f t="shared" si="35"/>
        <v>0</v>
      </c>
      <c r="L97" s="25">
        <f t="shared" si="35"/>
        <v>0</v>
      </c>
      <c r="M97" s="25">
        <f t="shared" si="35"/>
        <v>0</v>
      </c>
      <c r="N97" s="25">
        <f t="shared" si="35"/>
        <v>0</v>
      </c>
      <c r="O97" s="25">
        <f t="shared" si="35"/>
        <v>0</v>
      </c>
      <c r="P97" s="25">
        <f t="shared" si="35"/>
        <v>0</v>
      </c>
      <c r="Q97" s="25">
        <f t="shared" si="35"/>
        <v>0</v>
      </c>
      <c r="R97" s="25">
        <f t="shared" si="35"/>
        <v>0</v>
      </c>
      <c r="S97" s="25">
        <f t="shared" si="35"/>
        <v>0</v>
      </c>
      <c r="T97" s="25">
        <f t="shared" ref="T97:AC106" si="36">+IF(T$3&gt;=$C97,IF(T$3&lt;=$D97,1,0),0)</f>
        <v>0</v>
      </c>
      <c r="U97" s="25">
        <f t="shared" si="36"/>
        <v>0</v>
      </c>
      <c r="V97" s="25">
        <f t="shared" si="36"/>
        <v>0</v>
      </c>
      <c r="W97" s="26">
        <f t="shared" si="36"/>
        <v>0</v>
      </c>
      <c r="X97" s="27">
        <f t="shared" si="36"/>
        <v>0</v>
      </c>
      <c r="Y97" s="25">
        <f t="shared" si="36"/>
        <v>0</v>
      </c>
      <c r="Z97" s="25">
        <f t="shared" si="36"/>
        <v>0</v>
      </c>
      <c r="AA97" s="25">
        <f t="shared" si="36"/>
        <v>0</v>
      </c>
      <c r="AB97" s="25">
        <f t="shared" si="36"/>
        <v>0</v>
      </c>
      <c r="AC97" s="25">
        <f t="shared" si="36"/>
        <v>0</v>
      </c>
      <c r="AD97" s="25">
        <f t="shared" si="32"/>
        <v>0</v>
      </c>
      <c r="AE97" s="25">
        <f t="shared" si="32"/>
        <v>0</v>
      </c>
      <c r="AF97" s="25">
        <f t="shared" si="32"/>
        <v>0</v>
      </c>
      <c r="AG97" s="25">
        <f t="shared" si="32"/>
        <v>0</v>
      </c>
      <c r="AH97" s="25">
        <f t="shared" si="32"/>
        <v>0</v>
      </c>
      <c r="AI97" s="26">
        <f t="shared" si="32"/>
        <v>0</v>
      </c>
      <c r="AJ97" s="123"/>
      <c r="AK97" s="123"/>
      <c r="AL97" s="124"/>
    </row>
    <row r="98" spans="1:38" ht="16">
      <c r="A98" s="128" t="s">
        <v>498</v>
      </c>
      <c r="B98" s="66" t="s">
        <v>309</v>
      </c>
      <c r="C98" s="322">
        <v>46096</v>
      </c>
      <c r="D98" s="323">
        <v>46132</v>
      </c>
      <c r="E98" s="381" t="e">
        <f>IF((#REF!-C98)/(D98-C98)&lt;0,0,IF((#REF!-C98)/(D98-C98)&gt;100%,100%,(#REF!-C98)/(D98-C98)))</f>
        <v>#REF!</v>
      </c>
      <c r="F98" s="335"/>
      <c r="G98" s="225"/>
      <c r="H98" s="381" t="e">
        <f>IF((#REF!-F98)/(G98-F98)&lt;0,0,IF((#REF!-F98)/(G98-F98)&gt;100%,100%,(#REF!-F98)/(G98-F98)))</f>
        <v>#REF!</v>
      </c>
      <c r="I98" s="219" t="e">
        <f t="shared" si="34"/>
        <v>#REF!</v>
      </c>
      <c r="J98" s="49">
        <f t="shared" si="35"/>
        <v>0</v>
      </c>
      <c r="K98" s="50">
        <f t="shared" si="35"/>
        <v>0</v>
      </c>
      <c r="L98" s="49">
        <f t="shared" si="35"/>
        <v>0</v>
      </c>
      <c r="M98" s="49">
        <f t="shared" si="35"/>
        <v>0</v>
      </c>
      <c r="N98" s="49">
        <f t="shared" si="35"/>
        <v>1</v>
      </c>
      <c r="O98" s="49">
        <f t="shared" si="35"/>
        <v>0</v>
      </c>
      <c r="P98" s="49">
        <f t="shared" si="35"/>
        <v>0</v>
      </c>
      <c r="Q98" s="49">
        <f t="shared" si="35"/>
        <v>0</v>
      </c>
      <c r="R98" s="49">
        <f t="shared" si="35"/>
        <v>0</v>
      </c>
      <c r="S98" s="49">
        <f t="shared" si="35"/>
        <v>0</v>
      </c>
      <c r="T98" s="49">
        <f t="shared" si="36"/>
        <v>0</v>
      </c>
      <c r="U98" s="49">
        <f t="shared" si="36"/>
        <v>0</v>
      </c>
      <c r="V98" s="49">
        <f t="shared" si="36"/>
        <v>0</v>
      </c>
      <c r="W98" s="50">
        <f t="shared" si="36"/>
        <v>0</v>
      </c>
      <c r="X98" s="51">
        <f t="shared" si="36"/>
        <v>0</v>
      </c>
      <c r="Y98" s="49">
        <f t="shared" si="36"/>
        <v>0</v>
      </c>
      <c r="Z98" s="49">
        <f t="shared" si="36"/>
        <v>0</v>
      </c>
      <c r="AA98" s="49">
        <f t="shared" si="36"/>
        <v>0</v>
      </c>
      <c r="AB98" s="49">
        <f t="shared" si="36"/>
        <v>0</v>
      </c>
      <c r="AC98" s="49">
        <f t="shared" si="36"/>
        <v>0</v>
      </c>
      <c r="AD98" s="49">
        <f t="shared" si="32"/>
        <v>0</v>
      </c>
      <c r="AE98" s="49">
        <f t="shared" si="32"/>
        <v>0</v>
      </c>
      <c r="AF98" s="49">
        <f t="shared" si="32"/>
        <v>0</v>
      </c>
      <c r="AG98" s="49">
        <f t="shared" si="32"/>
        <v>0</v>
      </c>
      <c r="AH98" s="49">
        <f t="shared" si="32"/>
        <v>0</v>
      </c>
      <c r="AI98" s="50">
        <f t="shared" si="32"/>
        <v>0</v>
      </c>
      <c r="AJ98" s="117"/>
      <c r="AK98" s="117"/>
      <c r="AL98" s="118"/>
    </row>
    <row r="99" spans="1:38" s="208" customFormat="1" outlineLevel="1">
      <c r="A99" s="209" t="s">
        <v>510</v>
      </c>
      <c r="B99" s="412" t="s">
        <v>307</v>
      </c>
      <c r="C99" s="320">
        <v>46096</v>
      </c>
      <c r="D99" s="321">
        <v>46101</v>
      </c>
      <c r="E99" s="378" t="e">
        <f>IF((#REF!-C99)/(D99-C99)&lt;0,0,IF((#REF!-C99)/(D99-C99)&gt;100%,100%,(#REF!-C99)/(D99-C99)))</f>
        <v>#REF!</v>
      </c>
      <c r="F99" s="249"/>
      <c r="G99" s="250"/>
      <c r="H99" s="378" t="e">
        <f>IF((#REF!-F99)/(G99-F99)&lt;0,0,IF((#REF!-F99)/(G99-F99)&gt;100%,100%,(#REF!-F99)/(G99-F99)))</f>
        <v>#REF!</v>
      </c>
      <c r="I99" s="222" t="e">
        <f t="shared" si="34"/>
        <v>#REF!</v>
      </c>
      <c r="J99" s="356">
        <f t="shared" si="35"/>
        <v>0</v>
      </c>
      <c r="K99" s="357">
        <f t="shared" si="35"/>
        <v>0</v>
      </c>
      <c r="L99" s="356">
        <f t="shared" si="35"/>
        <v>0</v>
      </c>
      <c r="M99" s="356">
        <f t="shared" si="35"/>
        <v>0</v>
      </c>
      <c r="N99" s="356">
        <f t="shared" si="35"/>
        <v>0</v>
      </c>
      <c r="O99" s="356">
        <f t="shared" si="35"/>
        <v>0</v>
      </c>
      <c r="P99" s="356">
        <f t="shared" si="35"/>
        <v>0</v>
      </c>
      <c r="Q99" s="356">
        <f t="shared" si="35"/>
        <v>0</v>
      </c>
      <c r="R99" s="356">
        <f t="shared" si="35"/>
        <v>0</v>
      </c>
      <c r="S99" s="356">
        <f t="shared" si="35"/>
        <v>0</v>
      </c>
      <c r="T99" s="356">
        <f t="shared" si="36"/>
        <v>0</v>
      </c>
      <c r="U99" s="356">
        <f t="shared" si="36"/>
        <v>0</v>
      </c>
      <c r="V99" s="356">
        <f t="shared" si="36"/>
        <v>0</v>
      </c>
      <c r="W99" s="357">
        <f t="shared" si="36"/>
        <v>0</v>
      </c>
      <c r="X99" s="358">
        <f t="shared" si="36"/>
        <v>0</v>
      </c>
      <c r="Y99" s="356">
        <f t="shared" si="36"/>
        <v>0</v>
      </c>
      <c r="Z99" s="356">
        <f t="shared" si="36"/>
        <v>0</v>
      </c>
      <c r="AA99" s="356">
        <f t="shared" si="36"/>
        <v>0</v>
      </c>
      <c r="AB99" s="356">
        <f t="shared" si="36"/>
        <v>0</v>
      </c>
      <c r="AC99" s="356">
        <f t="shared" si="36"/>
        <v>0</v>
      </c>
      <c r="AD99" s="356">
        <f t="shared" si="32"/>
        <v>0</v>
      </c>
      <c r="AE99" s="356">
        <f t="shared" si="32"/>
        <v>0</v>
      </c>
      <c r="AF99" s="356">
        <f t="shared" si="32"/>
        <v>0</v>
      </c>
      <c r="AG99" s="356">
        <f t="shared" si="32"/>
        <v>0</v>
      </c>
      <c r="AH99" s="356">
        <f t="shared" si="32"/>
        <v>0</v>
      </c>
      <c r="AI99" s="357">
        <f t="shared" si="32"/>
        <v>0</v>
      </c>
      <c r="AJ99" s="363"/>
      <c r="AK99" s="363"/>
      <c r="AL99" s="364"/>
    </row>
    <row r="100" spans="1:38" s="208" customFormat="1" outlineLevel="1">
      <c r="A100" s="209" t="s">
        <v>511</v>
      </c>
      <c r="B100" s="412" t="s">
        <v>308</v>
      </c>
      <c r="C100" s="320"/>
      <c r="D100" s="321"/>
      <c r="E100" s="378" t="e">
        <f>IF((#REF!-C100)/(D100-C100)&lt;0,0,IF((#REF!-C100)/(D100-C100)&gt;100%,100%,(#REF!-C100)/(D100-C100)))</f>
        <v>#REF!</v>
      </c>
      <c r="F100" s="249"/>
      <c r="G100" s="250"/>
      <c r="H100" s="378" t="e">
        <f>IF((#REF!-F100)/(G100-F100)&lt;0,0,IF((#REF!-F100)/(G100-F100)&gt;100%,100%,(#REF!-F100)/(G100-F100)))</f>
        <v>#REF!</v>
      </c>
      <c r="I100" s="222" t="e">
        <f t="shared" si="34"/>
        <v>#REF!</v>
      </c>
      <c r="J100" s="356">
        <f t="shared" si="35"/>
        <v>0</v>
      </c>
      <c r="K100" s="357">
        <f t="shared" si="35"/>
        <v>0</v>
      </c>
      <c r="L100" s="356">
        <f t="shared" si="35"/>
        <v>0</v>
      </c>
      <c r="M100" s="356">
        <f t="shared" si="35"/>
        <v>0</v>
      </c>
      <c r="N100" s="356">
        <f t="shared" si="35"/>
        <v>0</v>
      </c>
      <c r="O100" s="356">
        <f t="shared" si="35"/>
        <v>0</v>
      </c>
      <c r="P100" s="356">
        <f t="shared" si="35"/>
        <v>0</v>
      </c>
      <c r="Q100" s="356">
        <f t="shared" si="35"/>
        <v>0</v>
      </c>
      <c r="R100" s="356">
        <f t="shared" si="35"/>
        <v>0</v>
      </c>
      <c r="S100" s="356">
        <f t="shared" si="35"/>
        <v>0</v>
      </c>
      <c r="T100" s="356">
        <f t="shared" si="36"/>
        <v>0</v>
      </c>
      <c r="U100" s="356">
        <f t="shared" si="36"/>
        <v>0</v>
      </c>
      <c r="V100" s="356">
        <f t="shared" si="36"/>
        <v>0</v>
      </c>
      <c r="W100" s="357">
        <f t="shared" si="36"/>
        <v>0</v>
      </c>
      <c r="X100" s="358">
        <f t="shared" si="36"/>
        <v>0</v>
      </c>
      <c r="Y100" s="356">
        <f t="shared" si="36"/>
        <v>0</v>
      </c>
      <c r="Z100" s="356">
        <f t="shared" si="36"/>
        <v>0</v>
      </c>
      <c r="AA100" s="356">
        <f t="shared" si="36"/>
        <v>0</v>
      </c>
      <c r="AB100" s="356">
        <f t="shared" si="36"/>
        <v>0</v>
      </c>
      <c r="AC100" s="356">
        <f t="shared" si="36"/>
        <v>0</v>
      </c>
      <c r="AD100" s="356">
        <f t="shared" si="32"/>
        <v>0</v>
      </c>
      <c r="AE100" s="356">
        <f t="shared" si="32"/>
        <v>0</v>
      </c>
      <c r="AF100" s="356">
        <f t="shared" si="32"/>
        <v>0</v>
      </c>
      <c r="AG100" s="356">
        <f t="shared" si="32"/>
        <v>0</v>
      </c>
      <c r="AH100" s="356">
        <f t="shared" si="32"/>
        <v>0</v>
      </c>
      <c r="AI100" s="357">
        <f t="shared" si="32"/>
        <v>0</v>
      </c>
      <c r="AJ100" s="363"/>
      <c r="AK100" s="363"/>
      <c r="AL100" s="364"/>
    </row>
    <row r="101" spans="1:38" s="208" customFormat="1" outlineLevel="1">
      <c r="A101" s="209" t="s">
        <v>512</v>
      </c>
      <c r="B101" s="412" t="s">
        <v>310</v>
      </c>
      <c r="C101" s="320"/>
      <c r="D101" s="321"/>
      <c r="E101" s="378" t="e">
        <f>IF((#REF!-C101)/(D101-C101)&lt;0,0,IF((#REF!-C101)/(D101-C101)&gt;100%,100%,(#REF!-C101)/(D101-C101)))</f>
        <v>#REF!</v>
      </c>
      <c r="F101" s="249"/>
      <c r="G101" s="250"/>
      <c r="H101" s="378" t="e">
        <f>IF((#REF!-F101)/(G101-F101)&lt;0,0,IF((#REF!-F101)/(G101-F101)&gt;100%,100%,(#REF!-F101)/(G101-F101)))</f>
        <v>#REF!</v>
      </c>
      <c r="I101" s="222" t="e">
        <f t="shared" si="34"/>
        <v>#REF!</v>
      </c>
      <c r="J101" s="356">
        <f t="shared" si="35"/>
        <v>0</v>
      </c>
      <c r="K101" s="357">
        <f t="shared" si="35"/>
        <v>0</v>
      </c>
      <c r="L101" s="356">
        <f t="shared" si="35"/>
        <v>0</v>
      </c>
      <c r="M101" s="356">
        <f t="shared" si="35"/>
        <v>0</v>
      </c>
      <c r="N101" s="356">
        <f t="shared" si="35"/>
        <v>0</v>
      </c>
      <c r="O101" s="356">
        <f t="shared" si="35"/>
        <v>0</v>
      </c>
      <c r="P101" s="356">
        <f t="shared" si="35"/>
        <v>0</v>
      </c>
      <c r="Q101" s="356">
        <f t="shared" si="35"/>
        <v>0</v>
      </c>
      <c r="R101" s="356">
        <f t="shared" si="35"/>
        <v>0</v>
      </c>
      <c r="S101" s="356">
        <f t="shared" si="35"/>
        <v>0</v>
      </c>
      <c r="T101" s="356">
        <f t="shared" si="36"/>
        <v>0</v>
      </c>
      <c r="U101" s="356">
        <f t="shared" si="36"/>
        <v>0</v>
      </c>
      <c r="V101" s="356">
        <f t="shared" si="36"/>
        <v>0</v>
      </c>
      <c r="W101" s="357">
        <f t="shared" si="36"/>
        <v>0</v>
      </c>
      <c r="X101" s="358">
        <f t="shared" si="36"/>
        <v>0</v>
      </c>
      <c r="Y101" s="356">
        <f t="shared" si="36"/>
        <v>0</v>
      </c>
      <c r="Z101" s="356">
        <f t="shared" si="36"/>
        <v>0</v>
      </c>
      <c r="AA101" s="356">
        <f t="shared" si="36"/>
        <v>0</v>
      </c>
      <c r="AB101" s="356">
        <f t="shared" si="36"/>
        <v>0</v>
      </c>
      <c r="AC101" s="356">
        <f t="shared" si="36"/>
        <v>0</v>
      </c>
      <c r="AD101" s="356">
        <f t="shared" si="32"/>
        <v>0</v>
      </c>
      <c r="AE101" s="356">
        <f t="shared" si="32"/>
        <v>0</v>
      </c>
      <c r="AF101" s="356">
        <f t="shared" si="32"/>
        <v>0</v>
      </c>
      <c r="AG101" s="356">
        <f t="shared" si="32"/>
        <v>0</v>
      </c>
      <c r="AH101" s="356">
        <f t="shared" si="32"/>
        <v>0</v>
      </c>
      <c r="AI101" s="357">
        <f t="shared" si="32"/>
        <v>0</v>
      </c>
      <c r="AJ101" s="363"/>
      <c r="AK101" s="363"/>
      <c r="AL101" s="364"/>
    </row>
    <row r="102" spans="1:38" s="208" customFormat="1" outlineLevel="1">
      <c r="A102" s="209" t="s">
        <v>513</v>
      </c>
      <c r="B102" s="412" t="s">
        <v>311</v>
      </c>
      <c r="C102" s="320"/>
      <c r="D102" s="321"/>
      <c r="E102" s="378" t="e">
        <f>IF((#REF!-C102)/(D102-C102)&lt;0,0,IF((#REF!-C102)/(D102-C102)&gt;100%,100%,(#REF!-C102)/(D102-C102)))</f>
        <v>#REF!</v>
      </c>
      <c r="F102" s="249"/>
      <c r="G102" s="250"/>
      <c r="H102" s="378" t="e">
        <f>IF((#REF!-F102)/(G102-F102)&lt;0,0,IF((#REF!-F102)/(G102-F102)&gt;100%,100%,(#REF!-F102)/(G102-F102)))</f>
        <v>#REF!</v>
      </c>
      <c r="I102" s="222" t="e">
        <f t="shared" si="34"/>
        <v>#REF!</v>
      </c>
      <c r="J102" s="356">
        <f t="shared" si="35"/>
        <v>0</v>
      </c>
      <c r="K102" s="357">
        <f t="shared" si="35"/>
        <v>0</v>
      </c>
      <c r="L102" s="356">
        <f t="shared" si="35"/>
        <v>0</v>
      </c>
      <c r="M102" s="356">
        <f t="shared" si="35"/>
        <v>0</v>
      </c>
      <c r="N102" s="356">
        <f t="shared" si="35"/>
        <v>0</v>
      </c>
      <c r="O102" s="356">
        <f t="shared" si="35"/>
        <v>0</v>
      </c>
      <c r="P102" s="356">
        <f t="shared" si="35"/>
        <v>0</v>
      </c>
      <c r="Q102" s="356">
        <f t="shared" si="35"/>
        <v>0</v>
      </c>
      <c r="R102" s="356">
        <f t="shared" si="35"/>
        <v>0</v>
      </c>
      <c r="S102" s="356">
        <f t="shared" si="35"/>
        <v>0</v>
      </c>
      <c r="T102" s="356">
        <f t="shared" si="36"/>
        <v>0</v>
      </c>
      <c r="U102" s="356">
        <f t="shared" si="36"/>
        <v>0</v>
      </c>
      <c r="V102" s="356">
        <f t="shared" si="36"/>
        <v>0</v>
      </c>
      <c r="W102" s="357">
        <f t="shared" si="36"/>
        <v>0</v>
      </c>
      <c r="X102" s="358">
        <f t="shared" si="36"/>
        <v>0</v>
      </c>
      <c r="Y102" s="356">
        <f t="shared" si="36"/>
        <v>0</v>
      </c>
      <c r="Z102" s="356">
        <f t="shared" si="36"/>
        <v>0</v>
      </c>
      <c r="AA102" s="356">
        <f t="shared" si="36"/>
        <v>0</v>
      </c>
      <c r="AB102" s="356">
        <f t="shared" si="36"/>
        <v>0</v>
      </c>
      <c r="AC102" s="356">
        <f t="shared" si="36"/>
        <v>0</v>
      </c>
      <c r="AD102" s="356">
        <f t="shared" si="32"/>
        <v>0</v>
      </c>
      <c r="AE102" s="356">
        <f t="shared" si="32"/>
        <v>0</v>
      </c>
      <c r="AF102" s="356">
        <f t="shared" si="32"/>
        <v>0</v>
      </c>
      <c r="AG102" s="356">
        <f t="shared" si="32"/>
        <v>0</v>
      </c>
      <c r="AH102" s="356">
        <f t="shared" si="32"/>
        <v>0</v>
      </c>
      <c r="AI102" s="357">
        <f t="shared" si="32"/>
        <v>0</v>
      </c>
      <c r="AJ102" s="363"/>
      <c r="AK102" s="363"/>
      <c r="AL102" s="364"/>
    </row>
    <row r="103" spans="1:38" ht="16">
      <c r="A103" s="128" t="s">
        <v>499</v>
      </c>
      <c r="B103" s="66" t="s">
        <v>312</v>
      </c>
      <c r="C103" s="322">
        <v>46096</v>
      </c>
      <c r="D103" s="323">
        <v>46132</v>
      </c>
      <c r="E103" s="381" t="e">
        <f>IF((#REF!-C103)/(D103-C103)&lt;0,0,IF((#REF!-C103)/(D103-C103)&gt;100%,100%,(#REF!-C103)/(D103-C103)))</f>
        <v>#REF!</v>
      </c>
      <c r="F103" s="335"/>
      <c r="G103" s="225"/>
      <c r="H103" s="381" t="e">
        <f>IF((#REF!-F103)/(G103-F103)&lt;0,0,IF((#REF!-F103)/(G103-F103)&gt;100%,100%,(#REF!-F103)/(G103-F103)))</f>
        <v>#REF!</v>
      </c>
      <c r="I103" s="219" t="e">
        <f t="shared" si="34"/>
        <v>#REF!</v>
      </c>
      <c r="J103" s="49">
        <f t="shared" si="35"/>
        <v>0</v>
      </c>
      <c r="K103" s="50">
        <f t="shared" si="35"/>
        <v>0</v>
      </c>
      <c r="L103" s="49">
        <f t="shared" si="35"/>
        <v>0</v>
      </c>
      <c r="M103" s="49">
        <f t="shared" si="35"/>
        <v>0</v>
      </c>
      <c r="N103" s="49">
        <f t="shared" si="35"/>
        <v>1</v>
      </c>
      <c r="O103" s="49">
        <f t="shared" si="35"/>
        <v>0</v>
      </c>
      <c r="P103" s="49">
        <f t="shared" si="35"/>
        <v>0</v>
      </c>
      <c r="Q103" s="49">
        <f t="shared" si="35"/>
        <v>0</v>
      </c>
      <c r="R103" s="49">
        <f t="shared" si="35"/>
        <v>0</v>
      </c>
      <c r="S103" s="49">
        <f t="shared" si="35"/>
        <v>0</v>
      </c>
      <c r="T103" s="49">
        <f t="shared" si="36"/>
        <v>0</v>
      </c>
      <c r="U103" s="49">
        <f t="shared" si="36"/>
        <v>0</v>
      </c>
      <c r="V103" s="49">
        <f t="shared" si="36"/>
        <v>0</v>
      </c>
      <c r="W103" s="50">
        <f t="shared" si="36"/>
        <v>0</v>
      </c>
      <c r="X103" s="51">
        <f t="shared" si="36"/>
        <v>0</v>
      </c>
      <c r="Y103" s="49">
        <f t="shared" si="36"/>
        <v>0</v>
      </c>
      <c r="Z103" s="49">
        <f t="shared" si="36"/>
        <v>0</v>
      </c>
      <c r="AA103" s="49">
        <f t="shared" si="36"/>
        <v>0</v>
      </c>
      <c r="AB103" s="49">
        <f t="shared" si="36"/>
        <v>0</v>
      </c>
      <c r="AC103" s="49">
        <f t="shared" si="36"/>
        <v>0</v>
      </c>
      <c r="AD103" s="49">
        <f t="shared" si="32"/>
        <v>0</v>
      </c>
      <c r="AE103" s="49">
        <f t="shared" si="32"/>
        <v>0</v>
      </c>
      <c r="AF103" s="49">
        <f t="shared" si="32"/>
        <v>0</v>
      </c>
      <c r="AG103" s="49">
        <f t="shared" si="32"/>
        <v>0</v>
      </c>
      <c r="AH103" s="49">
        <f t="shared" si="32"/>
        <v>0</v>
      </c>
      <c r="AI103" s="50">
        <f t="shared" si="32"/>
        <v>0</v>
      </c>
      <c r="AJ103" s="117"/>
      <c r="AK103" s="117"/>
      <c r="AL103" s="118"/>
    </row>
    <row r="104" spans="1:38" ht="16" outlineLevel="1">
      <c r="A104" s="121" t="s">
        <v>514</v>
      </c>
      <c r="B104" s="412" t="s">
        <v>307</v>
      </c>
      <c r="C104" s="320">
        <v>46096</v>
      </c>
      <c r="D104" s="321">
        <v>46101</v>
      </c>
      <c r="E104" s="378" t="e">
        <f>IF((#REF!-C104)/(D104-C104)&lt;0,0,IF((#REF!-C104)/(D104-C104)&gt;100%,100%,(#REF!-C104)/(D104-C104)))</f>
        <v>#REF!</v>
      </c>
      <c r="F104" s="249"/>
      <c r="G104" s="250"/>
      <c r="H104" s="378" t="e">
        <f>IF((#REF!-F104)/(G104-F104)&lt;0,0,IF((#REF!-F104)/(G104-F104)&gt;100%,100%,(#REF!-F104)/(G104-F104)))</f>
        <v>#REF!</v>
      </c>
      <c r="I104" s="222" t="e">
        <f t="shared" si="34"/>
        <v>#REF!</v>
      </c>
      <c r="J104" s="25">
        <f t="shared" si="35"/>
        <v>0</v>
      </c>
      <c r="K104" s="26">
        <f t="shared" si="35"/>
        <v>0</v>
      </c>
      <c r="L104" s="25">
        <f t="shared" si="35"/>
        <v>0</v>
      </c>
      <c r="M104" s="25">
        <f t="shared" si="35"/>
        <v>0</v>
      </c>
      <c r="N104" s="25">
        <f t="shared" si="35"/>
        <v>0</v>
      </c>
      <c r="O104" s="25">
        <f t="shared" si="35"/>
        <v>0</v>
      </c>
      <c r="P104" s="25">
        <f t="shared" si="35"/>
        <v>0</v>
      </c>
      <c r="Q104" s="25">
        <f t="shared" si="35"/>
        <v>0</v>
      </c>
      <c r="R104" s="25">
        <f t="shared" si="35"/>
        <v>0</v>
      </c>
      <c r="S104" s="25">
        <f t="shared" si="35"/>
        <v>0</v>
      </c>
      <c r="T104" s="25">
        <f t="shared" si="36"/>
        <v>0</v>
      </c>
      <c r="U104" s="25">
        <f t="shared" si="36"/>
        <v>0</v>
      </c>
      <c r="V104" s="25">
        <f t="shared" si="36"/>
        <v>0</v>
      </c>
      <c r="W104" s="26">
        <f t="shared" si="36"/>
        <v>0</v>
      </c>
      <c r="X104" s="27">
        <f t="shared" si="36"/>
        <v>0</v>
      </c>
      <c r="Y104" s="25">
        <f t="shared" si="36"/>
        <v>0</v>
      </c>
      <c r="Z104" s="25">
        <f t="shared" si="36"/>
        <v>0</v>
      </c>
      <c r="AA104" s="25">
        <f t="shared" si="36"/>
        <v>0</v>
      </c>
      <c r="AB104" s="25">
        <f t="shared" si="36"/>
        <v>0</v>
      </c>
      <c r="AC104" s="25">
        <f t="shared" si="36"/>
        <v>0</v>
      </c>
      <c r="AD104" s="25">
        <f t="shared" si="32"/>
        <v>0</v>
      </c>
      <c r="AE104" s="25">
        <f t="shared" si="32"/>
        <v>0</v>
      </c>
      <c r="AF104" s="25">
        <f t="shared" si="32"/>
        <v>0</v>
      </c>
      <c r="AG104" s="25">
        <f t="shared" si="32"/>
        <v>0</v>
      </c>
      <c r="AH104" s="25">
        <f t="shared" si="32"/>
        <v>0</v>
      </c>
      <c r="AI104" s="26">
        <f t="shared" si="32"/>
        <v>0</v>
      </c>
      <c r="AJ104" s="114"/>
      <c r="AK104" s="114"/>
      <c r="AL104" s="115"/>
    </row>
    <row r="105" spans="1:38" ht="16" outlineLevel="1">
      <c r="A105" s="121" t="s">
        <v>515</v>
      </c>
      <c r="B105" s="412" t="s">
        <v>308</v>
      </c>
      <c r="C105" s="320"/>
      <c r="D105" s="321"/>
      <c r="E105" s="378" t="e">
        <f>IF((#REF!-C105)/(D105-C105)&lt;0,0,IF((#REF!-C105)/(D105-C105)&gt;100%,100%,(#REF!-C105)/(D105-C105)))</f>
        <v>#REF!</v>
      </c>
      <c r="F105" s="249"/>
      <c r="G105" s="250"/>
      <c r="H105" s="378" t="e">
        <f>IF((#REF!-F105)/(G105-F105)&lt;0,0,IF((#REF!-F105)/(G105-F105)&gt;100%,100%,(#REF!-F105)/(G105-F105)))</f>
        <v>#REF!</v>
      </c>
      <c r="I105" s="222" t="e">
        <f t="shared" si="34"/>
        <v>#REF!</v>
      </c>
      <c r="J105" s="25">
        <f t="shared" si="35"/>
        <v>0</v>
      </c>
      <c r="K105" s="26">
        <f t="shared" si="35"/>
        <v>0</v>
      </c>
      <c r="L105" s="25">
        <f t="shared" si="35"/>
        <v>0</v>
      </c>
      <c r="M105" s="25">
        <f t="shared" si="35"/>
        <v>0</v>
      </c>
      <c r="N105" s="25">
        <f t="shared" si="35"/>
        <v>0</v>
      </c>
      <c r="O105" s="25">
        <f t="shared" si="35"/>
        <v>0</v>
      </c>
      <c r="P105" s="25">
        <f t="shared" si="35"/>
        <v>0</v>
      </c>
      <c r="Q105" s="25">
        <f t="shared" si="35"/>
        <v>0</v>
      </c>
      <c r="R105" s="25">
        <f t="shared" si="35"/>
        <v>0</v>
      </c>
      <c r="S105" s="25">
        <f t="shared" si="35"/>
        <v>0</v>
      </c>
      <c r="T105" s="25">
        <f t="shared" si="36"/>
        <v>0</v>
      </c>
      <c r="U105" s="25">
        <f t="shared" si="36"/>
        <v>0</v>
      </c>
      <c r="V105" s="25">
        <f t="shared" si="36"/>
        <v>0</v>
      </c>
      <c r="W105" s="26">
        <f t="shared" si="36"/>
        <v>0</v>
      </c>
      <c r="X105" s="27">
        <f t="shared" si="36"/>
        <v>0</v>
      </c>
      <c r="Y105" s="25">
        <f t="shared" si="36"/>
        <v>0</v>
      </c>
      <c r="Z105" s="25">
        <f t="shared" si="36"/>
        <v>0</v>
      </c>
      <c r="AA105" s="25">
        <f t="shared" si="36"/>
        <v>0</v>
      </c>
      <c r="AB105" s="25">
        <f t="shared" si="36"/>
        <v>0</v>
      </c>
      <c r="AC105" s="25">
        <f t="shared" si="36"/>
        <v>0</v>
      </c>
      <c r="AD105" s="25">
        <f t="shared" si="32"/>
        <v>0</v>
      </c>
      <c r="AE105" s="25">
        <f t="shared" si="32"/>
        <v>0</v>
      </c>
      <c r="AF105" s="25">
        <f t="shared" si="32"/>
        <v>0</v>
      </c>
      <c r="AG105" s="25">
        <f t="shared" si="32"/>
        <v>0</v>
      </c>
      <c r="AH105" s="25">
        <f t="shared" si="32"/>
        <v>0</v>
      </c>
      <c r="AI105" s="26">
        <f t="shared" si="32"/>
        <v>0</v>
      </c>
      <c r="AJ105" s="114"/>
      <c r="AK105" s="114"/>
      <c r="AL105" s="115"/>
    </row>
    <row r="106" spans="1:38" ht="16" outlineLevel="1">
      <c r="A106" s="121" t="s">
        <v>516</v>
      </c>
      <c r="B106" s="412" t="s">
        <v>310</v>
      </c>
      <c r="C106" s="320"/>
      <c r="D106" s="321"/>
      <c r="E106" s="378" t="e">
        <f>IF((#REF!-C106)/(D106-C106)&lt;0,0,IF((#REF!-C106)/(D106-C106)&gt;100%,100%,(#REF!-C106)/(D106-C106)))</f>
        <v>#REF!</v>
      </c>
      <c r="F106" s="249"/>
      <c r="G106" s="250"/>
      <c r="H106" s="378" t="e">
        <f>IF((#REF!-F106)/(G106-F106)&lt;0,0,IF((#REF!-F106)/(G106-F106)&gt;100%,100%,(#REF!-F106)/(G106-F106)))</f>
        <v>#REF!</v>
      </c>
      <c r="I106" s="222" t="e">
        <f t="shared" si="34"/>
        <v>#REF!</v>
      </c>
      <c r="J106" s="25">
        <f t="shared" si="35"/>
        <v>0</v>
      </c>
      <c r="K106" s="26">
        <f t="shared" si="35"/>
        <v>0</v>
      </c>
      <c r="L106" s="25">
        <f t="shared" si="35"/>
        <v>0</v>
      </c>
      <c r="M106" s="25">
        <f t="shared" si="35"/>
        <v>0</v>
      </c>
      <c r="N106" s="25">
        <f t="shared" si="35"/>
        <v>0</v>
      </c>
      <c r="O106" s="25">
        <f t="shared" si="35"/>
        <v>0</v>
      </c>
      <c r="P106" s="25">
        <f t="shared" si="35"/>
        <v>0</v>
      </c>
      <c r="Q106" s="25">
        <f t="shared" si="35"/>
        <v>0</v>
      </c>
      <c r="R106" s="25">
        <f t="shared" si="35"/>
        <v>0</v>
      </c>
      <c r="S106" s="25">
        <f t="shared" si="35"/>
        <v>0</v>
      </c>
      <c r="T106" s="25">
        <f t="shared" si="36"/>
        <v>0</v>
      </c>
      <c r="U106" s="25">
        <f t="shared" si="36"/>
        <v>0</v>
      </c>
      <c r="V106" s="25">
        <f t="shared" si="36"/>
        <v>0</v>
      </c>
      <c r="W106" s="26">
        <f t="shared" si="36"/>
        <v>0</v>
      </c>
      <c r="X106" s="27">
        <f t="shared" si="36"/>
        <v>0</v>
      </c>
      <c r="Y106" s="25">
        <f t="shared" si="36"/>
        <v>0</v>
      </c>
      <c r="Z106" s="25">
        <f t="shared" si="36"/>
        <v>0</v>
      </c>
      <c r="AA106" s="25">
        <f t="shared" si="36"/>
        <v>0</v>
      </c>
      <c r="AB106" s="25">
        <f t="shared" si="36"/>
        <v>0</v>
      </c>
      <c r="AC106" s="25">
        <f t="shared" si="36"/>
        <v>0</v>
      </c>
      <c r="AD106" s="25">
        <f t="shared" si="32"/>
        <v>0</v>
      </c>
      <c r="AE106" s="25">
        <f t="shared" si="32"/>
        <v>0</v>
      </c>
      <c r="AF106" s="25">
        <f t="shared" si="32"/>
        <v>0</v>
      </c>
      <c r="AG106" s="25">
        <f t="shared" si="32"/>
        <v>0</v>
      </c>
      <c r="AH106" s="25">
        <f t="shared" si="32"/>
        <v>0</v>
      </c>
      <c r="AI106" s="26">
        <f t="shared" si="32"/>
        <v>0</v>
      </c>
      <c r="AJ106" s="114"/>
      <c r="AK106" s="114"/>
      <c r="AL106" s="115"/>
    </row>
    <row r="107" spans="1:38" ht="16" outlineLevel="1">
      <c r="A107" s="121" t="s">
        <v>517</v>
      </c>
      <c r="B107" s="412" t="s">
        <v>311</v>
      </c>
      <c r="C107" s="320"/>
      <c r="D107" s="321"/>
      <c r="E107" s="378" t="e">
        <f>IF((#REF!-C107)/(D107-C107)&lt;0,0,IF((#REF!-C107)/(D107-C107)&gt;100%,100%,(#REF!-C107)/(D107-C107)))</f>
        <v>#REF!</v>
      </c>
      <c r="F107" s="249"/>
      <c r="G107" s="250"/>
      <c r="H107" s="378" t="e">
        <f>IF((#REF!-F107)/(G107-F107)&lt;0,0,IF((#REF!-F107)/(G107-F107)&gt;100%,100%,(#REF!-F107)/(G107-F107)))</f>
        <v>#REF!</v>
      </c>
      <c r="I107" s="222" t="e">
        <f t="shared" si="34"/>
        <v>#REF!</v>
      </c>
      <c r="J107" s="25">
        <f t="shared" ref="J107:S116" si="37">+IF(J$3&gt;=$C107,IF(J$3&lt;=$D107,1,0),0)</f>
        <v>0</v>
      </c>
      <c r="K107" s="26">
        <f t="shared" si="37"/>
        <v>0</v>
      </c>
      <c r="L107" s="25">
        <f t="shared" si="37"/>
        <v>0</v>
      </c>
      <c r="M107" s="25">
        <f t="shared" si="37"/>
        <v>0</v>
      </c>
      <c r="N107" s="25">
        <f t="shared" si="37"/>
        <v>0</v>
      </c>
      <c r="O107" s="25">
        <f t="shared" si="37"/>
        <v>0</v>
      </c>
      <c r="P107" s="25">
        <f t="shared" si="37"/>
        <v>0</v>
      </c>
      <c r="Q107" s="25">
        <f t="shared" si="37"/>
        <v>0</v>
      </c>
      <c r="R107" s="25">
        <f t="shared" si="37"/>
        <v>0</v>
      </c>
      <c r="S107" s="25">
        <f t="shared" si="37"/>
        <v>0</v>
      </c>
      <c r="T107" s="25">
        <f t="shared" ref="T107:AC116" si="38">+IF(T$3&gt;=$C107,IF(T$3&lt;=$D107,1,0),0)</f>
        <v>0</v>
      </c>
      <c r="U107" s="25">
        <f t="shared" si="38"/>
        <v>0</v>
      </c>
      <c r="V107" s="25">
        <f t="shared" si="38"/>
        <v>0</v>
      </c>
      <c r="W107" s="26">
        <f t="shared" si="38"/>
        <v>0</v>
      </c>
      <c r="X107" s="27">
        <f t="shared" si="38"/>
        <v>0</v>
      </c>
      <c r="Y107" s="25">
        <f t="shared" si="38"/>
        <v>0</v>
      </c>
      <c r="Z107" s="25">
        <f t="shared" si="38"/>
        <v>0</v>
      </c>
      <c r="AA107" s="25">
        <f t="shared" si="38"/>
        <v>0</v>
      </c>
      <c r="AB107" s="25">
        <f t="shared" si="38"/>
        <v>0</v>
      </c>
      <c r="AC107" s="25">
        <f t="shared" si="38"/>
        <v>0</v>
      </c>
      <c r="AD107" s="25">
        <f t="shared" si="32"/>
        <v>0</v>
      </c>
      <c r="AE107" s="25">
        <f t="shared" si="32"/>
        <v>0</v>
      </c>
      <c r="AF107" s="25">
        <f t="shared" si="32"/>
        <v>0</v>
      </c>
      <c r="AG107" s="25">
        <f t="shared" si="32"/>
        <v>0</v>
      </c>
      <c r="AH107" s="25">
        <f t="shared" si="32"/>
        <v>0</v>
      </c>
      <c r="AI107" s="26">
        <f t="shared" si="32"/>
        <v>0</v>
      </c>
      <c r="AJ107" s="114"/>
      <c r="AK107" s="114"/>
      <c r="AL107" s="115"/>
    </row>
    <row r="108" spans="1:38" ht="16">
      <c r="A108" s="128" t="s">
        <v>500</v>
      </c>
      <c r="B108" s="66" t="s">
        <v>313</v>
      </c>
      <c r="C108" s="322">
        <v>46096</v>
      </c>
      <c r="D108" s="323">
        <v>46132</v>
      </c>
      <c r="E108" s="381" t="e">
        <f>IF((#REF!-C108)/(D108-C108)&lt;0,0,IF((#REF!-C108)/(D108-C108)&gt;100%,100%,(#REF!-C108)/(D108-C108)))</f>
        <v>#REF!</v>
      </c>
      <c r="F108" s="335"/>
      <c r="G108" s="225"/>
      <c r="H108" s="381" t="e">
        <f>IF((#REF!-F108)/(G108-F108)&lt;0,0,IF((#REF!-F108)/(G108-F108)&gt;100%,100%,(#REF!-F108)/(G108-F108)))</f>
        <v>#REF!</v>
      </c>
      <c r="I108" s="219" t="e">
        <f t="shared" si="34"/>
        <v>#REF!</v>
      </c>
      <c r="J108" s="49">
        <f t="shared" si="37"/>
        <v>0</v>
      </c>
      <c r="K108" s="50">
        <f t="shared" si="37"/>
        <v>0</v>
      </c>
      <c r="L108" s="49">
        <f t="shared" si="37"/>
        <v>0</v>
      </c>
      <c r="M108" s="49">
        <f t="shared" si="37"/>
        <v>0</v>
      </c>
      <c r="N108" s="49">
        <f t="shared" si="37"/>
        <v>1</v>
      </c>
      <c r="O108" s="49">
        <f t="shared" si="37"/>
        <v>0</v>
      </c>
      <c r="P108" s="49">
        <f t="shared" si="37"/>
        <v>0</v>
      </c>
      <c r="Q108" s="49">
        <f t="shared" si="37"/>
        <v>0</v>
      </c>
      <c r="R108" s="49">
        <f t="shared" si="37"/>
        <v>0</v>
      </c>
      <c r="S108" s="49">
        <f t="shared" si="37"/>
        <v>0</v>
      </c>
      <c r="T108" s="49">
        <f t="shared" si="38"/>
        <v>0</v>
      </c>
      <c r="U108" s="49">
        <f t="shared" si="38"/>
        <v>0</v>
      </c>
      <c r="V108" s="49">
        <f t="shared" si="38"/>
        <v>0</v>
      </c>
      <c r="W108" s="50">
        <f t="shared" si="38"/>
        <v>0</v>
      </c>
      <c r="X108" s="51">
        <f t="shared" si="38"/>
        <v>0</v>
      </c>
      <c r="Y108" s="49">
        <f t="shared" si="38"/>
        <v>0</v>
      </c>
      <c r="Z108" s="49">
        <f t="shared" si="38"/>
        <v>0</v>
      </c>
      <c r="AA108" s="49">
        <f t="shared" si="38"/>
        <v>0</v>
      </c>
      <c r="AB108" s="49">
        <f t="shared" si="38"/>
        <v>0</v>
      </c>
      <c r="AC108" s="49">
        <f t="shared" si="38"/>
        <v>0</v>
      </c>
      <c r="AD108" s="49">
        <f t="shared" si="32"/>
        <v>0</v>
      </c>
      <c r="AE108" s="49">
        <f t="shared" si="32"/>
        <v>0</v>
      </c>
      <c r="AF108" s="49">
        <f t="shared" si="32"/>
        <v>0</v>
      </c>
      <c r="AG108" s="49">
        <f t="shared" si="32"/>
        <v>0</v>
      </c>
      <c r="AH108" s="49">
        <f t="shared" si="32"/>
        <v>0</v>
      </c>
      <c r="AI108" s="50">
        <f t="shared" si="32"/>
        <v>0</v>
      </c>
      <c r="AJ108" s="117"/>
      <c r="AK108" s="117"/>
      <c r="AL108" s="118"/>
    </row>
    <row r="109" spans="1:38" ht="16" outlineLevel="1">
      <c r="A109" s="121" t="s">
        <v>518</v>
      </c>
      <c r="B109" s="412" t="s">
        <v>307</v>
      </c>
      <c r="C109" s="320">
        <v>46096</v>
      </c>
      <c r="D109" s="321">
        <v>46101</v>
      </c>
      <c r="E109" s="378" t="e">
        <f>IF((#REF!-C109)/(D109-C109)&lt;0,0,IF((#REF!-C109)/(D109-C109)&gt;100%,100%,(#REF!-C109)/(D109-C109)))</f>
        <v>#REF!</v>
      </c>
      <c r="F109" s="249"/>
      <c r="G109" s="250"/>
      <c r="H109" s="378" t="e">
        <f>IF((#REF!-F109)/(G109-F109)&lt;0,0,IF((#REF!-F109)/(G109-F109)&gt;100%,100%,(#REF!-F109)/(G109-F109)))</f>
        <v>#REF!</v>
      </c>
      <c r="I109" s="222" t="e">
        <f t="shared" si="34"/>
        <v>#REF!</v>
      </c>
      <c r="J109" s="25">
        <f t="shared" si="37"/>
        <v>0</v>
      </c>
      <c r="K109" s="26">
        <f t="shared" si="37"/>
        <v>0</v>
      </c>
      <c r="L109" s="25">
        <f t="shared" si="37"/>
        <v>0</v>
      </c>
      <c r="M109" s="25">
        <f t="shared" si="37"/>
        <v>0</v>
      </c>
      <c r="N109" s="25">
        <f t="shared" si="37"/>
        <v>0</v>
      </c>
      <c r="O109" s="25">
        <f t="shared" si="37"/>
        <v>0</v>
      </c>
      <c r="P109" s="25">
        <f t="shared" si="37"/>
        <v>0</v>
      </c>
      <c r="Q109" s="25">
        <f t="shared" si="37"/>
        <v>0</v>
      </c>
      <c r="R109" s="25">
        <f t="shared" si="37"/>
        <v>0</v>
      </c>
      <c r="S109" s="25">
        <f t="shared" si="37"/>
        <v>0</v>
      </c>
      <c r="T109" s="25">
        <f t="shared" si="38"/>
        <v>0</v>
      </c>
      <c r="U109" s="25">
        <f t="shared" si="38"/>
        <v>0</v>
      </c>
      <c r="V109" s="25">
        <f t="shared" si="38"/>
        <v>0</v>
      </c>
      <c r="W109" s="26">
        <f t="shared" si="38"/>
        <v>0</v>
      </c>
      <c r="X109" s="27">
        <f t="shared" si="38"/>
        <v>0</v>
      </c>
      <c r="Y109" s="25">
        <f t="shared" si="38"/>
        <v>0</v>
      </c>
      <c r="Z109" s="25">
        <f t="shared" si="38"/>
        <v>0</v>
      </c>
      <c r="AA109" s="25">
        <f t="shared" si="38"/>
        <v>0</v>
      </c>
      <c r="AB109" s="25">
        <f t="shared" si="38"/>
        <v>0</v>
      </c>
      <c r="AC109" s="25">
        <f t="shared" si="38"/>
        <v>0</v>
      </c>
      <c r="AD109" s="25">
        <f t="shared" si="32"/>
        <v>0</v>
      </c>
      <c r="AE109" s="25">
        <f t="shared" si="32"/>
        <v>0</v>
      </c>
      <c r="AF109" s="25">
        <f t="shared" si="32"/>
        <v>0</v>
      </c>
      <c r="AG109" s="25">
        <f t="shared" si="32"/>
        <v>0</v>
      </c>
      <c r="AH109" s="25">
        <f t="shared" si="32"/>
        <v>0</v>
      </c>
      <c r="AI109" s="26">
        <f t="shared" si="32"/>
        <v>0</v>
      </c>
      <c r="AJ109" s="114"/>
      <c r="AK109" s="114"/>
      <c r="AL109" s="115"/>
    </row>
    <row r="110" spans="1:38" s="30" customFormat="1" ht="16" outlineLevel="1">
      <c r="A110" s="121" t="s">
        <v>519</v>
      </c>
      <c r="B110" s="412" t="s">
        <v>308</v>
      </c>
      <c r="C110" s="239"/>
      <c r="D110" s="240"/>
      <c r="E110" s="378" t="e">
        <f>IF((#REF!-C110)/(D110-C110)&lt;0,0,IF((#REF!-C110)/(D110-C110)&gt;100%,100%,(#REF!-C110)/(D110-C110)))</f>
        <v>#REF!</v>
      </c>
      <c r="F110" s="232"/>
      <c r="G110" s="233"/>
      <c r="H110" s="378" t="e">
        <f>IF((#REF!-F110)/(G110-F110)&lt;0,0,IF((#REF!-F110)/(G110-F110)&gt;100%,100%,(#REF!-F110)/(G110-F110)))</f>
        <v>#REF!</v>
      </c>
      <c r="I110" s="222" t="e">
        <f t="shared" si="34"/>
        <v>#REF!</v>
      </c>
      <c r="J110" s="25">
        <f t="shared" si="37"/>
        <v>0</v>
      </c>
      <c r="K110" s="26">
        <f t="shared" si="37"/>
        <v>0</v>
      </c>
      <c r="L110" s="25">
        <f t="shared" si="37"/>
        <v>0</v>
      </c>
      <c r="M110" s="25">
        <f t="shared" si="37"/>
        <v>0</v>
      </c>
      <c r="N110" s="25">
        <f t="shared" si="37"/>
        <v>0</v>
      </c>
      <c r="O110" s="25">
        <f t="shared" si="37"/>
        <v>0</v>
      </c>
      <c r="P110" s="25">
        <f t="shared" si="37"/>
        <v>0</v>
      </c>
      <c r="Q110" s="25">
        <f t="shared" si="37"/>
        <v>0</v>
      </c>
      <c r="R110" s="25">
        <f t="shared" si="37"/>
        <v>0</v>
      </c>
      <c r="S110" s="25">
        <f t="shared" si="37"/>
        <v>0</v>
      </c>
      <c r="T110" s="25">
        <f t="shared" si="38"/>
        <v>0</v>
      </c>
      <c r="U110" s="25">
        <f t="shared" si="38"/>
        <v>0</v>
      </c>
      <c r="V110" s="25">
        <f t="shared" si="38"/>
        <v>0</v>
      </c>
      <c r="W110" s="26">
        <f t="shared" si="38"/>
        <v>0</v>
      </c>
      <c r="X110" s="27">
        <f t="shared" si="38"/>
        <v>0</v>
      </c>
      <c r="Y110" s="25">
        <f t="shared" si="38"/>
        <v>0</v>
      </c>
      <c r="Z110" s="25">
        <f t="shared" si="38"/>
        <v>0</v>
      </c>
      <c r="AA110" s="25">
        <f t="shared" si="38"/>
        <v>0</v>
      </c>
      <c r="AB110" s="25">
        <f t="shared" si="38"/>
        <v>0</v>
      </c>
      <c r="AC110" s="25">
        <f t="shared" si="38"/>
        <v>0</v>
      </c>
      <c r="AD110" s="25">
        <f t="shared" si="32"/>
        <v>0</v>
      </c>
      <c r="AE110" s="25">
        <f t="shared" si="32"/>
        <v>0</v>
      </c>
      <c r="AF110" s="25">
        <f t="shared" si="32"/>
        <v>0</v>
      </c>
      <c r="AG110" s="25">
        <f t="shared" si="32"/>
        <v>0</v>
      </c>
      <c r="AH110" s="25">
        <f t="shared" si="32"/>
        <v>0</v>
      </c>
      <c r="AI110" s="26">
        <f t="shared" si="32"/>
        <v>0</v>
      </c>
      <c r="AJ110" s="91"/>
      <c r="AK110" s="91"/>
      <c r="AL110" s="92"/>
    </row>
    <row r="111" spans="1:38" s="30" customFormat="1" ht="16" outlineLevel="1">
      <c r="A111" s="121" t="s">
        <v>520</v>
      </c>
      <c r="B111" s="412" t="s">
        <v>310</v>
      </c>
      <c r="C111" s="239"/>
      <c r="D111" s="240"/>
      <c r="E111" s="378" t="e">
        <f>IF((#REF!-C111)/(D111-C111)&lt;0,0,IF((#REF!-C111)/(D111-C111)&gt;100%,100%,(#REF!-C111)/(D111-C111)))</f>
        <v>#REF!</v>
      </c>
      <c r="F111" s="232"/>
      <c r="G111" s="233"/>
      <c r="H111" s="378" t="e">
        <f>IF((#REF!-F111)/(G111-F111)&lt;0,0,IF((#REF!-F111)/(G111-F111)&gt;100%,100%,(#REF!-F111)/(G111-F111)))</f>
        <v>#REF!</v>
      </c>
      <c r="I111" s="222" t="e">
        <f t="shared" si="34"/>
        <v>#REF!</v>
      </c>
      <c r="J111" s="25">
        <f t="shared" si="37"/>
        <v>0</v>
      </c>
      <c r="K111" s="26">
        <f t="shared" si="37"/>
        <v>0</v>
      </c>
      <c r="L111" s="25">
        <f t="shared" si="37"/>
        <v>0</v>
      </c>
      <c r="M111" s="25">
        <f t="shared" si="37"/>
        <v>0</v>
      </c>
      <c r="N111" s="25">
        <f t="shared" si="37"/>
        <v>0</v>
      </c>
      <c r="O111" s="25">
        <f t="shared" si="37"/>
        <v>0</v>
      </c>
      <c r="P111" s="25">
        <f t="shared" si="37"/>
        <v>0</v>
      </c>
      <c r="Q111" s="25">
        <f t="shared" si="37"/>
        <v>0</v>
      </c>
      <c r="R111" s="25">
        <f t="shared" si="37"/>
        <v>0</v>
      </c>
      <c r="S111" s="25">
        <f t="shared" si="37"/>
        <v>0</v>
      </c>
      <c r="T111" s="25">
        <f t="shared" si="38"/>
        <v>0</v>
      </c>
      <c r="U111" s="25">
        <f t="shared" si="38"/>
        <v>0</v>
      </c>
      <c r="V111" s="25">
        <f t="shared" si="38"/>
        <v>0</v>
      </c>
      <c r="W111" s="26">
        <f t="shared" si="38"/>
        <v>0</v>
      </c>
      <c r="X111" s="27">
        <f t="shared" si="38"/>
        <v>0</v>
      </c>
      <c r="Y111" s="25">
        <f t="shared" si="38"/>
        <v>0</v>
      </c>
      <c r="Z111" s="25">
        <f t="shared" si="38"/>
        <v>0</v>
      </c>
      <c r="AA111" s="25">
        <f t="shared" si="38"/>
        <v>0</v>
      </c>
      <c r="AB111" s="25">
        <f t="shared" si="38"/>
        <v>0</v>
      </c>
      <c r="AC111" s="25">
        <f t="shared" si="38"/>
        <v>0</v>
      </c>
      <c r="AD111" s="25">
        <f t="shared" si="32"/>
        <v>0</v>
      </c>
      <c r="AE111" s="25">
        <f t="shared" si="32"/>
        <v>0</v>
      </c>
      <c r="AF111" s="25">
        <f t="shared" si="32"/>
        <v>0</v>
      </c>
      <c r="AG111" s="25">
        <f t="shared" si="32"/>
        <v>0</v>
      </c>
      <c r="AH111" s="25">
        <f t="shared" si="32"/>
        <v>0</v>
      </c>
      <c r="AI111" s="26">
        <f t="shared" si="32"/>
        <v>0</v>
      </c>
      <c r="AJ111" s="91"/>
      <c r="AK111" s="91"/>
      <c r="AL111" s="92"/>
    </row>
    <row r="112" spans="1:38" s="30" customFormat="1" ht="16" outlineLevel="1">
      <c r="A112" s="121" t="s">
        <v>521</v>
      </c>
      <c r="B112" s="412" t="s">
        <v>311</v>
      </c>
      <c r="C112" s="239"/>
      <c r="D112" s="240"/>
      <c r="E112" s="378" t="e">
        <f>IF((#REF!-C112)/(D112-C112)&lt;0,0,IF((#REF!-C112)/(D112-C112)&gt;100%,100%,(#REF!-C112)/(D112-C112)))</f>
        <v>#REF!</v>
      </c>
      <c r="F112" s="232"/>
      <c r="G112" s="233"/>
      <c r="H112" s="378" t="e">
        <f>IF((#REF!-F112)/(G112-F112)&lt;0,0,IF((#REF!-F112)/(G112-F112)&gt;100%,100%,(#REF!-F112)/(G112-F112)))</f>
        <v>#REF!</v>
      </c>
      <c r="I112" s="222" t="e">
        <f t="shared" si="34"/>
        <v>#REF!</v>
      </c>
      <c r="J112" s="25">
        <f t="shared" si="37"/>
        <v>0</v>
      </c>
      <c r="K112" s="26">
        <f t="shared" si="37"/>
        <v>0</v>
      </c>
      <c r="L112" s="25">
        <f t="shared" si="37"/>
        <v>0</v>
      </c>
      <c r="M112" s="25">
        <f t="shared" si="37"/>
        <v>0</v>
      </c>
      <c r="N112" s="25">
        <f t="shared" si="37"/>
        <v>0</v>
      </c>
      <c r="O112" s="25">
        <f t="shared" si="37"/>
        <v>0</v>
      </c>
      <c r="P112" s="25">
        <f t="shared" si="37"/>
        <v>0</v>
      </c>
      <c r="Q112" s="25">
        <f t="shared" si="37"/>
        <v>0</v>
      </c>
      <c r="R112" s="25">
        <f t="shared" si="37"/>
        <v>0</v>
      </c>
      <c r="S112" s="25">
        <f t="shared" si="37"/>
        <v>0</v>
      </c>
      <c r="T112" s="25">
        <f t="shared" si="38"/>
        <v>0</v>
      </c>
      <c r="U112" s="25">
        <f t="shared" si="38"/>
        <v>0</v>
      </c>
      <c r="V112" s="25">
        <f t="shared" si="38"/>
        <v>0</v>
      </c>
      <c r="W112" s="26">
        <f t="shared" si="38"/>
        <v>0</v>
      </c>
      <c r="X112" s="27">
        <f t="shared" si="38"/>
        <v>0</v>
      </c>
      <c r="Y112" s="25">
        <f t="shared" si="38"/>
        <v>0</v>
      </c>
      <c r="Z112" s="25">
        <f t="shared" si="38"/>
        <v>0</v>
      </c>
      <c r="AA112" s="25">
        <f t="shared" si="38"/>
        <v>0</v>
      </c>
      <c r="AB112" s="25">
        <f t="shared" si="38"/>
        <v>0</v>
      </c>
      <c r="AC112" s="25">
        <f t="shared" si="38"/>
        <v>0</v>
      </c>
      <c r="AD112" s="25">
        <f t="shared" si="32"/>
        <v>0</v>
      </c>
      <c r="AE112" s="25">
        <f t="shared" si="32"/>
        <v>0</v>
      </c>
      <c r="AF112" s="25">
        <f t="shared" si="32"/>
        <v>0</v>
      </c>
      <c r="AG112" s="25">
        <f t="shared" si="32"/>
        <v>0</v>
      </c>
      <c r="AH112" s="25">
        <f t="shared" si="32"/>
        <v>0</v>
      </c>
      <c r="AI112" s="26">
        <f t="shared" si="32"/>
        <v>0</v>
      </c>
      <c r="AJ112" s="91"/>
      <c r="AK112" s="91"/>
      <c r="AL112" s="92"/>
    </row>
    <row r="113" spans="1:38" ht="16">
      <c r="A113" s="128" t="s">
        <v>501</v>
      </c>
      <c r="B113" s="66" t="s">
        <v>314</v>
      </c>
      <c r="C113" s="322">
        <v>46096</v>
      </c>
      <c r="D113" s="323">
        <v>46132</v>
      </c>
      <c r="E113" s="381" t="e">
        <f>IF((#REF!-C113)/(D113-C113)&lt;0,0,IF((#REF!-C113)/(D113-C113)&gt;100%,100%,(#REF!-C113)/(D113-C113)))</f>
        <v>#REF!</v>
      </c>
      <c r="F113" s="335"/>
      <c r="G113" s="225"/>
      <c r="H113" s="381" t="e">
        <f>IF((#REF!-F113)/(G113-F113)&lt;0,0,IF((#REF!-F113)/(G113-F113)&gt;100%,100%,(#REF!-F113)/(G113-F113)))</f>
        <v>#REF!</v>
      </c>
      <c r="I113" s="219" t="e">
        <f t="shared" si="34"/>
        <v>#REF!</v>
      </c>
      <c r="J113" s="49">
        <f t="shared" si="37"/>
        <v>0</v>
      </c>
      <c r="K113" s="50">
        <f t="shared" si="37"/>
        <v>0</v>
      </c>
      <c r="L113" s="49">
        <f t="shared" si="37"/>
        <v>0</v>
      </c>
      <c r="M113" s="49">
        <f t="shared" si="37"/>
        <v>0</v>
      </c>
      <c r="N113" s="49">
        <f t="shared" si="37"/>
        <v>1</v>
      </c>
      <c r="O113" s="49">
        <f t="shared" si="37"/>
        <v>0</v>
      </c>
      <c r="P113" s="49">
        <f t="shared" si="37"/>
        <v>0</v>
      </c>
      <c r="Q113" s="49">
        <f t="shared" si="37"/>
        <v>0</v>
      </c>
      <c r="R113" s="49">
        <f t="shared" si="37"/>
        <v>0</v>
      </c>
      <c r="S113" s="49">
        <f t="shared" si="37"/>
        <v>0</v>
      </c>
      <c r="T113" s="49">
        <f t="shared" si="38"/>
        <v>0</v>
      </c>
      <c r="U113" s="49">
        <f t="shared" si="38"/>
        <v>0</v>
      </c>
      <c r="V113" s="49">
        <f t="shared" si="38"/>
        <v>0</v>
      </c>
      <c r="W113" s="50">
        <f t="shared" si="38"/>
        <v>0</v>
      </c>
      <c r="X113" s="51">
        <f t="shared" si="38"/>
        <v>0</v>
      </c>
      <c r="Y113" s="49">
        <f t="shared" si="38"/>
        <v>0</v>
      </c>
      <c r="Z113" s="49">
        <f t="shared" si="38"/>
        <v>0</v>
      </c>
      <c r="AA113" s="49">
        <f t="shared" si="38"/>
        <v>0</v>
      </c>
      <c r="AB113" s="49">
        <f t="shared" si="38"/>
        <v>0</v>
      </c>
      <c r="AC113" s="49">
        <f t="shared" si="38"/>
        <v>0</v>
      </c>
      <c r="AD113" s="49">
        <f t="shared" si="32"/>
        <v>0</v>
      </c>
      <c r="AE113" s="49">
        <f t="shared" si="32"/>
        <v>0</v>
      </c>
      <c r="AF113" s="49">
        <f t="shared" si="32"/>
        <v>0</v>
      </c>
      <c r="AG113" s="49">
        <f t="shared" si="32"/>
        <v>0</v>
      </c>
      <c r="AH113" s="49">
        <f t="shared" si="32"/>
        <v>0</v>
      </c>
      <c r="AI113" s="50">
        <f t="shared" si="32"/>
        <v>0</v>
      </c>
      <c r="AJ113" s="117"/>
      <c r="AK113" s="117"/>
      <c r="AL113" s="118"/>
    </row>
    <row r="114" spans="1:38" s="30" customFormat="1" ht="16" outlineLevel="1">
      <c r="A114" s="121" t="s">
        <v>522</v>
      </c>
      <c r="B114" s="412" t="s">
        <v>307</v>
      </c>
      <c r="C114" s="320">
        <v>46096</v>
      </c>
      <c r="D114" s="321">
        <v>46101</v>
      </c>
      <c r="E114" s="378" t="e">
        <f>IF((#REF!-C114)/(D114-C114)&lt;0,0,IF((#REF!-C114)/(D114-C114)&gt;100%,100%,(#REF!-C114)/(D114-C114)))</f>
        <v>#REF!</v>
      </c>
      <c r="F114" s="232"/>
      <c r="G114" s="233"/>
      <c r="H114" s="378" t="e">
        <f>IF((#REF!-F114)/(G114-F114)&lt;0,0,IF((#REF!-F114)/(G114-F114)&gt;100%,100%,(#REF!-F114)/(G114-F114)))</f>
        <v>#REF!</v>
      </c>
      <c r="I114" s="222" t="e">
        <f t="shared" si="34"/>
        <v>#REF!</v>
      </c>
      <c r="J114" s="25">
        <f t="shared" si="37"/>
        <v>0</v>
      </c>
      <c r="K114" s="26">
        <f t="shared" si="37"/>
        <v>0</v>
      </c>
      <c r="L114" s="25">
        <f t="shared" si="37"/>
        <v>0</v>
      </c>
      <c r="M114" s="25">
        <f t="shared" si="37"/>
        <v>0</v>
      </c>
      <c r="N114" s="25">
        <f t="shared" si="37"/>
        <v>0</v>
      </c>
      <c r="O114" s="25">
        <f t="shared" si="37"/>
        <v>0</v>
      </c>
      <c r="P114" s="25">
        <f t="shared" si="37"/>
        <v>0</v>
      </c>
      <c r="Q114" s="25">
        <f t="shared" si="37"/>
        <v>0</v>
      </c>
      <c r="R114" s="25">
        <f t="shared" si="37"/>
        <v>0</v>
      </c>
      <c r="S114" s="25">
        <f t="shared" si="37"/>
        <v>0</v>
      </c>
      <c r="T114" s="25">
        <f t="shared" si="38"/>
        <v>0</v>
      </c>
      <c r="U114" s="25">
        <f t="shared" si="38"/>
        <v>0</v>
      </c>
      <c r="V114" s="25">
        <f t="shared" si="38"/>
        <v>0</v>
      </c>
      <c r="W114" s="26">
        <f t="shared" si="38"/>
        <v>0</v>
      </c>
      <c r="X114" s="27">
        <f t="shared" si="38"/>
        <v>0</v>
      </c>
      <c r="Y114" s="25">
        <f t="shared" si="38"/>
        <v>0</v>
      </c>
      <c r="Z114" s="25">
        <f t="shared" si="38"/>
        <v>0</v>
      </c>
      <c r="AA114" s="25">
        <f t="shared" si="38"/>
        <v>0</v>
      </c>
      <c r="AB114" s="25">
        <f t="shared" si="38"/>
        <v>0</v>
      </c>
      <c r="AC114" s="25">
        <f t="shared" si="38"/>
        <v>0</v>
      </c>
      <c r="AD114" s="25">
        <f t="shared" si="32"/>
        <v>0</v>
      </c>
      <c r="AE114" s="25">
        <f t="shared" si="32"/>
        <v>0</v>
      </c>
      <c r="AF114" s="25">
        <f t="shared" si="32"/>
        <v>0</v>
      </c>
      <c r="AG114" s="25">
        <f t="shared" si="32"/>
        <v>0</v>
      </c>
      <c r="AH114" s="25">
        <f t="shared" si="32"/>
        <v>0</v>
      </c>
      <c r="AI114" s="26">
        <f t="shared" si="32"/>
        <v>0</v>
      </c>
      <c r="AJ114" s="91"/>
      <c r="AK114" s="91"/>
      <c r="AL114" s="92"/>
    </row>
    <row r="115" spans="1:38" s="30" customFormat="1" ht="16" outlineLevel="1">
      <c r="A115" s="121" t="s">
        <v>523</v>
      </c>
      <c r="B115" s="412" t="s">
        <v>308</v>
      </c>
      <c r="C115" s="239"/>
      <c r="D115" s="240"/>
      <c r="E115" s="378" t="e">
        <f>IF((#REF!-C115)/(D115-C115)&lt;0,0,IF((#REF!-C115)/(D115-C115)&gt;100%,100%,(#REF!-C115)/(D115-C115)))</f>
        <v>#REF!</v>
      </c>
      <c r="F115" s="232"/>
      <c r="G115" s="233"/>
      <c r="H115" s="378" t="e">
        <f>IF((#REF!-F115)/(G115-F115)&lt;0,0,IF((#REF!-F115)/(G115-F115)&gt;100%,100%,(#REF!-F115)/(G115-F115)))</f>
        <v>#REF!</v>
      </c>
      <c r="I115" s="222" t="e">
        <f t="shared" si="34"/>
        <v>#REF!</v>
      </c>
      <c r="J115" s="25">
        <f t="shared" si="37"/>
        <v>0</v>
      </c>
      <c r="K115" s="26">
        <f t="shared" si="37"/>
        <v>0</v>
      </c>
      <c r="L115" s="25">
        <f t="shared" si="37"/>
        <v>0</v>
      </c>
      <c r="M115" s="25">
        <f t="shared" si="37"/>
        <v>0</v>
      </c>
      <c r="N115" s="25">
        <f t="shared" si="37"/>
        <v>0</v>
      </c>
      <c r="O115" s="25">
        <f t="shared" si="37"/>
        <v>0</v>
      </c>
      <c r="P115" s="25">
        <f t="shared" si="37"/>
        <v>0</v>
      </c>
      <c r="Q115" s="25">
        <f t="shared" si="37"/>
        <v>0</v>
      </c>
      <c r="R115" s="25">
        <f t="shared" si="37"/>
        <v>0</v>
      </c>
      <c r="S115" s="25">
        <f t="shared" si="37"/>
        <v>0</v>
      </c>
      <c r="T115" s="25">
        <f t="shared" si="38"/>
        <v>0</v>
      </c>
      <c r="U115" s="25">
        <f t="shared" si="38"/>
        <v>0</v>
      </c>
      <c r="V115" s="25">
        <f t="shared" si="38"/>
        <v>0</v>
      </c>
      <c r="W115" s="26">
        <f t="shared" si="38"/>
        <v>0</v>
      </c>
      <c r="X115" s="27">
        <f t="shared" si="38"/>
        <v>0</v>
      </c>
      <c r="Y115" s="25">
        <f t="shared" si="38"/>
        <v>0</v>
      </c>
      <c r="Z115" s="25">
        <f t="shared" si="38"/>
        <v>0</v>
      </c>
      <c r="AA115" s="25">
        <f t="shared" si="38"/>
        <v>0</v>
      </c>
      <c r="AB115" s="25">
        <f t="shared" si="38"/>
        <v>0</v>
      </c>
      <c r="AC115" s="25">
        <f t="shared" si="38"/>
        <v>0</v>
      </c>
      <c r="AD115" s="25">
        <f t="shared" si="32"/>
        <v>0</v>
      </c>
      <c r="AE115" s="25">
        <f t="shared" si="32"/>
        <v>0</v>
      </c>
      <c r="AF115" s="25">
        <f t="shared" si="32"/>
        <v>0</v>
      </c>
      <c r="AG115" s="25">
        <f t="shared" si="32"/>
        <v>0</v>
      </c>
      <c r="AH115" s="25">
        <f t="shared" si="32"/>
        <v>0</v>
      </c>
      <c r="AI115" s="26">
        <f t="shared" si="32"/>
        <v>0</v>
      </c>
      <c r="AJ115" s="91"/>
      <c r="AK115" s="91"/>
      <c r="AL115" s="92"/>
    </row>
    <row r="116" spans="1:38" s="30" customFormat="1" ht="16" outlineLevel="1">
      <c r="A116" s="121" t="s">
        <v>524</v>
      </c>
      <c r="B116" s="412" t="s">
        <v>310</v>
      </c>
      <c r="C116" s="239"/>
      <c r="D116" s="240"/>
      <c r="E116" s="378" t="e">
        <f>IF((#REF!-C116)/(D116-C116)&lt;0,0,IF((#REF!-C116)/(D116-C116)&gt;100%,100%,(#REF!-C116)/(D116-C116)))</f>
        <v>#REF!</v>
      </c>
      <c r="F116" s="232"/>
      <c r="G116" s="233"/>
      <c r="H116" s="378" t="e">
        <f>IF((#REF!-F116)/(G116-F116)&lt;0,0,IF((#REF!-F116)/(G116-F116)&gt;100%,100%,(#REF!-F116)/(G116-F116)))</f>
        <v>#REF!</v>
      </c>
      <c r="I116" s="222" t="e">
        <f t="shared" si="34"/>
        <v>#REF!</v>
      </c>
      <c r="J116" s="25">
        <f t="shared" si="37"/>
        <v>0</v>
      </c>
      <c r="K116" s="26">
        <f t="shared" si="37"/>
        <v>0</v>
      </c>
      <c r="L116" s="25">
        <f t="shared" si="37"/>
        <v>0</v>
      </c>
      <c r="M116" s="25">
        <f t="shared" si="37"/>
        <v>0</v>
      </c>
      <c r="N116" s="25">
        <f t="shared" si="37"/>
        <v>0</v>
      </c>
      <c r="O116" s="25">
        <f t="shared" si="37"/>
        <v>0</v>
      </c>
      <c r="P116" s="25">
        <f t="shared" si="37"/>
        <v>0</v>
      </c>
      <c r="Q116" s="25">
        <f t="shared" si="37"/>
        <v>0</v>
      </c>
      <c r="R116" s="25">
        <f t="shared" si="37"/>
        <v>0</v>
      </c>
      <c r="S116" s="25">
        <f t="shared" si="37"/>
        <v>0</v>
      </c>
      <c r="T116" s="25">
        <f t="shared" si="38"/>
        <v>0</v>
      </c>
      <c r="U116" s="25">
        <f t="shared" si="38"/>
        <v>0</v>
      </c>
      <c r="V116" s="25">
        <f t="shared" si="38"/>
        <v>0</v>
      </c>
      <c r="W116" s="26">
        <f t="shared" si="38"/>
        <v>0</v>
      </c>
      <c r="X116" s="27">
        <f t="shared" si="38"/>
        <v>0</v>
      </c>
      <c r="Y116" s="25">
        <f t="shared" si="38"/>
        <v>0</v>
      </c>
      <c r="Z116" s="25">
        <f t="shared" si="38"/>
        <v>0</v>
      </c>
      <c r="AA116" s="25">
        <f t="shared" si="38"/>
        <v>0</v>
      </c>
      <c r="AB116" s="25">
        <f t="shared" si="38"/>
        <v>0</v>
      </c>
      <c r="AC116" s="25">
        <f t="shared" si="38"/>
        <v>0</v>
      </c>
      <c r="AD116" s="25">
        <f t="shared" si="32"/>
        <v>0</v>
      </c>
      <c r="AE116" s="25">
        <f t="shared" si="32"/>
        <v>0</v>
      </c>
      <c r="AF116" s="25">
        <f t="shared" si="32"/>
        <v>0</v>
      </c>
      <c r="AG116" s="25">
        <f t="shared" si="32"/>
        <v>0</v>
      </c>
      <c r="AH116" s="25">
        <f t="shared" si="32"/>
        <v>0</v>
      </c>
      <c r="AI116" s="26">
        <f t="shared" si="32"/>
        <v>0</v>
      </c>
      <c r="AJ116" s="91"/>
      <c r="AK116" s="91"/>
      <c r="AL116" s="92"/>
    </row>
    <row r="117" spans="1:38" s="30" customFormat="1" ht="16" outlineLevel="1">
      <c r="A117" s="121" t="s">
        <v>525</v>
      </c>
      <c r="B117" s="412" t="s">
        <v>311</v>
      </c>
      <c r="C117" s="239"/>
      <c r="D117" s="240"/>
      <c r="E117" s="378" t="e">
        <f>IF((#REF!-C117)/(D117-C117)&lt;0,0,IF((#REF!-C117)/(D117-C117)&gt;100%,100%,(#REF!-C117)/(D117-C117)))</f>
        <v>#REF!</v>
      </c>
      <c r="F117" s="232"/>
      <c r="G117" s="233"/>
      <c r="H117" s="378" t="e">
        <f>IF((#REF!-F117)/(G117-F117)&lt;0,0,IF((#REF!-F117)/(G117-F117)&gt;100%,100%,(#REF!-F117)/(G117-F117)))</f>
        <v>#REF!</v>
      </c>
      <c r="I117" s="222" t="e">
        <f t="shared" si="34"/>
        <v>#REF!</v>
      </c>
      <c r="J117" s="25">
        <f t="shared" ref="J117:S126" si="39">+IF(J$3&gt;=$C117,IF(J$3&lt;=$D117,1,0),0)</f>
        <v>0</v>
      </c>
      <c r="K117" s="26">
        <f t="shared" si="39"/>
        <v>0</v>
      </c>
      <c r="L117" s="25">
        <f t="shared" si="39"/>
        <v>0</v>
      </c>
      <c r="M117" s="25">
        <f t="shared" si="39"/>
        <v>0</v>
      </c>
      <c r="N117" s="25">
        <f t="shared" si="39"/>
        <v>0</v>
      </c>
      <c r="O117" s="25">
        <f t="shared" si="39"/>
        <v>0</v>
      </c>
      <c r="P117" s="25">
        <f t="shared" si="39"/>
        <v>0</v>
      </c>
      <c r="Q117" s="25">
        <f t="shared" si="39"/>
        <v>0</v>
      </c>
      <c r="R117" s="25">
        <f t="shared" si="39"/>
        <v>0</v>
      </c>
      <c r="S117" s="25">
        <f t="shared" si="39"/>
        <v>0</v>
      </c>
      <c r="T117" s="25">
        <f t="shared" ref="T117:AC126" si="40">+IF(T$3&gt;=$C117,IF(T$3&lt;=$D117,1,0),0)</f>
        <v>0</v>
      </c>
      <c r="U117" s="25">
        <f t="shared" si="40"/>
        <v>0</v>
      </c>
      <c r="V117" s="25">
        <f t="shared" si="40"/>
        <v>0</v>
      </c>
      <c r="W117" s="26">
        <f t="shared" si="40"/>
        <v>0</v>
      </c>
      <c r="X117" s="27">
        <f t="shared" si="40"/>
        <v>0</v>
      </c>
      <c r="Y117" s="25">
        <f t="shared" si="40"/>
        <v>0</v>
      </c>
      <c r="Z117" s="25">
        <f t="shared" si="40"/>
        <v>0</v>
      </c>
      <c r="AA117" s="25">
        <f t="shared" si="40"/>
        <v>0</v>
      </c>
      <c r="AB117" s="25">
        <f t="shared" si="40"/>
        <v>0</v>
      </c>
      <c r="AC117" s="25">
        <f t="shared" si="40"/>
        <v>0</v>
      </c>
      <c r="AD117" s="25">
        <f t="shared" si="32"/>
        <v>0</v>
      </c>
      <c r="AE117" s="25">
        <f t="shared" si="32"/>
        <v>0</v>
      </c>
      <c r="AF117" s="25">
        <f t="shared" si="32"/>
        <v>0</v>
      </c>
      <c r="AG117" s="25">
        <f t="shared" si="32"/>
        <v>0</v>
      </c>
      <c r="AH117" s="25">
        <f t="shared" si="32"/>
        <v>0</v>
      </c>
      <c r="AI117" s="26">
        <f t="shared" si="32"/>
        <v>0</v>
      </c>
      <c r="AJ117" s="91"/>
      <c r="AK117" s="91"/>
      <c r="AL117" s="92"/>
    </row>
    <row r="118" spans="1:38" ht="16">
      <c r="A118" s="128" t="s">
        <v>502</v>
      </c>
      <c r="B118" s="66" t="s">
        <v>315</v>
      </c>
      <c r="C118" s="322">
        <v>46096</v>
      </c>
      <c r="D118" s="323">
        <v>46132</v>
      </c>
      <c r="E118" s="381" t="e">
        <f>IF((#REF!-C118)/(D118-C118)&lt;0,0,IF((#REF!-C118)/(D118-C118)&gt;100%,100%,(#REF!-C118)/(D118-C118)))</f>
        <v>#REF!</v>
      </c>
      <c r="F118" s="335"/>
      <c r="G118" s="225"/>
      <c r="H118" s="381" t="e">
        <f>IF((#REF!-F118)/(G118-F118)&lt;0,0,IF((#REF!-F118)/(G118-F118)&gt;100%,100%,(#REF!-F118)/(G118-F118)))</f>
        <v>#REF!</v>
      </c>
      <c r="I118" s="219" t="e">
        <f t="shared" si="34"/>
        <v>#REF!</v>
      </c>
      <c r="J118" s="49">
        <f t="shared" si="39"/>
        <v>0</v>
      </c>
      <c r="K118" s="50">
        <f t="shared" si="39"/>
        <v>0</v>
      </c>
      <c r="L118" s="49">
        <f t="shared" si="39"/>
        <v>0</v>
      </c>
      <c r="M118" s="49">
        <f t="shared" si="39"/>
        <v>0</v>
      </c>
      <c r="N118" s="49">
        <f t="shared" si="39"/>
        <v>1</v>
      </c>
      <c r="O118" s="49">
        <f t="shared" si="39"/>
        <v>0</v>
      </c>
      <c r="P118" s="49">
        <f t="shared" si="39"/>
        <v>0</v>
      </c>
      <c r="Q118" s="49">
        <f t="shared" si="39"/>
        <v>0</v>
      </c>
      <c r="R118" s="49">
        <f t="shared" si="39"/>
        <v>0</v>
      </c>
      <c r="S118" s="49">
        <f t="shared" si="39"/>
        <v>0</v>
      </c>
      <c r="T118" s="49">
        <f t="shared" si="40"/>
        <v>0</v>
      </c>
      <c r="U118" s="49">
        <f t="shared" si="40"/>
        <v>0</v>
      </c>
      <c r="V118" s="49">
        <f t="shared" si="40"/>
        <v>0</v>
      </c>
      <c r="W118" s="50">
        <f t="shared" si="40"/>
        <v>0</v>
      </c>
      <c r="X118" s="51">
        <f t="shared" si="40"/>
        <v>0</v>
      </c>
      <c r="Y118" s="49">
        <f t="shared" si="40"/>
        <v>0</v>
      </c>
      <c r="Z118" s="49">
        <f t="shared" si="40"/>
        <v>0</v>
      </c>
      <c r="AA118" s="49">
        <f t="shared" si="40"/>
        <v>0</v>
      </c>
      <c r="AB118" s="49">
        <f t="shared" si="40"/>
        <v>0</v>
      </c>
      <c r="AC118" s="49">
        <f t="shared" si="40"/>
        <v>0</v>
      </c>
      <c r="AD118" s="49">
        <f t="shared" si="32"/>
        <v>0</v>
      </c>
      <c r="AE118" s="49">
        <f t="shared" si="32"/>
        <v>0</v>
      </c>
      <c r="AF118" s="49">
        <f t="shared" si="32"/>
        <v>0</v>
      </c>
      <c r="AG118" s="49">
        <f t="shared" si="32"/>
        <v>0</v>
      </c>
      <c r="AH118" s="49">
        <f t="shared" si="32"/>
        <v>0</v>
      </c>
      <c r="AI118" s="50">
        <f t="shared" si="32"/>
        <v>0</v>
      </c>
      <c r="AJ118" s="117"/>
      <c r="AK118" s="117"/>
      <c r="AL118" s="118"/>
    </row>
    <row r="119" spans="1:38" s="30" customFormat="1" ht="16" hidden="1" outlineLevel="1">
      <c r="A119" s="121" t="s">
        <v>526</v>
      </c>
      <c r="B119" s="412" t="s">
        <v>307</v>
      </c>
      <c r="C119" s="320">
        <v>46096</v>
      </c>
      <c r="D119" s="321">
        <v>46101</v>
      </c>
      <c r="E119" s="378" t="e">
        <f>IF((#REF!-C119)/(D119-C119)&lt;0,0,IF((#REF!-C119)/(D119-C119)&gt;100%,100%,(#REF!-C119)/(D119-C119)))</f>
        <v>#REF!</v>
      </c>
      <c r="F119" s="232"/>
      <c r="G119" s="233"/>
      <c r="H119" s="378" t="e">
        <f>IF((#REF!-F119)/(G119-F119)&lt;0,0,IF((#REF!-F119)/(G119-F119)&gt;100%,100%,(#REF!-F119)/(G119-F119)))</f>
        <v>#REF!</v>
      </c>
      <c r="I119" s="222" t="e">
        <f t="shared" si="34"/>
        <v>#REF!</v>
      </c>
      <c r="J119" s="25">
        <f t="shared" si="39"/>
        <v>0</v>
      </c>
      <c r="K119" s="26">
        <f t="shared" si="39"/>
        <v>0</v>
      </c>
      <c r="L119" s="25">
        <f t="shared" si="39"/>
        <v>0</v>
      </c>
      <c r="M119" s="25">
        <f t="shared" si="39"/>
        <v>0</v>
      </c>
      <c r="N119" s="25">
        <f t="shared" si="39"/>
        <v>0</v>
      </c>
      <c r="O119" s="25">
        <f t="shared" si="39"/>
        <v>0</v>
      </c>
      <c r="P119" s="25">
        <f t="shared" si="39"/>
        <v>0</v>
      </c>
      <c r="Q119" s="25">
        <f t="shared" si="39"/>
        <v>0</v>
      </c>
      <c r="R119" s="25">
        <f t="shared" si="39"/>
        <v>0</v>
      </c>
      <c r="S119" s="25">
        <f t="shared" si="39"/>
        <v>0</v>
      </c>
      <c r="T119" s="25">
        <f t="shared" si="40"/>
        <v>0</v>
      </c>
      <c r="U119" s="25">
        <f t="shared" si="40"/>
        <v>0</v>
      </c>
      <c r="V119" s="25">
        <f t="shared" si="40"/>
        <v>0</v>
      </c>
      <c r="W119" s="26">
        <f t="shared" si="40"/>
        <v>0</v>
      </c>
      <c r="X119" s="27">
        <f t="shared" si="40"/>
        <v>0</v>
      </c>
      <c r="Y119" s="25">
        <f t="shared" si="40"/>
        <v>0</v>
      </c>
      <c r="Z119" s="25">
        <f t="shared" si="40"/>
        <v>0</v>
      </c>
      <c r="AA119" s="25">
        <f t="shared" si="40"/>
        <v>0</v>
      </c>
      <c r="AB119" s="25">
        <f t="shared" si="40"/>
        <v>0</v>
      </c>
      <c r="AC119" s="25">
        <f t="shared" si="40"/>
        <v>0</v>
      </c>
      <c r="AD119" s="25">
        <f t="shared" si="32"/>
        <v>0</v>
      </c>
      <c r="AE119" s="25">
        <f t="shared" si="32"/>
        <v>0</v>
      </c>
      <c r="AF119" s="25">
        <f t="shared" si="32"/>
        <v>0</v>
      </c>
      <c r="AG119" s="25">
        <f t="shared" si="32"/>
        <v>0</v>
      </c>
      <c r="AH119" s="25">
        <f t="shared" si="32"/>
        <v>0</v>
      </c>
      <c r="AI119" s="26">
        <f t="shared" si="32"/>
        <v>0</v>
      </c>
      <c r="AJ119" s="91"/>
      <c r="AK119" s="91"/>
      <c r="AL119" s="92"/>
    </row>
    <row r="120" spans="1:38" s="30" customFormat="1" ht="16" hidden="1" outlineLevel="1">
      <c r="A120" s="121" t="s">
        <v>527</v>
      </c>
      <c r="B120" s="412" t="s">
        <v>308</v>
      </c>
      <c r="C120" s="239"/>
      <c r="D120" s="240"/>
      <c r="E120" s="378" t="e">
        <f>IF((#REF!-C120)/(D120-C120)&lt;0,0,IF((#REF!-C120)/(D120-C120)&gt;100%,100%,(#REF!-C120)/(D120-C120)))</f>
        <v>#REF!</v>
      </c>
      <c r="F120" s="232"/>
      <c r="G120" s="233"/>
      <c r="H120" s="378" t="e">
        <f>IF((#REF!-F120)/(G120-F120)&lt;0,0,IF((#REF!-F120)/(G120-F120)&gt;100%,100%,(#REF!-F120)/(G120-F120)))</f>
        <v>#REF!</v>
      </c>
      <c r="I120" s="222" t="e">
        <f t="shared" si="34"/>
        <v>#REF!</v>
      </c>
      <c r="J120" s="25">
        <f t="shared" si="39"/>
        <v>0</v>
      </c>
      <c r="K120" s="26">
        <f t="shared" si="39"/>
        <v>0</v>
      </c>
      <c r="L120" s="25">
        <f t="shared" si="39"/>
        <v>0</v>
      </c>
      <c r="M120" s="25">
        <f t="shared" si="39"/>
        <v>0</v>
      </c>
      <c r="N120" s="25">
        <f t="shared" si="39"/>
        <v>0</v>
      </c>
      <c r="O120" s="25">
        <f t="shared" si="39"/>
        <v>0</v>
      </c>
      <c r="P120" s="25">
        <f t="shared" si="39"/>
        <v>0</v>
      </c>
      <c r="Q120" s="25">
        <f t="shared" si="39"/>
        <v>0</v>
      </c>
      <c r="R120" s="25">
        <f t="shared" si="39"/>
        <v>0</v>
      </c>
      <c r="S120" s="25">
        <f t="shared" si="39"/>
        <v>0</v>
      </c>
      <c r="T120" s="25">
        <f t="shared" si="40"/>
        <v>0</v>
      </c>
      <c r="U120" s="25">
        <f t="shared" si="40"/>
        <v>0</v>
      </c>
      <c r="V120" s="25">
        <f t="shared" si="40"/>
        <v>0</v>
      </c>
      <c r="W120" s="26">
        <f t="shared" si="40"/>
        <v>0</v>
      </c>
      <c r="X120" s="27">
        <f t="shared" si="40"/>
        <v>0</v>
      </c>
      <c r="Y120" s="25">
        <f t="shared" si="40"/>
        <v>0</v>
      </c>
      <c r="Z120" s="25">
        <f t="shared" si="40"/>
        <v>0</v>
      </c>
      <c r="AA120" s="25">
        <f t="shared" si="40"/>
        <v>0</v>
      </c>
      <c r="AB120" s="25">
        <f t="shared" si="40"/>
        <v>0</v>
      </c>
      <c r="AC120" s="25">
        <f t="shared" si="40"/>
        <v>0</v>
      </c>
      <c r="AD120" s="25">
        <f t="shared" si="32"/>
        <v>0</v>
      </c>
      <c r="AE120" s="25">
        <f t="shared" si="32"/>
        <v>0</v>
      </c>
      <c r="AF120" s="25">
        <f t="shared" si="32"/>
        <v>0</v>
      </c>
      <c r="AG120" s="25">
        <f t="shared" si="32"/>
        <v>0</v>
      </c>
      <c r="AH120" s="25">
        <f t="shared" si="32"/>
        <v>0</v>
      </c>
      <c r="AI120" s="26">
        <f t="shared" si="32"/>
        <v>0</v>
      </c>
      <c r="AJ120" s="91"/>
      <c r="AK120" s="91"/>
      <c r="AL120" s="92"/>
    </row>
    <row r="121" spans="1:38" s="30" customFormat="1" ht="16" hidden="1" outlineLevel="1">
      <c r="A121" s="121" t="s">
        <v>528</v>
      </c>
      <c r="B121" s="412" t="s">
        <v>310</v>
      </c>
      <c r="C121" s="239"/>
      <c r="D121" s="240"/>
      <c r="E121" s="378" t="e">
        <f>IF((#REF!-C121)/(D121-C121)&lt;0,0,IF((#REF!-C121)/(D121-C121)&gt;100%,100%,(#REF!-C121)/(D121-C121)))</f>
        <v>#REF!</v>
      </c>
      <c r="F121" s="232"/>
      <c r="G121" s="233"/>
      <c r="H121" s="378" t="e">
        <f>IF((#REF!-F121)/(G121-F121)&lt;0,0,IF((#REF!-F121)/(G121-F121)&gt;100%,100%,(#REF!-F121)/(G121-F121)))</f>
        <v>#REF!</v>
      </c>
      <c r="I121" s="222" t="e">
        <f t="shared" si="34"/>
        <v>#REF!</v>
      </c>
      <c r="J121" s="25">
        <f t="shared" si="39"/>
        <v>0</v>
      </c>
      <c r="K121" s="26">
        <f t="shared" si="39"/>
        <v>0</v>
      </c>
      <c r="L121" s="25">
        <f t="shared" si="39"/>
        <v>0</v>
      </c>
      <c r="M121" s="25">
        <f t="shared" si="39"/>
        <v>0</v>
      </c>
      <c r="N121" s="25">
        <f t="shared" si="39"/>
        <v>0</v>
      </c>
      <c r="O121" s="25">
        <f t="shared" si="39"/>
        <v>0</v>
      </c>
      <c r="P121" s="25">
        <f t="shared" si="39"/>
        <v>0</v>
      </c>
      <c r="Q121" s="25">
        <f t="shared" si="39"/>
        <v>0</v>
      </c>
      <c r="R121" s="25">
        <f t="shared" si="39"/>
        <v>0</v>
      </c>
      <c r="S121" s="25">
        <f t="shared" si="39"/>
        <v>0</v>
      </c>
      <c r="T121" s="25">
        <f t="shared" si="40"/>
        <v>0</v>
      </c>
      <c r="U121" s="25">
        <f t="shared" si="40"/>
        <v>0</v>
      </c>
      <c r="V121" s="25">
        <f t="shared" si="40"/>
        <v>0</v>
      </c>
      <c r="W121" s="26">
        <f t="shared" si="40"/>
        <v>0</v>
      </c>
      <c r="X121" s="27">
        <f t="shared" si="40"/>
        <v>0</v>
      </c>
      <c r="Y121" s="25">
        <f t="shared" si="40"/>
        <v>0</v>
      </c>
      <c r="Z121" s="25">
        <f t="shared" si="40"/>
        <v>0</v>
      </c>
      <c r="AA121" s="25">
        <f t="shared" si="40"/>
        <v>0</v>
      </c>
      <c r="AB121" s="25">
        <f t="shared" si="40"/>
        <v>0</v>
      </c>
      <c r="AC121" s="25">
        <f t="shared" si="40"/>
        <v>0</v>
      </c>
      <c r="AD121" s="25">
        <f t="shared" si="32"/>
        <v>0</v>
      </c>
      <c r="AE121" s="25">
        <f t="shared" si="32"/>
        <v>0</v>
      </c>
      <c r="AF121" s="25">
        <f t="shared" si="32"/>
        <v>0</v>
      </c>
      <c r="AG121" s="25">
        <f t="shared" si="32"/>
        <v>0</v>
      </c>
      <c r="AH121" s="25">
        <f t="shared" si="32"/>
        <v>0</v>
      </c>
      <c r="AI121" s="26">
        <f t="shared" si="32"/>
        <v>0</v>
      </c>
      <c r="AJ121" s="91"/>
      <c r="AK121" s="91"/>
      <c r="AL121" s="92"/>
    </row>
    <row r="122" spans="1:38" s="30" customFormat="1" ht="16" hidden="1" outlineLevel="1">
      <c r="A122" s="121" t="s">
        <v>529</v>
      </c>
      <c r="B122" s="412" t="s">
        <v>311</v>
      </c>
      <c r="C122" s="239"/>
      <c r="D122" s="240"/>
      <c r="E122" s="378" t="e">
        <f>IF((#REF!-C122)/(D122-C122)&lt;0,0,IF((#REF!-C122)/(D122-C122)&gt;100%,100%,(#REF!-C122)/(D122-C122)))</f>
        <v>#REF!</v>
      </c>
      <c r="F122" s="232"/>
      <c r="G122" s="233"/>
      <c r="H122" s="378" t="e">
        <f>IF((#REF!-F122)/(G122-F122)&lt;0,0,IF((#REF!-F122)/(G122-F122)&gt;100%,100%,(#REF!-F122)/(G122-F122)))</f>
        <v>#REF!</v>
      </c>
      <c r="I122" s="222" t="e">
        <f t="shared" si="34"/>
        <v>#REF!</v>
      </c>
      <c r="J122" s="25">
        <f t="shared" si="39"/>
        <v>0</v>
      </c>
      <c r="K122" s="26">
        <f t="shared" si="39"/>
        <v>0</v>
      </c>
      <c r="L122" s="25">
        <f t="shared" si="39"/>
        <v>0</v>
      </c>
      <c r="M122" s="25">
        <f t="shared" si="39"/>
        <v>0</v>
      </c>
      <c r="N122" s="25">
        <f t="shared" si="39"/>
        <v>0</v>
      </c>
      <c r="O122" s="25">
        <f t="shared" si="39"/>
        <v>0</v>
      </c>
      <c r="P122" s="25">
        <f t="shared" si="39"/>
        <v>0</v>
      </c>
      <c r="Q122" s="25">
        <f t="shared" si="39"/>
        <v>0</v>
      </c>
      <c r="R122" s="25">
        <f t="shared" si="39"/>
        <v>0</v>
      </c>
      <c r="S122" s="25">
        <f t="shared" si="39"/>
        <v>0</v>
      </c>
      <c r="T122" s="25">
        <f t="shared" si="40"/>
        <v>0</v>
      </c>
      <c r="U122" s="25">
        <f t="shared" si="40"/>
        <v>0</v>
      </c>
      <c r="V122" s="25">
        <f t="shared" si="40"/>
        <v>0</v>
      </c>
      <c r="W122" s="26">
        <f t="shared" si="40"/>
        <v>0</v>
      </c>
      <c r="X122" s="27">
        <f t="shared" si="40"/>
        <v>0</v>
      </c>
      <c r="Y122" s="25">
        <f t="shared" si="40"/>
        <v>0</v>
      </c>
      <c r="Z122" s="25">
        <f t="shared" si="40"/>
        <v>0</v>
      </c>
      <c r="AA122" s="25">
        <f t="shared" si="40"/>
        <v>0</v>
      </c>
      <c r="AB122" s="25">
        <f t="shared" si="40"/>
        <v>0</v>
      </c>
      <c r="AC122" s="25">
        <f t="shared" si="40"/>
        <v>0</v>
      </c>
      <c r="AD122" s="25">
        <f t="shared" si="32"/>
        <v>0</v>
      </c>
      <c r="AE122" s="25">
        <f t="shared" si="32"/>
        <v>0</v>
      </c>
      <c r="AF122" s="25">
        <f t="shared" si="32"/>
        <v>0</v>
      </c>
      <c r="AG122" s="25">
        <f t="shared" si="32"/>
        <v>0</v>
      </c>
      <c r="AH122" s="25">
        <f t="shared" si="32"/>
        <v>0</v>
      </c>
      <c r="AI122" s="26">
        <f t="shared" si="32"/>
        <v>0</v>
      </c>
      <c r="AJ122" s="91"/>
      <c r="AK122" s="91"/>
      <c r="AL122" s="92"/>
    </row>
    <row r="123" spans="1:38" s="30" customFormat="1" ht="16" collapsed="1">
      <c r="A123" s="128" t="s">
        <v>503</v>
      </c>
      <c r="B123" s="66" t="s">
        <v>316</v>
      </c>
      <c r="C123" s="254"/>
      <c r="D123" s="255"/>
      <c r="E123" s="393" t="e">
        <f>IF((#REF!-C123)/(D123-C123)&lt;0,0,IF((#REF!-C123)/(D123-C123)&gt;100%,100%,(#REF!-C123)/(D123-C123)))</f>
        <v>#REF!</v>
      </c>
      <c r="F123" s="394"/>
      <c r="G123" s="395"/>
      <c r="H123" s="393" t="e">
        <f>IF((#REF!-F123)/(G123-F123)&lt;0,0,IF((#REF!-F123)/(G123-F123)&gt;100%,100%,(#REF!-F123)/(G123-F123)))</f>
        <v>#REF!</v>
      </c>
      <c r="I123" s="219" t="e">
        <f t="shared" si="34"/>
        <v>#REF!</v>
      </c>
      <c r="J123" s="49">
        <f t="shared" si="39"/>
        <v>0</v>
      </c>
      <c r="K123" s="50">
        <f t="shared" si="39"/>
        <v>0</v>
      </c>
      <c r="L123" s="49">
        <f t="shared" si="39"/>
        <v>0</v>
      </c>
      <c r="M123" s="49">
        <f t="shared" si="39"/>
        <v>0</v>
      </c>
      <c r="N123" s="49">
        <f t="shared" si="39"/>
        <v>0</v>
      </c>
      <c r="O123" s="49">
        <f t="shared" si="39"/>
        <v>0</v>
      </c>
      <c r="P123" s="49">
        <f t="shared" si="39"/>
        <v>0</v>
      </c>
      <c r="Q123" s="49">
        <f t="shared" si="39"/>
        <v>0</v>
      </c>
      <c r="R123" s="49">
        <f t="shared" si="39"/>
        <v>0</v>
      </c>
      <c r="S123" s="49">
        <f t="shared" si="39"/>
        <v>0</v>
      </c>
      <c r="T123" s="49">
        <f t="shared" si="40"/>
        <v>0</v>
      </c>
      <c r="U123" s="49">
        <f t="shared" si="40"/>
        <v>0</v>
      </c>
      <c r="V123" s="49">
        <f t="shared" si="40"/>
        <v>0</v>
      </c>
      <c r="W123" s="50">
        <f t="shared" si="40"/>
        <v>0</v>
      </c>
      <c r="X123" s="51">
        <f t="shared" si="40"/>
        <v>0</v>
      </c>
      <c r="Y123" s="49">
        <f t="shared" si="40"/>
        <v>0</v>
      </c>
      <c r="Z123" s="49">
        <f t="shared" si="40"/>
        <v>0</v>
      </c>
      <c r="AA123" s="49">
        <f t="shared" si="40"/>
        <v>0</v>
      </c>
      <c r="AB123" s="49">
        <f t="shared" si="40"/>
        <v>0</v>
      </c>
      <c r="AC123" s="49">
        <f t="shared" si="40"/>
        <v>0</v>
      </c>
      <c r="AD123" s="49">
        <f t="shared" si="32"/>
        <v>0</v>
      </c>
      <c r="AE123" s="49">
        <f t="shared" si="32"/>
        <v>0</v>
      </c>
      <c r="AF123" s="49">
        <f t="shared" si="32"/>
        <v>0</v>
      </c>
      <c r="AG123" s="49">
        <f t="shared" si="32"/>
        <v>0</v>
      </c>
      <c r="AH123" s="49">
        <f t="shared" si="32"/>
        <v>0</v>
      </c>
      <c r="AI123" s="50">
        <f t="shared" si="32"/>
        <v>0</v>
      </c>
      <c r="AJ123" s="106"/>
      <c r="AK123" s="106"/>
      <c r="AL123" s="107"/>
    </row>
    <row r="124" spans="1:38" s="30" customFormat="1" ht="16" hidden="1" outlineLevel="1">
      <c r="A124" s="121" t="s">
        <v>530</v>
      </c>
      <c r="B124" s="412" t="s">
        <v>307</v>
      </c>
      <c r="C124" s="239"/>
      <c r="D124" s="240"/>
      <c r="E124" s="378" t="e">
        <f>IF((#REF!-C124)/(D124-C124)&lt;0,0,IF((#REF!-C124)/(D124-C124)&gt;100%,100%,(#REF!-C124)/(D124-C124)))</f>
        <v>#REF!</v>
      </c>
      <c r="F124" s="232"/>
      <c r="G124" s="233"/>
      <c r="H124" s="378" t="e">
        <f>IF((#REF!-F124)/(G124-F124)&lt;0,0,IF((#REF!-F124)/(G124-F124)&gt;100%,100%,(#REF!-F124)/(G124-F124)))</f>
        <v>#REF!</v>
      </c>
      <c r="I124" s="222" t="e">
        <f t="shared" si="34"/>
        <v>#REF!</v>
      </c>
      <c r="J124" s="25">
        <f t="shared" si="39"/>
        <v>0</v>
      </c>
      <c r="K124" s="26">
        <f t="shared" si="39"/>
        <v>0</v>
      </c>
      <c r="L124" s="25">
        <f t="shared" si="39"/>
        <v>0</v>
      </c>
      <c r="M124" s="25">
        <f t="shared" si="39"/>
        <v>0</v>
      </c>
      <c r="N124" s="25">
        <f t="shared" si="39"/>
        <v>0</v>
      </c>
      <c r="O124" s="25">
        <f t="shared" si="39"/>
        <v>0</v>
      </c>
      <c r="P124" s="25">
        <f t="shared" si="39"/>
        <v>0</v>
      </c>
      <c r="Q124" s="25">
        <f t="shared" si="39"/>
        <v>0</v>
      </c>
      <c r="R124" s="25">
        <f t="shared" si="39"/>
        <v>0</v>
      </c>
      <c r="S124" s="25">
        <f t="shared" si="39"/>
        <v>0</v>
      </c>
      <c r="T124" s="25">
        <f t="shared" si="40"/>
        <v>0</v>
      </c>
      <c r="U124" s="25">
        <f t="shared" si="40"/>
        <v>0</v>
      </c>
      <c r="V124" s="25">
        <f t="shared" si="40"/>
        <v>0</v>
      </c>
      <c r="W124" s="26">
        <f t="shared" si="40"/>
        <v>0</v>
      </c>
      <c r="X124" s="27">
        <f t="shared" si="40"/>
        <v>0</v>
      </c>
      <c r="Y124" s="25">
        <f t="shared" si="40"/>
        <v>0</v>
      </c>
      <c r="Z124" s="25">
        <f t="shared" si="40"/>
        <v>0</v>
      </c>
      <c r="AA124" s="25">
        <f t="shared" si="40"/>
        <v>0</v>
      </c>
      <c r="AB124" s="25">
        <f t="shared" si="40"/>
        <v>0</v>
      </c>
      <c r="AC124" s="25">
        <f t="shared" si="40"/>
        <v>0</v>
      </c>
      <c r="AD124" s="25">
        <f t="shared" si="32"/>
        <v>0</v>
      </c>
      <c r="AE124" s="25">
        <f t="shared" si="32"/>
        <v>0</v>
      </c>
      <c r="AF124" s="25">
        <f t="shared" si="32"/>
        <v>0</v>
      </c>
      <c r="AG124" s="25">
        <f t="shared" si="32"/>
        <v>0</v>
      </c>
      <c r="AH124" s="25">
        <f t="shared" si="32"/>
        <v>0</v>
      </c>
      <c r="AI124" s="26">
        <f t="shared" si="32"/>
        <v>0</v>
      </c>
      <c r="AJ124" s="91"/>
      <c r="AK124" s="91"/>
      <c r="AL124" s="92"/>
    </row>
    <row r="125" spans="1:38" s="30" customFormat="1" ht="16" hidden="1" outlineLevel="1">
      <c r="A125" s="121" t="s">
        <v>531</v>
      </c>
      <c r="B125" s="412" t="s">
        <v>308</v>
      </c>
      <c r="C125" s="239"/>
      <c r="D125" s="240"/>
      <c r="E125" s="378" t="e">
        <f>IF((#REF!-C125)/(D125-C125)&lt;0,0,IF((#REF!-C125)/(D125-C125)&gt;100%,100%,(#REF!-C125)/(D125-C125)))</f>
        <v>#REF!</v>
      </c>
      <c r="F125" s="232"/>
      <c r="G125" s="233"/>
      <c r="H125" s="378" t="e">
        <f>IF((#REF!-F125)/(G125-F125)&lt;0,0,IF((#REF!-F125)/(G125-F125)&gt;100%,100%,(#REF!-F125)/(G125-F125)))</f>
        <v>#REF!</v>
      </c>
      <c r="I125" s="222" t="e">
        <f t="shared" si="34"/>
        <v>#REF!</v>
      </c>
      <c r="J125" s="25">
        <f t="shared" si="39"/>
        <v>0</v>
      </c>
      <c r="K125" s="26">
        <f t="shared" si="39"/>
        <v>0</v>
      </c>
      <c r="L125" s="25">
        <f t="shared" si="39"/>
        <v>0</v>
      </c>
      <c r="M125" s="25">
        <f t="shared" si="39"/>
        <v>0</v>
      </c>
      <c r="N125" s="25">
        <f t="shared" si="39"/>
        <v>0</v>
      </c>
      <c r="O125" s="25">
        <f t="shared" si="39"/>
        <v>0</v>
      </c>
      <c r="P125" s="25">
        <f t="shared" si="39"/>
        <v>0</v>
      </c>
      <c r="Q125" s="25">
        <f t="shared" si="39"/>
        <v>0</v>
      </c>
      <c r="R125" s="25">
        <f t="shared" si="39"/>
        <v>0</v>
      </c>
      <c r="S125" s="25">
        <f t="shared" si="39"/>
        <v>0</v>
      </c>
      <c r="T125" s="25">
        <f t="shared" si="40"/>
        <v>0</v>
      </c>
      <c r="U125" s="25">
        <f t="shared" si="40"/>
        <v>0</v>
      </c>
      <c r="V125" s="25">
        <f t="shared" si="40"/>
        <v>0</v>
      </c>
      <c r="W125" s="26">
        <f t="shared" si="40"/>
        <v>0</v>
      </c>
      <c r="X125" s="27">
        <f t="shared" si="40"/>
        <v>0</v>
      </c>
      <c r="Y125" s="25">
        <f t="shared" si="40"/>
        <v>0</v>
      </c>
      <c r="Z125" s="25">
        <f t="shared" si="40"/>
        <v>0</v>
      </c>
      <c r="AA125" s="25">
        <f t="shared" si="40"/>
        <v>0</v>
      </c>
      <c r="AB125" s="25">
        <f t="shared" si="40"/>
        <v>0</v>
      </c>
      <c r="AC125" s="25">
        <f t="shared" si="40"/>
        <v>0</v>
      </c>
      <c r="AD125" s="25">
        <f t="shared" si="32"/>
        <v>0</v>
      </c>
      <c r="AE125" s="25">
        <f t="shared" si="32"/>
        <v>0</v>
      </c>
      <c r="AF125" s="25">
        <f t="shared" si="32"/>
        <v>0</v>
      </c>
      <c r="AG125" s="25">
        <f t="shared" si="32"/>
        <v>0</v>
      </c>
      <c r="AH125" s="25">
        <f t="shared" si="32"/>
        <v>0</v>
      </c>
      <c r="AI125" s="26">
        <f t="shared" si="32"/>
        <v>0</v>
      </c>
      <c r="AJ125" s="91"/>
      <c r="AK125" s="91"/>
      <c r="AL125" s="92"/>
    </row>
    <row r="126" spans="1:38" s="30" customFormat="1" ht="16" hidden="1" outlineLevel="1">
      <c r="A126" s="121" t="s">
        <v>532</v>
      </c>
      <c r="B126" s="412" t="s">
        <v>310</v>
      </c>
      <c r="C126" s="239"/>
      <c r="D126" s="240"/>
      <c r="E126" s="378" t="e">
        <f>IF((#REF!-C126)/(D126-C126)&lt;0,0,IF((#REF!-C126)/(D126-C126)&gt;100%,100%,(#REF!-C126)/(D126-C126)))</f>
        <v>#REF!</v>
      </c>
      <c r="F126" s="232"/>
      <c r="G126" s="233"/>
      <c r="H126" s="378" t="e">
        <f>IF((#REF!-F126)/(G126-F126)&lt;0,0,IF((#REF!-F126)/(G126-F126)&gt;100%,100%,(#REF!-F126)/(G126-F126)))</f>
        <v>#REF!</v>
      </c>
      <c r="I126" s="222" t="e">
        <f t="shared" si="34"/>
        <v>#REF!</v>
      </c>
      <c r="J126" s="25">
        <f t="shared" si="39"/>
        <v>0</v>
      </c>
      <c r="K126" s="26">
        <f t="shared" si="39"/>
        <v>0</v>
      </c>
      <c r="L126" s="25">
        <f t="shared" si="39"/>
        <v>0</v>
      </c>
      <c r="M126" s="25">
        <f t="shared" si="39"/>
        <v>0</v>
      </c>
      <c r="N126" s="25">
        <f t="shared" si="39"/>
        <v>0</v>
      </c>
      <c r="O126" s="25">
        <f t="shared" si="39"/>
        <v>0</v>
      </c>
      <c r="P126" s="25">
        <f t="shared" si="39"/>
        <v>0</v>
      </c>
      <c r="Q126" s="25">
        <f t="shared" si="39"/>
        <v>0</v>
      </c>
      <c r="R126" s="25">
        <f t="shared" si="39"/>
        <v>0</v>
      </c>
      <c r="S126" s="25">
        <f t="shared" si="39"/>
        <v>0</v>
      </c>
      <c r="T126" s="25">
        <f t="shared" si="40"/>
        <v>0</v>
      </c>
      <c r="U126" s="25">
        <f t="shared" si="40"/>
        <v>0</v>
      </c>
      <c r="V126" s="25">
        <f t="shared" si="40"/>
        <v>0</v>
      </c>
      <c r="W126" s="26">
        <f t="shared" si="40"/>
        <v>0</v>
      </c>
      <c r="X126" s="27">
        <f t="shared" si="40"/>
        <v>0</v>
      </c>
      <c r="Y126" s="25">
        <f t="shared" si="40"/>
        <v>0</v>
      </c>
      <c r="Z126" s="25">
        <f t="shared" si="40"/>
        <v>0</v>
      </c>
      <c r="AA126" s="25">
        <f t="shared" si="40"/>
        <v>0</v>
      </c>
      <c r="AB126" s="25">
        <f t="shared" si="40"/>
        <v>0</v>
      </c>
      <c r="AC126" s="25">
        <f t="shared" si="40"/>
        <v>0</v>
      </c>
      <c r="AD126" s="25">
        <f t="shared" si="32"/>
        <v>0</v>
      </c>
      <c r="AE126" s="25">
        <f t="shared" si="32"/>
        <v>0</v>
      </c>
      <c r="AF126" s="25">
        <f t="shared" si="32"/>
        <v>0</v>
      </c>
      <c r="AG126" s="25">
        <f t="shared" si="32"/>
        <v>0</v>
      </c>
      <c r="AH126" s="25">
        <f t="shared" si="32"/>
        <v>0</v>
      </c>
      <c r="AI126" s="26">
        <f t="shared" si="32"/>
        <v>0</v>
      </c>
      <c r="AJ126" s="91"/>
      <c r="AK126" s="91"/>
      <c r="AL126" s="92"/>
    </row>
    <row r="127" spans="1:38" s="30" customFormat="1" ht="16" hidden="1" outlineLevel="1">
      <c r="A127" s="121" t="s">
        <v>533</v>
      </c>
      <c r="B127" s="412" t="s">
        <v>311</v>
      </c>
      <c r="C127" s="239"/>
      <c r="D127" s="240"/>
      <c r="E127" s="378" t="e">
        <f>IF((#REF!-C127)/(D127-C127)&lt;0,0,IF((#REF!-C127)/(D127-C127)&gt;100%,100%,(#REF!-C127)/(D127-C127)))</f>
        <v>#REF!</v>
      </c>
      <c r="F127" s="232"/>
      <c r="G127" s="233"/>
      <c r="H127" s="378" t="e">
        <f>IF((#REF!-F127)/(G127-F127)&lt;0,0,IF((#REF!-F127)/(G127-F127)&gt;100%,100%,(#REF!-F127)/(G127-F127)))</f>
        <v>#REF!</v>
      </c>
      <c r="I127" s="222" t="e">
        <f t="shared" si="34"/>
        <v>#REF!</v>
      </c>
      <c r="J127" s="25">
        <f t="shared" ref="J127:S136" si="41">+IF(J$3&gt;=$C127,IF(J$3&lt;=$D127,1,0),0)</f>
        <v>0</v>
      </c>
      <c r="K127" s="26">
        <f t="shared" si="41"/>
        <v>0</v>
      </c>
      <c r="L127" s="25">
        <f t="shared" si="41"/>
        <v>0</v>
      </c>
      <c r="M127" s="25">
        <f t="shared" si="41"/>
        <v>0</v>
      </c>
      <c r="N127" s="25">
        <f t="shared" si="41"/>
        <v>0</v>
      </c>
      <c r="O127" s="25">
        <f t="shared" si="41"/>
        <v>0</v>
      </c>
      <c r="P127" s="25">
        <f t="shared" si="41"/>
        <v>0</v>
      </c>
      <c r="Q127" s="25">
        <f t="shared" si="41"/>
        <v>0</v>
      </c>
      <c r="R127" s="25">
        <f t="shared" si="41"/>
        <v>0</v>
      </c>
      <c r="S127" s="25">
        <f t="shared" si="41"/>
        <v>0</v>
      </c>
      <c r="T127" s="25">
        <f t="shared" ref="T127:AC136" si="42">+IF(T$3&gt;=$C127,IF(T$3&lt;=$D127,1,0),0)</f>
        <v>0</v>
      </c>
      <c r="U127" s="25">
        <f t="shared" si="42"/>
        <v>0</v>
      </c>
      <c r="V127" s="25">
        <f t="shared" si="42"/>
        <v>0</v>
      </c>
      <c r="W127" s="26">
        <f t="shared" si="42"/>
        <v>0</v>
      </c>
      <c r="X127" s="27">
        <f t="shared" si="42"/>
        <v>0</v>
      </c>
      <c r="Y127" s="25">
        <f t="shared" si="42"/>
        <v>0</v>
      </c>
      <c r="Z127" s="25">
        <f t="shared" si="42"/>
        <v>0</v>
      </c>
      <c r="AA127" s="25">
        <f t="shared" si="42"/>
        <v>0</v>
      </c>
      <c r="AB127" s="25">
        <f t="shared" si="42"/>
        <v>0</v>
      </c>
      <c r="AC127" s="25">
        <f t="shared" si="42"/>
        <v>0</v>
      </c>
      <c r="AD127" s="25">
        <f t="shared" si="32"/>
        <v>0</v>
      </c>
      <c r="AE127" s="25">
        <f t="shared" si="32"/>
        <v>0</v>
      </c>
      <c r="AF127" s="25">
        <f t="shared" si="32"/>
        <v>0</v>
      </c>
      <c r="AG127" s="25">
        <f t="shared" si="32"/>
        <v>0</v>
      </c>
      <c r="AH127" s="25">
        <f t="shared" si="32"/>
        <v>0</v>
      </c>
      <c r="AI127" s="26">
        <f t="shared" si="32"/>
        <v>0</v>
      </c>
      <c r="AJ127" s="91"/>
      <c r="AK127" s="91"/>
      <c r="AL127" s="92"/>
    </row>
    <row r="128" spans="1:38" s="30" customFormat="1" ht="16" collapsed="1">
      <c r="A128" s="128" t="s">
        <v>504</v>
      </c>
      <c r="B128" s="66" t="s">
        <v>317</v>
      </c>
      <c r="C128" s="322">
        <v>46096</v>
      </c>
      <c r="D128" s="323">
        <v>46132</v>
      </c>
      <c r="E128" s="381" t="e">
        <f>IF((#REF!-C128)/(D128-C128)&lt;0,0,IF((#REF!-C128)/(D128-C128)&gt;100%,100%,(#REF!-C128)/(D128-C128)))</f>
        <v>#REF!</v>
      </c>
      <c r="F128" s="230"/>
      <c r="G128" s="231"/>
      <c r="H128" s="381" t="e">
        <f>IF((#REF!-F128)/(G128-F128)&lt;0,0,IF((#REF!-F128)/(G128-F128)&gt;100%,100%,(#REF!-F128)/(G128-F128)))</f>
        <v>#REF!</v>
      </c>
      <c r="I128" s="219" t="e">
        <f t="shared" si="34"/>
        <v>#REF!</v>
      </c>
      <c r="J128" s="49">
        <f t="shared" si="41"/>
        <v>0</v>
      </c>
      <c r="K128" s="50">
        <f t="shared" si="41"/>
        <v>0</v>
      </c>
      <c r="L128" s="49">
        <f t="shared" si="41"/>
        <v>0</v>
      </c>
      <c r="M128" s="49">
        <f t="shared" si="41"/>
        <v>0</v>
      </c>
      <c r="N128" s="49">
        <f t="shared" si="41"/>
        <v>1</v>
      </c>
      <c r="O128" s="49">
        <f t="shared" si="41"/>
        <v>0</v>
      </c>
      <c r="P128" s="49">
        <f t="shared" si="41"/>
        <v>0</v>
      </c>
      <c r="Q128" s="49">
        <f t="shared" si="41"/>
        <v>0</v>
      </c>
      <c r="R128" s="49">
        <f t="shared" si="41"/>
        <v>0</v>
      </c>
      <c r="S128" s="49">
        <f t="shared" si="41"/>
        <v>0</v>
      </c>
      <c r="T128" s="49">
        <f t="shared" si="42"/>
        <v>0</v>
      </c>
      <c r="U128" s="49">
        <f t="shared" si="42"/>
        <v>0</v>
      </c>
      <c r="V128" s="49">
        <f t="shared" si="42"/>
        <v>0</v>
      </c>
      <c r="W128" s="50">
        <f t="shared" si="42"/>
        <v>0</v>
      </c>
      <c r="X128" s="51">
        <f t="shared" si="42"/>
        <v>0</v>
      </c>
      <c r="Y128" s="49">
        <f t="shared" si="42"/>
        <v>0</v>
      </c>
      <c r="Z128" s="49">
        <f t="shared" si="42"/>
        <v>0</v>
      </c>
      <c r="AA128" s="49">
        <f t="shared" si="42"/>
        <v>0</v>
      </c>
      <c r="AB128" s="49">
        <f t="shared" si="42"/>
        <v>0</v>
      </c>
      <c r="AC128" s="49">
        <f t="shared" si="42"/>
        <v>0</v>
      </c>
      <c r="AD128" s="49">
        <f t="shared" si="32"/>
        <v>0</v>
      </c>
      <c r="AE128" s="49">
        <f t="shared" si="32"/>
        <v>0</v>
      </c>
      <c r="AF128" s="49">
        <f t="shared" si="32"/>
        <v>0</v>
      </c>
      <c r="AG128" s="49">
        <f t="shared" si="32"/>
        <v>0</v>
      </c>
      <c r="AH128" s="49">
        <f t="shared" si="32"/>
        <v>0</v>
      </c>
      <c r="AI128" s="50">
        <f t="shared" si="32"/>
        <v>0</v>
      </c>
      <c r="AJ128" s="106"/>
      <c r="AK128" s="106"/>
      <c r="AL128" s="107"/>
    </row>
    <row r="129" spans="1:38" s="30" customFormat="1" ht="16" hidden="1" outlineLevel="1">
      <c r="A129" s="121" t="s">
        <v>534</v>
      </c>
      <c r="B129" s="412" t="s">
        <v>307</v>
      </c>
      <c r="C129" s="320">
        <v>46096</v>
      </c>
      <c r="D129" s="321">
        <v>46101</v>
      </c>
      <c r="E129" s="378" t="e">
        <f>IF((#REF!-C129)/(D129-C129)&lt;0,0,IF((#REF!-C129)/(D129-C129)&gt;100%,100%,(#REF!-C129)/(D129-C129)))</f>
        <v>#REF!</v>
      </c>
      <c r="F129" s="232"/>
      <c r="G129" s="233"/>
      <c r="H129" s="378" t="e">
        <f>IF((#REF!-F129)/(G129-F129)&lt;0,0,IF((#REF!-F129)/(G129-F129)&gt;100%,100%,(#REF!-F129)/(G129-F129)))</f>
        <v>#REF!</v>
      </c>
      <c r="I129" s="222" t="e">
        <f t="shared" ref="I129:I160" si="43">(D129-C129)/100%*(H129-E129)</f>
        <v>#REF!</v>
      </c>
      <c r="J129" s="25">
        <f t="shared" si="41"/>
        <v>0</v>
      </c>
      <c r="K129" s="26">
        <f t="shared" si="41"/>
        <v>0</v>
      </c>
      <c r="L129" s="25">
        <f t="shared" si="41"/>
        <v>0</v>
      </c>
      <c r="M129" s="25">
        <f t="shared" si="41"/>
        <v>0</v>
      </c>
      <c r="N129" s="25">
        <f t="shared" si="41"/>
        <v>0</v>
      </c>
      <c r="O129" s="25">
        <f t="shared" si="41"/>
        <v>0</v>
      </c>
      <c r="P129" s="25">
        <f t="shared" si="41"/>
        <v>0</v>
      </c>
      <c r="Q129" s="25">
        <f t="shared" si="41"/>
        <v>0</v>
      </c>
      <c r="R129" s="25">
        <f t="shared" si="41"/>
        <v>0</v>
      </c>
      <c r="S129" s="25">
        <f t="shared" si="41"/>
        <v>0</v>
      </c>
      <c r="T129" s="25">
        <f t="shared" si="42"/>
        <v>0</v>
      </c>
      <c r="U129" s="25">
        <f t="shared" si="42"/>
        <v>0</v>
      </c>
      <c r="V129" s="25">
        <f t="shared" si="42"/>
        <v>0</v>
      </c>
      <c r="W129" s="26">
        <f t="shared" si="42"/>
        <v>0</v>
      </c>
      <c r="X129" s="27">
        <f t="shared" si="42"/>
        <v>0</v>
      </c>
      <c r="Y129" s="25">
        <f t="shared" si="42"/>
        <v>0</v>
      </c>
      <c r="Z129" s="25">
        <f t="shared" si="42"/>
        <v>0</v>
      </c>
      <c r="AA129" s="25">
        <f t="shared" si="42"/>
        <v>0</v>
      </c>
      <c r="AB129" s="25">
        <f t="shared" si="42"/>
        <v>0</v>
      </c>
      <c r="AC129" s="25">
        <f t="shared" si="42"/>
        <v>0</v>
      </c>
      <c r="AD129" s="25">
        <f t="shared" si="32"/>
        <v>0</v>
      </c>
      <c r="AE129" s="25">
        <f t="shared" si="32"/>
        <v>0</v>
      </c>
      <c r="AF129" s="25">
        <f t="shared" si="32"/>
        <v>0</v>
      </c>
      <c r="AG129" s="25">
        <f t="shared" si="32"/>
        <v>0</v>
      </c>
      <c r="AH129" s="25">
        <f t="shared" si="32"/>
        <v>0</v>
      </c>
      <c r="AI129" s="26">
        <f t="shared" si="32"/>
        <v>0</v>
      </c>
      <c r="AJ129" s="91"/>
      <c r="AK129" s="91"/>
      <c r="AL129" s="92"/>
    </row>
    <row r="130" spans="1:38" s="30" customFormat="1" ht="16" hidden="1" outlineLevel="1">
      <c r="A130" s="121" t="s">
        <v>535</v>
      </c>
      <c r="B130" s="412" t="s">
        <v>308</v>
      </c>
      <c r="C130" s="239"/>
      <c r="D130" s="240"/>
      <c r="E130" s="378" t="e">
        <f>IF((#REF!-C130)/(D130-C130)&lt;0,0,IF((#REF!-C130)/(D130-C130)&gt;100%,100%,(#REF!-C130)/(D130-C130)))</f>
        <v>#REF!</v>
      </c>
      <c r="F130" s="232"/>
      <c r="G130" s="233"/>
      <c r="H130" s="378" t="e">
        <f>IF((#REF!-F130)/(G130-F130)&lt;0,0,IF((#REF!-F130)/(G130-F130)&gt;100%,100%,(#REF!-F130)/(G130-F130)))</f>
        <v>#REF!</v>
      </c>
      <c r="I130" s="222" t="e">
        <f t="shared" si="43"/>
        <v>#REF!</v>
      </c>
      <c r="J130" s="25">
        <f t="shared" si="41"/>
        <v>0</v>
      </c>
      <c r="K130" s="26">
        <f t="shared" si="41"/>
        <v>0</v>
      </c>
      <c r="L130" s="25">
        <f t="shared" si="41"/>
        <v>0</v>
      </c>
      <c r="M130" s="25">
        <f t="shared" si="41"/>
        <v>0</v>
      </c>
      <c r="N130" s="25">
        <f t="shared" si="41"/>
        <v>0</v>
      </c>
      <c r="O130" s="25">
        <f t="shared" si="41"/>
        <v>0</v>
      </c>
      <c r="P130" s="25">
        <f t="shared" si="41"/>
        <v>0</v>
      </c>
      <c r="Q130" s="25">
        <f t="shared" si="41"/>
        <v>0</v>
      </c>
      <c r="R130" s="25">
        <f t="shared" si="41"/>
        <v>0</v>
      </c>
      <c r="S130" s="25">
        <f t="shared" si="41"/>
        <v>0</v>
      </c>
      <c r="T130" s="25">
        <f t="shared" si="42"/>
        <v>0</v>
      </c>
      <c r="U130" s="25">
        <f t="shared" si="42"/>
        <v>0</v>
      </c>
      <c r="V130" s="25">
        <f t="shared" si="42"/>
        <v>0</v>
      </c>
      <c r="W130" s="26">
        <f t="shared" si="42"/>
        <v>0</v>
      </c>
      <c r="X130" s="27">
        <f t="shared" si="42"/>
        <v>0</v>
      </c>
      <c r="Y130" s="25">
        <f t="shared" si="42"/>
        <v>0</v>
      </c>
      <c r="Z130" s="25">
        <f t="shared" si="42"/>
        <v>0</v>
      </c>
      <c r="AA130" s="25">
        <f t="shared" si="42"/>
        <v>0</v>
      </c>
      <c r="AB130" s="25">
        <f t="shared" si="42"/>
        <v>0</v>
      </c>
      <c r="AC130" s="25">
        <f t="shared" si="42"/>
        <v>0</v>
      </c>
      <c r="AD130" s="25">
        <f t="shared" si="32"/>
        <v>0</v>
      </c>
      <c r="AE130" s="25">
        <f t="shared" si="32"/>
        <v>0</v>
      </c>
      <c r="AF130" s="25">
        <f t="shared" si="32"/>
        <v>0</v>
      </c>
      <c r="AG130" s="25">
        <f t="shared" si="32"/>
        <v>0</v>
      </c>
      <c r="AH130" s="25">
        <f t="shared" si="32"/>
        <v>0</v>
      </c>
      <c r="AI130" s="26">
        <f t="shared" si="32"/>
        <v>0</v>
      </c>
      <c r="AJ130" s="91"/>
      <c r="AK130" s="91"/>
      <c r="AL130" s="92"/>
    </row>
    <row r="131" spans="1:38" s="30" customFormat="1" ht="16" hidden="1" outlineLevel="1">
      <c r="A131" s="121" t="s">
        <v>536</v>
      </c>
      <c r="B131" s="412" t="s">
        <v>310</v>
      </c>
      <c r="C131" s="239"/>
      <c r="D131" s="240"/>
      <c r="E131" s="378" t="e">
        <f>IF((#REF!-C131)/(D131-C131)&lt;0,0,IF((#REF!-C131)/(D131-C131)&gt;100%,100%,(#REF!-C131)/(D131-C131)))</f>
        <v>#REF!</v>
      </c>
      <c r="F131" s="232"/>
      <c r="G131" s="233"/>
      <c r="H131" s="378" t="e">
        <f>IF((#REF!-F131)/(G131-F131)&lt;0,0,IF((#REF!-F131)/(G131-F131)&gt;100%,100%,(#REF!-F131)/(G131-F131)))</f>
        <v>#REF!</v>
      </c>
      <c r="I131" s="222" t="e">
        <f t="shared" si="43"/>
        <v>#REF!</v>
      </c>
      <c r="J131" s="25">
        <f t="shared" si="41"/>
        <v>0</v>
      </c>
      <c r="K131" s="26">
        <f t="shared" si="41"/>
        <v>0</v>
      </c>
      <c r="L131" s="25">
        <f t="shared" si="41"/>
        <v>0</v>
      </c>
      <c r="M131" s="25">
        <f t="shared" si="41"/>
        <v>0</v>
      </c>
      <c r="N131" s="25">
        <f t="shared" si="41"/>
        <v>0</v>
      </c>
      <c r="O131" s="25">
        <f t="shared" si="41"/>
        <v>0</v>
      </c>
      <c r="P131" s="25">
        <f t="shared" si="41"/>
        <v>0</v>
      </c>
      <c r="Q131" s="25">
        <f t="shared" si="41"/>
        <v>0</v>
      </c>
      <c r="R131" s="25">
        <f t="shared" si="41"/>
        <v>0</v>
      </c>
      <c r="S131" s="25">
        <f t="shared" si="41"/>
        <v>0</v>
      </c>
      <c r="T131" s="25">
        <f t="shared" si="42"/>
        <v>0</v>
      </c>
      <c r="U131" s="25">
        <f t="shared" si="42"/>
        <v>0</v>
      </c>
      <c r="V131" s="25">
        <f t="shared" si="42"/>
        <v>0</v>
      </c>
      <c r="W131" s="26">
        <f t="shared" si="42"/>
        <v>0</v>
      </c>
      <c r="X131" s="27">
        <f t="shared" si="42"/>
        <v>0</v>
      </c>
      <c r="Y131" s="25">
        <f t="shared" si="42"/>
        <v>0</v>
      </c>
      <c r="Z131" s="25">
        <f t="shared" si="42"/>
        <v>0</v>
      </c>
      <c r="AA131" s="25">
        <f t="shared" si="42"/>
        <v>0</v>
      </c>
      <c r="AB131" s="25">
        <f t="shared" si="42"/>
        <v>0</v>
      </c>
      <c r="AC131" s="25">
        <f t="shared" si="42"/>
        <v>0</v>
      </c>
      <c r="AD131" s="25">
        <f t="shared" si="32"/>
        <v>0</v>
      </c>
      <c r="AE131" s="25">
        <f t="shared" si="32"/>
        <v>0</v>
      </c>
      <c r="AF131" s="25">
        <f t="shared" si="32"/>
        <v>0</v>
      </c>
      <c r="AG131" s="25">
        <f t="shared" si="32"/>
        <v>0</v>
      </c>
      <c r="AH131" s="25">
        <f t="shared" si="32"/>
        <v>0</v>
      </c>
      <c r="AI131" s="26">
        <f t="shared" si="32"/>
        <v>0</v>
      </c>
      <c r="AJ131" s="91"/>
      <c r="AK131" s="91"/>
      <c r="AL131" s="92"/>
    </row>
    <row r="132" spans="1:38" s="30" customFormat="1" ht="16" hidden="1" outlineLevel="1">
      <c r="A132" s="121" t="s">
        <v>537</v>
      </c>
      <c r="B132" s="412" t="s">
        <v>311</v>
      </c>
      <c r="C132" s="239"/>
      <c r="D132" s="240"/>
      <c r="E132" s="378" t="e">
        <f>IF((#REF!-C132)/(D132-C132)&lt;0,0,IF((#REF!-C132)/(D132-C132)&gt;100%,100%,(#REF!-C132)/(D132-C132)))</f>
        <v>#REF!</v>
      </c>
      <c r="F132" s="232"/>
      <c r="G132" s="233"/>
      <c r="H132" s="378" t="e">
        <f>IF((#REF!-F132)/(G132-F132)&lt;0,0,IF((#REF!-F132)/(G132-F132)&gt;100%,100%,(#REF!-F132)/(G132-F132)))</f>
        <v>#REF!</v>
      </c>
      <c r="I132" s="222" t="e">
        <f t="shared" si="43"/>
        <v>#REF!</v>
      </c>
      <c r="J132" s="25">
        <f t="shared" si="41"/>
        <v>0</v>
      </c>
      <c r="K132" s="26">
        <f t="shared" si="41"/>
        <v>0</v>
      </c>
      <c r="L132" s="25">
        <f t="shared" si="41"/>
        <v>0</v>
      </c>
      <c r="M132" s="25">
        <f t="shared" si="41"/>
        <v>0</v>
      </c>
      <c r="N132" s="25">
        <f t="shared" si="41"/>
        <v>0</v>
      </c>
      <c r="O132" s="25">
        <f t="shared" si="41"/>
        <v>0</v>
      </c>
      <c r="P132" s="25">
        <f t="shared" si="41"/>
        <v>0</v>
      </c>
      <c r="Q132" s="25">
        <f t="shared" si="41"/>
        <v>0</v>
      </c>
      <c r="R132" s="25">
        <f t="shared" si="41"/>
        <v>0</v>
      </c>
      <c r="S132" s="25">
        <f t="shared" si="41"/>
        <v>0</v>
      </c>
      <c r="T132" s="25">
        <f t="shared" si="42"/>
        <v>0</v>
      </c>
      <c r="U132" s="25">
        <f t="shared" si="42"/>
        <v>0</v>
      </c>
      <c r="V132" s="25">
        <f t="shared" si="42"/>
        <v>0</v>
      </c>
      <c r="W132" s="26">
        <f t="shared" si="42"/>
        <v>0</v>
      </c>
      <c r="X132" s="27">
        <f t="shared" si="42"/>
        <v>0</v>
      </c>
      <c r="Y132" s="25">
        <f t="shared" si="42"/>
        <v>0</v>
      </c>
      <c r="Z132" s="25">
        <f t="shared" si="42"/>
        <v>0</v>
      </c>
      <c r="AA132" s="25">
        <f t="shared" si="42"/>
        <v>0</v>
      </c>
      <c r="AB132" s="25">
        <f t="shared" si="42"/>
        <v>0</v>
      </c>
      <c r="AC132" s="25">
        <f t="shared" si="42"/>
        <v>0</v>
      </c>
      <c r="AD132" s="25">
        <f t="shared" si="32"/>
        <v>0</v>
      </c>
      <c r="AE132" s="25">
        <f t="shared" si="32"/>
        <v>0</v>
      </c>
      <c r="AF132" s="25">
        <f t="shared" si="32"/>
        <v>0</v>
      </c>
      <c r="AG132" s="25">
        <f t="shared" si="32"/>
        <v>0</v>
      </c>
      <c r="AH132" s="25">
        <f t="shared" si="32"/>
        <v>0</v>
      </c>
      <c r="AI132" s="26">
        <f t="shared" si="32"/>
        <v>0</v>
      </c>
      <c r="AJ132" s="91"/>
      <c r="AK132" s="91"/>
      <c r="AL132" s="92"/>
    </row>
    <row r="133" spans="1:38" s="30" customFormat="1" ht="16" collapsed="1">
      <c r="A133" s="128" t="s">
        <v>505</v>
      </c>
      <c r="B133" s="66" t="s">
        <v>318</v>
      </c>
      <c r="C133" s="322">
        <v>46096</v>
      </c>
      <c r="D133" s="323">
        <v>46132</v>
      </c>
      <c r="E133" s="381" t="e">
        <f>IF((#REF!-C133)/(D133-C133)&lt;0,0,IF((#REF!-C133)/(D133-C133)&gt;100%,100%,(#REF!-C133)/(D133-C133)))</f>
        <v>#REF!</v>
      </c>
      <c r="F133" s="230"/>
      <c r="G133" s="231"/>
      <c r="H133" s="381" t="e">
        <f>IF((#REF!-F133)/(G133-F133)&lt;0,0,IF((#REF!-F133)/(G133-F133)&gt;100%,100%,(#REF!-F133)/(G133-F133)))</f>
        <v>#REF!</v>
      </c>
      <c r="I133" s="219" t="e">
        <f t="shared" si="43"/>
        <v>#REF!</v>
      </c>
      <c r="J133" s="49">
        <f t="shared" si="41"/>
        <v>0</v>
      </c>
      <c r="K133" s="50">
        <f t="shared" si="41"/>
        <v>0</v>
      </c>
      <c r="L133" s="49">
        <f t="shared" si="41"/>
        <v>0</v>
      </c>
      <c r="M133" s="49">
        <f t="shared" si="41"/>
        <v>0</v>
      </c>
      <c r="N133" s="49">
        <f t="shared" si="41"/>
        <v>1</v>
      </c>
      <c r="O133" s="49">
        <f t="shared" si="41"/>
        <v>0</v>
      </c>
      <c r="P133" s="49">
        <f t="shared" si="41"/>
        <v>0</v>
      </c>
      <c r="Q133" s="49">
        <f t="shared" si="41"/>
        <v>0</v>
      </c>
      <c r="R133" s="49">
        <f t="shared" si="41"/>
        <v>0</v>
      </c>
      <c r="S133" s="49">
        <f t="shared" si="41"/>
        <v>0</v>
      </c>
      <c r="T133" s="49">
        <f t="shared" si="42"/>
        <v>0</v>
      </c>
      <c r="U133" s="49">
        <f t="shared" si="42"/>
        <v>0</v>
      </c>
      <c r="V133" s="49">
        <f t="shared" si="42"/>
        <v>0</v>
      </c>
      <c r="W133" s="50">
        <f t="shared" si="42"/>
        <v>0</v>
      </c>
      <c r="X133" s="51">
        <f t="shared" si="42"/>
        <v>0</v>
      </c>
      <c r="Y133" s="49">
        <f t="shared" si="42"/>
        <v>0</v>
      </c>
      <c r="Z133" s="49">
        <f t="shared" si="42"/>
        <v>0</v>
      </c>
      <c r="AA133" s="49">
        <f t="shared" si="42"/>
        <v>0</v>
      </c>
      <c r="AB133" s="49">
        <f t="shared" si="42"/>
        <v>0</v>
      </c>
      <c r="AC133" s="49">
        <f t="shared" si="42"/>
        <v>0</v>
      </c>
      <c r="AD133" s="49">
        <f t="shared" si="32"/>
        <v>0</v>
      </c>
      <c r="AE133" s="49">
        <f t="shared" si="32"/>
        <v>0</v>
      </c>
      <c r="AF133" s="49">
        <f t="shared" si="32"/>
        <v>0</v>
      </c>
      <c r="AG133" s="49">
        <f t="shared" si="32"/>
        <v>0</v>
      </c>
      <c r="AH133" s="49">
        <f t="shared" si="32"/>
        <v>0</v>
      </c>
      <c r="AI133" s="50">
        <f t="shared" si="32"/>
        <v>0</v>
      </c>
      <c r="AJ133" s="106"/>
      <c r="AK133" s="106"/>
      <c r="AL133" s="107"/>
    </row>
    <row r="134" spans="1:38" s="30" customFormat="1" ht="16" hidden="1" outlineLevel="1">
      <c r="A134" s="121" t="s">
        <v>538</v>
      </c>
      <c r="B134" s="412" t="s">
        <v>307</v>
      </c>
      <c r="C134" s="320">
        <v>46096</v>
      </c>
      <c r="D134" s="321">
        <v>46101</v>
      </c>
      <c r="E134" s="378" t="e">
        <f>IF((#REF!-C134)/(D134-C134)&lt;0,0,IF((#REF!-C134)/(D134-C134)&gt;100%,100%,(#REF!-C134)/(D134-C134)))</f>
        <v>#REF!</v>
      </c>
      <c r="F134" s="232"/>
      <c r="G134" s="233"/>
      <c r="H134" s="378" t="e">
        <f>IF((#REF!-F134)/(G134-F134)&lt;0,0,IF((#REF!-F134)/(G134-F134)&gt;100%,100%,(#REF!-F134)/(G134-F134)))</f>
        <v>#REF!</v>
      </c>
      <c r="I134" s="222" t="e">
        <f t="shared" si="43"/>
        <v>#REF!</v>
      </c>
      <c r="J134" s="25">
        <f t="shared" si="41"/>
        <v>0</v>
      </c>
      <c r="K134" s="26">
        <f t="shared" si="41"/>
        <v>0</v>
      </c>
      <c r="L134" s="25">
        <f t="shared" si="41"/>
        <v>0</v>
      </c>
      <c r="M134" s="25">
        <f t="shared" si="41"/>
        <v>0</v>
      </c>
      <c r="N134" s="25">
        <f t="shared" si="41"/>
        <v>0</v>
      </c>
      <c r="O134" s="25">
        <f t="shared" si="41"/>
        <v>0</v>
      </c>
      <c r="P134" s="25">
        <f t="shared" si="41"/>
        <v>0</v>
      </c>
      <c r="Q134" s="25">
        <f t="shared" si="41"/>
        <v>0</v>
      </c>
      <c r="R134" s="25">
        <f t="shared" si="41"/>
        <v>0</v>
      </c>
      <c r="S134" s="25">
        <f t="shared" si="41"/>
        <v>0</v>
      </c>
      <c r="T134" s="25">
        <f t="shared" si="42"/>
        <v>0</v>
      </c>
      <c r="U134" s="25">
        <f t="shared" si="42"/>
        <v>0</v>
      </c>
      <c r="V134" s="25">
        <f t="shared" si="42"/>
        <v>0</v>
      </c>
      <c r="W134" s="26">
        <f t="shared" si="42"/>
        <v>0</v>
      </c>
      <c r="X134" s="27">
        <f t="shared" si="42"/>
        <v>0</v>
      </c>
      <c r="Y134" s="25">
        <f t="shared" si="42"/>
        <v>0</v>
      </c>
      <c r="Z134" s="25">
        <f t="shared" si="42"/>
        <v>0</v>
      </c>
      <c r="AA134" s="25">
        <f t="shared" si="42"/>
        <v>0</v>
      </c>
      <c r="AB134" s="25">
        <f t="shared" si="42"/>
        <v>0</v>
      </c>
      <c r="AC134" s="25">
        <f t="shared" si="42"/>
        <v>0</v>
      </c>
      <c r="AD134" s="25">
        <f t="shared" si="32"/>
        <v>0</v>
      </c>
      <c r="AE134" s="25">
        <f t="shared" si="32"/>
        <v>0</v>
      </c>
      <c r="AF134" s="25">
        <f t="shared" si="32"/>
        <v>0</v>
      </c>
      <c r="AG134" s="25">
        <f t="shared" si="32"/>
        <v>0</v>
      </c>
      <c r="AH134" s="25">
        <f t="shared" si="32"/>
        <v>0</v>
      </c>
      <c r="AI134" s="26">
        <f t="shared" si="32"/>
        <v>0</v>
      </c>
      <c r="AJ134" s="91"/>
      <c r="AK134" s="91"/>
      <c r="AL134" s="92"/>
    </row>
    <row r="135" spans="1:38" s="30" customFormat="1" ht="16" hidden="1" outlineLevel="1">
      <c r="A135" s="121" t="s">
        <v>539</v>
      </c>
      <c r="B135" s="412" t="s">
        <v>308</v>
      </c>
      <c r="C135" s="239"/>
      <c r="D135" s="240"/>
      <c r="E135" s="378" t="e">
        <f>IF((#REF!-C135)/(D135-C135)&lt;0,0,IF((#REF!-C135)/(D135-C135)&gt;100%,100%,(#REF!-C135)/(D135-C135)))</f>
        <v>#REF!</v>
      </c>
      <c r="F135" s="232"/>
      <c r="G135" s="233"/>
      <c r="H135" s="378" t="e">
        <f>IF((#REF!-F135)/(G135-F135)&lt;0,0,IF((#REF!-F135)/(G135-F135)&gt;100%,100%,(#REF!-F135)/(G135-F135)))</f>
        <v>#REF!</v>
      </c>
      <c r="I135" s="222" t="e">
        <f t="shared" si="43"/>
        <v>#REF!</v>
      </c>
      <c r="J135" s="25">
        <f t="shared" si="41"/>
        <v>0</v>
      </c>
      <c r="K135" s="26">
        <f t="shared" si="41"/>
        <v>0</v>
      </c>
      <c r="L135" s="25">
        <f t="shared" si="41"/>
        <v>0</v>
      </c>
      <c r="M135" s="25">
        <f t="shared" si="41"/>
        <v>0</v>
      </c>
      <c r="N135" s="25">
        <f t="shared" si="41"/>
        <v>0</v>
      </c>
      <c r="O135" s="25">
        <f t="shared" si="41"/>
        <v>0</v>
      </c>
      <c r="P135" s="25">
        <f t="shared" si="41"/>
        <v>0</v>
      </c>
      <c r="Q135" s="25">
        <f t="shared" si="41"/>
        <v>0</v>
      </c>
      <c r="R135" s="25">
        <f t="shared" si="41"/>
        <v>0</v>
      </c>
      <c r="S135" s="25">
        <f t="shared" si="41"/>
        <v>0</v>
      </c>
      <c r="T135" s="25">
        <f t="shared" si="42"/>
        <v>0</v>
      </c>
      <c r="U135" s="25">
        <f t="shared" si="42"/>
        <v>0</v>
      </c>
      <c r="V135" s="25">
        <f t="shared" si="42"/>
        <v>0</v>
      </c>
      <c r="W135" s="26">
        <f t="shared" si="42"/>
        <v>0</v>
      </c>
      <c r="X135" s="27">
        <f t="shared" si="42"/>
        <v>0</v>
      </c>
      <c r="Y135" s="25">
        <f t="shared" si="42"/>
        <v>0</v>
      </c>
      <c r="Z135" s="25">
        <f t="shared" si="42"/>
        <v>0</v>
      </c>
      <c r="AA135" s="25">
        <f t="shared" si="42"/>
        <v>0</v>
      </c>
      <c r="AB135" s="25">
        <f t="shared" si="42"/>
        <v>0</v>
      </c>
      <c r="AC135" s="25">
        <f t="shared" si="42"/>
        <v>0</v>
      </c>
      <c r="AD135" s="25">
        <f t="shared" si="32"/>
        <v>0</v>
      </c>
      <c r="AE135" s="25">
        <f t="shared" si="32"/>
        <v>0</v>
      </c>
      <c r="AF135" s="25">
        <f t="shared" si="32"/>
        <v>0</v>
      </c>
      <c r="AG135" s="25">
        <f t="shared" si="32"/>
        <v>0</v>
      </c>
      <c r="AH135" s="25">
        <f t="shared" si="32"/>
        <v>0</v>
      </c>
      <c r="AI135" s="26">
        <f t="shared" si="32"/>
        <v>0</v>
      </c>
      <c r="AJ135" s="91"/>
      <c r="AK135" s="91"/>
      <c r="AL135" s="92"/>
    </row>
    <row r="136" spans="1:38" s="30" customFormat="1" ht="16" hidden="1" outlineLevel="1">
      <c r="A136" s="121" t="s">
        <v>540</v>
      </c>
      <c r="B136" s="412" t="s">
        <v>310</v>
      </c>
      <c r="C136" s="239"/>
      <c r="D136" s="240"/>
      <c r="E136" s="378" t="e">
        <f>IF((#REF!-C136)/(D136-C136)&lt;0,0,IF((#REF!-C136)/(D136-C136)&gt;100%,100%,(#REF!-C136)/(D136-C136)))</f>
        <v>#REF!</v>
      </c>
      <c r="F136" s="232"/>
      <c r="G136" s="233"/>
      <c r="H136" s="378" t="e">
        <f>IF((#REF!-F136)/(G136-F136)&lt;0,0,IF((#REF!-F136)/(G136-F136)&gt;100%,100%,(#REF!-F136)/(G136-F136)))</f>
        <v>#REF!</v>
      </c>
      <c r="I136" s="222" t="e">
        <f t="shared" si="43"/>
        <v>#REF!</v>
      </c>
      <c r="J136" s="25">
        <f t="shared" si="41"/>
        <v>0</v>
      </c>
      <c r="K136" s="26">
        <f t="shared" si="41"/>
        <v>0</v>
      </c>
      <c r="L136" s="25">
        <f t="shared" si="41"/>
        <v>0</v>
      </c>
      <c r="M136" s="25">
        <f t="shared" si="41"/>
        <v>0</v>
      </c>
      <c r="N136" s="25">
        <f t="shared" si="41"/>
        <v>0</v>
      </c>
      <c r="O136" s="25">
        <f t="shared" si="41"/>
        <v>0</v>
      </c>
      <c r="P136" s="25">
        <f t="shared" si="41"/>
        <v>0</v>
      </c>
      <c r="Q136" s="25">
        <f t="shared" si="41"/>
        <v>0</v>
      </c>
      <c r="R136" s="25">
        <f t="shared" si="41"/>
        <v>0</v>
      </c>
      <c r="S136" s="25">
        <f t="shared" si="41"/>
        <v>0</v>
      </c>
      <c r="T136" s="25">
        <f t="shared" si="42"/>
        <v>0</v>
      </c>
      <c r="U136" s="25">
        <f t="shared" si="42"/>
        <v>0</v>
      </c>
      <c r="V136" s="25">
        <f t="shared" si="42"/>
        <v>0</v>
      </c>
      <c r="W136" s="26">
        <f t="shared" si="42"/>
        <v>0</v>
      </c>
      <c r="X136" s="27">
        <f t="shared" si="42"/>
        <v>0</v>
      </c>
      <c r="Y136" s="25">
        <f t="shared" si="42"/>
        <v>0</v>
      </c>
      <c r="Z136" s="25">
        <f t="shared" si="42"/>
        <v>0</v>
      </c>
      <c r="AA136" s="25">
        <f t="shared" si="42"/>
        <v>0</v>
      </c>
      <c r="AB136" s="25">
        <f t="shared" si="42"/>
        <v>0</v>
      </c>
      <c r="AC136" s="25">
        <f t="shared" si="42"/>
        <v>0</v>
      </c>
      <c r="AD136" s="25">
        <f t="shared" si="32"/>
        <v>0</v>
      </c>
      <c r="AE136" s="25">
        <f t="shared" si="32"/>
        <v>0</v>
      </c>
      <c r="AF136" s="25">
        <f t="shared" si="32"/>
        <v>0</v>
      </c>
      <c r="AG136" s="25">
        <f t="shared" si="32"/>
        <v>0</v>
      </c>
      <c r="AH136" s="25">
        <f t="shared" si="32"/>
        <v>0</v>
      </c>
      <c r="AI136" s="26">
        <f t="shared" si="32"/>
        <v>0</v>
      </c>
      <c r="AJ136" s="91"/>
      <c r="AK136" s="91"/>
      <c r="AL136" s="92"/>
    </row>
    <row r="137" spans="1:38" s="30" customFormat="1" ht="16" hidden="1" outlineLevel="1">
      <c r="A137" s="121" t="s">
        <v>541</v>
      </c>
      <c r="B137" s="412" t="s">
        <v>311</v>
      </c>
      <c r="C137" s="239"/>
      <c r="D137" s="240"/>
      <c r="E137" s="378" t="e">
        <f>IF((#REF!-C137)/(D137-C137)&lt;0,0,IF((#REF!-C137)/(D137-C137)&gt;100%,100%,(#REF!-C137)/(D137-C137)))</f>
        <v>#REF!</v>
      </c>
      <c r="F137" s="232"/>
      <c r="G137" s="233"/>
      <c r="H137" s="378" t="e">
        <f>IF((#REF!-F137)/(G137-F137)&lt;0,0,IF((#REF!-F137)/(G137-F137)&gt;100%,100%,(#REF!-F137)/(G137-F137)))</f>
        <v>#REF!</v>
      </c>
      <c r="I137" s="222" t="e">
        <f t="shared" si="43"/>
        <v>#REF!</v>
      </c>
      <c r="J137" s="25">
        <f t="shared" ref="J137:S146" si="44">+IF(J$3&gt;=$C137,IF(J$3&lt;=$D137,1,0),0)</f>
        <v>0</v>
      </c>
      <c r="K137" s="26">
        <f t="shared" si="44"/>
        <v>0</v>
      </c>
      <c r="L137" s="25">
        <f t="shared" si="44"/>
        <v>0</v>
      </c>
      <c r="M137" s="25">
        <f t="shared" si="44"/>
        <v>0</v>
      </c>
      <c r="N137" s="25">
        <f t="shared" si="44"/>
        <v>0</v>
      </c>
      <c r="O137" s="25">
        <f t="shared" si="44"/>
        <v>0</v>
      </c>
      <c r="P137" s="25">
        <f t="shared" si="44"/>
        <v>0</v>
      </c>
      <c r="Q137" s="25">
        <f t="shared" si="44"/>
        <v>0</v>
      </c>
      <c r="R137" s="25">
        <f t="shared" si="44"/>
        <v>0</v>
      </c>
      <c r="S137" s="25">
        <f t="shared" si="44"/>
        <v>0</v>
      </c>
      <c r="T137" s="25">
        <f t="shared" ref="T137:AC146" si="45">+IF(T$3&gt;=$C137,IF(T$3&lt;=$D137,1,0),0)</f>
        <v>0</v>
      </c>
      <c r="U137" s="25">
        <f t="shared" si="45"/>
        <v>0</v>
      </c>
      <c r="V137" s="25">
        <f t="shared" si="45"/>
        <v>0</v>
      </c>
      <c r="W137" s="26">
        <f t="shared" si="45"/>
        <v>0</v>
      </c>
      <c r="X137" s="27">
        <f t="shared" si="45"/>
        <v>0</v>
      </c>
      <c r="Y137" s="25">
        <f t="shared" si="45"/>
        <v>0</v>
      </c>
      <c r="Z137" s="25">
        <f t="shared" si="45"/>
        <v>0</v>
      </c>
      <c r="AA137" s="25">
        <f t="shared" si="45"/>
        <v>0</v>
      </c>
      <c r="AB137" s="25">
        <f t="shared" si="45"/>
        <v>0</v>
      </c>
      <c r="AC137" s="25">
        <f t="shared" si="45"/>
        <v>0</v>
      </c>
      <c r="AD137" s="25">
        <f t="shared" si="32"/>
        <v>0</v>
      </c>
      <c r="AE137" s="25">
        <f t="shared" si="32"/>
        <v>0</v>
      </c>
      <c r="AF137" s="25">
        <f t="shared" si="32"/>
        <v>0</v>
      </c>
      <c r="AG137" s="25">
        <f t="shared" si="32"/>
        <v>0</v>
      </c>
      <c r="AH137" s="25">
        <f t="shared" si="32"/>
        <v>0</v>
      </c>
      <c r="AI137" s="26">
        <f t="shared" si="32"/>
        <v>0</v>
      </c>
      <c r="AJ137" s="91"/>
      <c r="AK137" s="91"/>
      <c r="AL137" s="92"/>
    </row>
    <row r="138" spans="1:38" s="30" customFormat="1" ht="16" collapsed="1">
      <c r="A138" s="128" t="s">
        <v>506</v>
      </c>
      <c r="B138" s="66" t="s">
        <v>319</v>
      </c>
      <c r="C138" s="322">
        <v>46096</v>
      </c>
      <c r="D138" s="323">
        <v>46132</v>
      </c>
      <c r="E138" s="381" t="e">
        <f>IF((#REF!-C138)/(D138-C138)&lt;0,0,IF((#REF!-C138)/(D138-C138)&gt;100%,100%,(#REF!-C138)/(D138-C138)))</f>
        <v>#REF!</v>
      </c>
      <c r="F138" s="230"/>
      <c r="G138" s="231"/>
      <c r="H138" s="381" t="e">
        <f>IF((#REF!-F138)/(G138-F138)&lt;0,0,IF((#REF!-F138)/(G138-F138)&gt;100%,100%,(#REF!-F138)/(G138-F138)))</f>
        <v>#REF!</v>
      </c>
      <c r="I138" s="219" t="e">
        <f t="shared" si="43"/>
        <v>#REF!</v>
      </c>
      <c r="J138" s="49">
        <f t="shared" si="44"/>
        <v>0</v>
      </c>
      <c r="K138" s="50">
        <f t="shared" si="44"/>
        <v>0</v>
      </c>
      <c r="L138" s="49">
        <f t="shared" si="44"/>
        <v>0</v>
      </c>
      <c r="M138" s="49">
        <f t="shared" si="44"/>
        <v>0</v>
      </c>
      <c r="N138" s="49">
        <f t="shared" si="44"/>
        <v>1</v>
      </c>
      <c r="O138" s="49">
        <f t="shared" si="44"/>
        <v>0</v>
      </c>
      <c r="P138" s="49">
        <f t="shared" si="44"/>
        <v>0</v>
      </c>
      <c r="Q138" s="49">
        <f t="shared" si="44"/>
        <v>0</v>
      </c>
      <c r="R138" s="49">
        <f t="shared" si="44"/>
        <v>0</v>
      </c>
      <c r="S138" s="49">
        <f t="shared" si="44"/>
        <v>0</v>
      </c>
      <c r="T138" s="49">
        <f t="shared" si="45"/>
        <v>0</v>
      </c>
      <c r="U138" s="49">
        <f t="shared" si="45"/>
        <v>0</v>
      </c>
      <c r="V138" s="49">
        <f t="shared" si="45"/>
        <v>0</v>
      </c>
      <c r="W138" s="50">
        <f t="shared" si="45"/>
        <v>0</v>
      </c>
      <c r="X138" s="51">
        <f t="shared" si="45"/>
        <v>0</v>
      </c>
      <c r="Y138" s="49">
        <f t="shared" si="45"/>
        <v>0</v>
      </c>
      <c r="Z138" s="49">
        <f t="shared" si="45"/>
        <v>0</v>
      </c>
      <c r="AA138" s="49">
        <f t="shared" si="45"/>
        <v>0</v>
      </c>
      <c r="AB138" s="49">
        <f t="shared" si="45"/>
        <v>0</v>
      </c>
      <c r="AC138" s="49">
        <f t="shared" si="45"/>
        <v>0</v>
      </c>
      <c r="AD138" s="49">
        <f t="shared" si="32"/>
        <v>0</v>
      </c>
      <c r="AE138" s="49">
        <f t="shared" si="32"/>
        <v>0</v>
      </c>
      <c r="AF138" s="49">
        <f t="shared" si="32"/>
        <v>0</v>
      </c>
      <c r="AG138" s="49">
        <f t="shared" si="32"/>
        <v>0</v>
      </c>
      <c r="AH138" s="49">
        <f t="shared" si="32"/>
        <v>0</v>
      </c>
      <c r="AI138" s="50">
        <f t="shared" si="32"/>
        <v>0</v>
      </c>
      <c r="AJ138" s="106"/>
      <c r="AK138" s="106"/>
      <c r="AL138" s="107"/>
    </row>
    <row r="139" spans="1:38" s="30" customFormat="1" ht="16" hidden="1" outlineLevel="1">
      <c r="A139" s="121" t="s">
        <v>542</v>
      </c>
      <c r="B139" s="412" t="s">
        <v>307</v>
      </c>
      <c r="C139" s="320">
        <v>46096</v>
      </c>
      <c r="D139" s="321">
        <v>46101</v>
      </c>
      <c r="E139" s="378" t="e">
        <f>IF((#REF!-C139)/(D139-C139)&lt;0,0,IF((#REF!-C139)/(D139-C139)&gt;100%,100%,(#REF!-C139)/(D139-C139)))</f>
        <v>#REF!</v>
      </c>
      <c r="F139" s="232"/>
      <c r="G139" s="233"/>
      <c r="H139" s="378" t="e">
        <f>IF((#REF!-F139)/(G139-F139)&lt;0,0,IF((#REF!-F139)/(G139-F139)&gt;100%,100%,(#REF!-F139)/(G139-F139)))</f>
        <v>#REF!</v>
      </c>
      <c r="I139" s="222" t="e">
        <f t="shared" si="43"/>
        <v>#REF!</v>
      </c>
      <c r="J139" s="25">
        <f t="shared" si="44"/>
        <v>0</v>
      </c>
      <c r="K139" s="26">
        <f t="shared" si="44"/>
        <v>0</v>
      </c>
      <c r="L139" s="25">
        <f t="shared" si="44"/>
        <v>0</v>
      </c>
      <c r="M139" s="25">
        <f t="shared" si="44"/>
        <v>0</v>
      </c>
      <c r="N139" s="25">
        <f t="shared" si="44"/>
        <v>0</v>
      </c>
      <c r="O139" s="25">
        <f t="shared" si="44"/>
        <v>0</v>
      </c>
      <c r="P139" s="25">
        <f t="shared" si="44"/>
        <v>0</v>
      </c>
      <c r="Q139" s="25">
        <f t="shared" si="44"/>
        <v>0</v>
      </c>
      <c r="R139" s="25">
        <f t="shared" si="44"/>
        <v>0</v>
      </c>
      <c r="S139" s="25">
        <f t="shared" si="44"/>
        <v>0</v>
      </c>
      <c r="T139" s="25">
        <f t="shared" si="45"/>
        <v>0</v>
      </c>
      <c r="U139" s="25">
        <f t="shared" si="45"/>
        <v>0</v>
      </c>
      <c r="V139" s="25">
        <f t="shared" si="45"/>
        <v>0</v>
      </c>
      <c r="W139" s="26">
        <f t="shared" si="45"/>
        <v>0</v>
      </c>
      <c r="X139" s="27">
        <f t="shared" si="45"/>
        <v>0</v>
      </c>
      <c r="Y139" s="25">
        <f t="shared" si="45"/>
        <v>0</v>
      </c>
      <c r="Z139" s="25">
        <f t="shared" si="45"/>
        <v>0</v>
      </c>
      <c r="AA139" s="25">
        <f t="shared" si="45"/>
        <v>0</v>
      </c>
      <c r="AB139" s="25">
        <f t="shared" si="45"/>
        <v>0</v>
      </c>
      <c r="AC139" s="25">
        <f t="shared" si="45"/>
        <v>0</v>
      </c>
      <c r="AD139" s="25">
        <f t="shared" si="32"/>
        <v>0</v>
      </c>
      <c r="AE139" s="25">
        <f t="shared" si="32"/>
        <v>0</v>
      </c>
      <c r="AF139" s="25">
        <f t="shared" si="32"/>
        <v>0</v>
      </c>
      <c r="AG139" s="25">
        <f t="shared" si="32"/>
        <v>0</v>
      </c>
      <c r="AH139" s="25">
        <f t="shared" si="32"/>
        <v>0</v>
      </c>
      <c r="AI139" s="26">
        <f t="shared" si="32"/>
        <v>0</v>
      </c>
      <c r="AJ139" s="91"/>
      <c r="AK139" s="91"/>
      <c r="AL139" s="92"/>
    </row>
    <row r="140" spans="1:38" s="30" customFormat="1" ht="16" hidden="1" outlineLevel="1">
      <c r="A140" s="121" t="s">
        <v>543</v>
      </c>
      <c r="B140" s="412" t="s">
        <v>308</v>
      </c>
      <c r="C140" s="239"/>
      <c r="D140" s="240"/>
      <c r="E140" s="378" t="e">
        <f>IF((#REF!-C140)/(D140-C140)&lt;0,0,IF((#REF!-C140)/(D140-C140)&gt;100%,100%,(#REF!-C140)/(D140-C140)))</f>
        <v>#REF!</v>
      </c>
      <c r="F140" s="232"/>
      <c r="G140" s="233"/>
      <c r="H140" s="378" t="e">
        <f>IF((#REF!-F140)/(G140-F140)&lt;0,0,IF((#REF!-F140)/(G140-F140)&gt;100%,100%,(#REF!-F140)/(G140-F140)))</f>
        <v>#REF!</v>
      </c>
      <c r="I140" s="222" t="e">
        <f t="shared" si="43"/>
        <v>#REF!</v>
      </c>
      <c r="J140" s="25">
        <f t="shared" si="44"/>
        <v>0</v>
      </c>
      <c r="K140" s="26">
        <f t="shared" si="44"/>
        <v>0</v>
      </c>
      <c r="L140" s="25">
        <f t="shared" si="44"/>
        <v>0</v>
      </c>
      <c r="M140" s="25">
        <f t="shared" si="44"/>
        <v>0</v>
      </c>
      <c r="N140" s="25">
        <f t="shared" si="44"/>
        <v>0</v>
      </c>
      <c r="O140" s="25">
        <f t="shared" si="44"/>
        <v>0</v>
      </c>
      <c r="P140" s="25">
        <f t="shared" si="44"/>
        <v>0</v>
      </c>
      <c r="Q140" s="25">
        <f t="shared" si="44"/>
        <v>0</v>
      </c>
      <c r="R140" s="25">
        <f t="shared" si="44"/>
        <v>0</v>
      </c>
      <c r="S140" s="25">
        <f t="shared" si="44"/>
        <v>0</v>
      </c>
      <c r="T140" s="25">
        <f t="shared" si="45"/>
        <v>0</v>
      </c>
      <c r="U140" s="25">
        <f t="shared" si="45"/>
        <v>0</v>
      </c>
      <c r="V140" s="25">
        <f t="shared" si="45"/>
        <v>0</v>
      </c>
      <c r="W140" s="26">
        <f t="shared" si="45"/>
        <v>0</v>
      </c>
      <c r="X140" s="27">
        <f t="shared" si="45"/>
        <v>0</v>
      </c>
      <c r="Y140" s="25">
        <f t="shared" si="45"/>
        <v>0</v>
      </c>
      <c r="Z140" s="25">
        <f t="shared" si="45"/>
        <v>0</v>
      </c>
      <c r="AA140" s="25">
        <f t="shared" si="45"/>
        <v>0</v>
      </c>
      <c r="AB140" s="25">
        <f t="shared" si="45"/>
        <v>0</v>
      </c>
      <c r="AC140" s="25">
        <f t="shared" si="45"/>
        <v>0</v>
      </c>
      <c r="AD140" s="25">
        <f t="shared" si="32"/>
        <v>0</v>
      </c>
      <c r="AE140" s="25">
        <f t="shared" si="32"/>
        <v>0</v>
      </c>
      <c r="AF140" s="25">
        <f t="shared" si="32"/>
        <v>0</v>
      </c>
      <c r="AG140" s="25">
        <f t="shared" si="32"/>
        <v>0</v>
      </c>
      <c r="AH140" s="25">
        <f t="shared" si="32"/>
        <v>0</v>
      </c>
      <c r="AI140" s="26">
        <f t="shared" si="32"/>
        <v>0</v>
      </c>
      <c r="AJ140" s="91"/>
      <c r="AK140" s="91"/>
      <c r="AL140" s="92"/>
    </row>
    <row r="141" spans="1:38" s="30" customFormat="1" ht="16" hidden="1" outlineLevel="1">
      <c r="A141" s="121" t="s">
        <v>544</v>
      </c>
      <c r="B141" s="412" t="s">
        <v>310</v>
      </c>
      <c r="C141" s="239"/>
      <c r="D141" s="240"/>
      <c r="E141" s="378" t="e">
        <f>IF((#REF!-C141)/(D141-C141)&lt;0,0,IF((#REF!-C141)/(D141-C141)&gt;100%,100%,(#REF!-C141)/(D141-C141)))</f>
        <v>#REF!</v>
      </c>
      <c r="F141" s="232"/>
      <c r="G141" s="233"/>
      <c r="H141" s="378" t="e">
        <f>IF((#REF!-F141)/(G141-F141)&lt;0,0,IF((#REF!-F141)/(G141-F141)&gt;100%,100%,(#REF!-F141)/(G141-F141)))</f>
        <v>#REF!</v>
      </c>
      <c r="I141" s="222" t="e">
        <f t="shared" si="43"/>
        <v>#REF!</v>
      </c>
      <c r="J141" s="25">
        <f t="shared" si="44"/>
        <v>0</v>
      </c>
      <c r="K141" s="26">
        <f t="shared" si="44"/>
        <v>0</v>
      </c>
      <c r="L141" s="25">
        <f t="shared" si="44"/>
        <v>0</v>
      </c>
      <c r="M141" s="25">
        <f t="shared" si="44"/>
        <v>0</v>
      </c>
      <c r="N141" s="25">
        <f t="shared" si="44"/>
        <v>0</v>
      </c>
      <c r="O141" s="25">
        <f t="shared" si="44"/>
        <v>0</v>
      </c>
      <c r="P141" s="25">
        <f t="shared" si="44"/>
        <v>0</v>
      </c>
      <c r="Q141" s="25">
        <f t="shared" si="44"/>
        <v>0</v>
      </c>
      <c r="R141" s="25">
        <f t="shared" si="44"/>
        <v>0</v>
      </c>
      <c r="S141" s="25">
        <f t="shared" si="44"/>
        <v>0</v>
      </c>
      <c r="T141" s="25">
        <f t="shared" si="45"/>
        <v>0</v>
      </c>
      <c r="U141" s="25">
        <f t="shared" si="45"/>
        <v>0</v>
      </c>
      <c r="V141" s="25">
        <f t="shared" si="45"/>
        <v>0</v>
      </c>
      <c r="W141" s="26">
        <f t="shared" si="45"/>
        <v>0</v>
      </c>
      <c r="X141" s="27">
        <f t="shared" si="45"/>
        <v>0</v>
      </c>
      <c r="Y141" s="25">
        <f t="shared" si="45"/>
        <v>0</v>
      </c>
      <c r="Z141" s="25">
        <f t="shared" si="45"/>
        <v>0</v>
      </c>
      <c r="AA141" s="25">
        <f t="shared" si="45"/>
        <v>0</v>
      </c>
      <c r="AB141" s="25">
        <f t="shared" si="45"/>
        <v>0</v>
      </c>
      <c r="AC141" s="25">
        <f t="shared" si="45"/>
        <v>0</v>
      </c>
      <c r="AD141" s="25">
        <f t="shared" si="32"/>
        <v>0</v>
      </c>
      <c r="AE141" s="25">
        <f t="shared" si="32"/>
        <v>0</v>
      </c>
      <c r="AF141" s="25">
        <f t="shared" si="32"/>
        <v>0</v>
      </c>
      <c r="AG141" s="25">
        <f t="shared" si="32"/>
        <v>0</v>
      </c>
      <c r="AH141" s="25">
        <f t="shared" si="32"/>
        <v>0</v>
      </c>
      <c r="AI141" s="26">
        <f t="shared" si="32"/>
        <v>0</v>
      </c>
      <c r="AJ141" s="91"/>
      <c r="AK141" s="91"/>
      <c r="AL141" s="92"/>
    </row>
    <row r="142" spans="1:38" s="30" customFormat="1" ht="16" hidden="1" outlineLevel="1">
      <c r="A142" s="121" t="s">
        <v>545</v>
      </c>
      <c r="B142" s="412" t="s">
        <v>311</v>
      </c>
      <c r="C142" s="239"/>
      <c r="D142" s="240"/>
      <c r="E142" s="378" t="e">
        <f>IF((#REF!-C142)/(D142-C142)&lt;0,0,IF((#REF!-C142)/(D142-C142)&gt;100%,100%,(#REF!-C142)/(D142-C142)))</f>
        <v>#REF!</v>
      </c>
      <c r="F142" s="232"/>
      <c r="G142" s="233"/>
      <c r="H142" s="378" t="e">
        <f>IF((#REF!-F142)/(G142-F142)&lt;0,0,IF((#REF!-F142)/(G142-F142)&gt;100%,100%,(#REF!-F142)/(G142-F142)))</f>
        <v>#REF!</v>
      </c>
      <c r="I142" s="222" t="e">
        <f t="shared" si="43"/>
        <v>#REF!</v>
      </c>
      <c r="J142" s="25">
        <f t="shared" si="44"/>
        <v>0</v>
      </c>
      <c r="K142" s="26">
        <f t="shared" si="44"/>
        <v>0</v>
      </c>
      <c r="L142" s="25">
        <f t="shared" si="44"/>
        <v>0</v>
      </c>
      <c r="M142" s="25">
        <f t="shared" si="44"/>
        <v>0</v>
      </c>
      <c r="N142" s="25">
        <f t="shared" si="44"/>
        <v>0</v>
      </c>
      <c r="O142" s="25">
        <f t="shared" si="44"/>
        <v>0</v>
      </c>
      <c r="P142" s="25">
        <f t="shared" si="44"/>
        <v>0</v>
      </c>
      <c r="Q142" s="25">
        <f t="shared" si="44"/>
        <v>0</v>
      </c>
      <c r="R142" s="25">
        <f t="shared" si="44"/>
        <v>0</v>
      </c>
      <c r="S142" s="25">
        <f t="shared" si="44"/>
        <v>0</v>
      </c>
      <c r="T142" s="25">
        <f t="shared" si="45"/>
        <v>0</v>
      </c>
      <c r="U142" s="25">
        <f t="shared" si="45"/>
        <v>0</v>
      </c>
      <c r="V142" s="25">
        <f t="shared" si="45"/>
        <v>0</v>
      </c>
      <c r="W142" s="26">
        <f t="shared" si="45"/>
        <v>0</v>
      </c>
      <c r="X142" s="27">
        <f t="shared" si="45"/>
        <v>0</v>
      </c>
      <c r="Y142" s="25">
        <f t="shared" si="45"/>
        <v>0</v>
      </c>
      <c r="Z142" s="25">
        <f t="shared" si="45"/>
        <v>0</v>
      </c>
      <c r="AA142" s="25">
        <f t="shared" si="45"/>
        <v>0</v>
      </c>
      <c r="AB142" s="25">
        <f t="shared" si="45"/>
        <v>0</v>
      </c>
      <c r="AC142" s="25">
        <f t="shared" si="45"/>
        <v>0</v>
      </c>
      <c r="AD142" s="25">
        <f t="shared" si="32"/>
        <v>0</v>
      </c>
      <c r="AE142" s="25">
        <f t="shared" si="32"/>
        <v>0</v>
      </c>
      <c r="AF142" s="25">
        <f t="shared" si="32"/>
        <v>0</v>
      </c>
      <c r="AG142" s="25">
        <f t="shared" si="32"/>
        <v>0</v>
      </c>
      <c r="AH142" s="25">
        <f t="shared" si="32"/>
        <v>0</v>
      </c>
      <c r="AI142" s="26">
        <f t="shared" si="32"/>
        <v>0</v>
      </c>
      <c r="AJ142" s="91"/>
      <c r="AK142" s="91"/>
      <c r="AL142" s="92"/>
    </row>
    <row r="143" spans="1:38" s="30" customFormat="1" ht="16" collapsed="1">
      <c r="A143" s="128" t="s">
        <v>507</v>
      </c>
      <c r="B143" s="66" t="s">
        <v>320</v>
      </c>
      <c r="C143" s="256">
        <v>46081</v>
      </c>
      <c r="D143" s="257">
        <v>46111</v>
      </c>
      <c r="E143" s="381" t="e">
        <f>IF((#REF!-C143)/(D143-C143)&lt;0,0,IF((#REF!-C143)/(D143-C143)&gt;100%,100%,(#REF!-C143)/(D143-C143)))</f>
        <v>#REF!</v>
      </c>
      <c r="F143" s="230"/>
      <c r="G143" s="231"/>
      <c r="H143" s="381" t="e">
        <f>IF((#REF!-F143)/(G143-F143)&lt;0,0,IF((#REF!-F143)/(G143-F143)&gt;100%,100%,(#REF!-F143)/(G143-F143)))</f>
        <v>#REF!</v>
      </c>
      <c r="I143" s="219" t="e">
        <f t="shared" si="43"/>
        <v>#REF!</v>
      </c>
      <c r="J143" s="49">
        <f t="shared" si="44"/>
        <v>0</v>
      </c>
      <c r="K143" s="50">
        <f t="shared" si="44"/>
        <v>0</v>
      </c>
      <c r="L143" s="49">
        <f t="shared" si="44"/>
        <v>0</v>
      </c>
      <c r="M143" s="49">
        <f t="shared" si="44"/>
        <v>1</v>
      </c>
      <c r="N143" s="49">
        <f t="shared" si="44"/>
        <v>0</v>
      </c>
      <c r="O143" s="49">
        <f t="shared" si="44"/>
        <v>0</v>
      </c>
      <c r="P143" s="49">
        <f t="shared" si="44"/>
        <v>0</v>
      </c>
      <c r="Q143" s="49">
        <f t="shared" si="44"/>
        <v>0</v>
      </c>
      <c r="R143" s="49">
        <f t="shared" si="44"/>
        <v>0</v>
      </c>
      <c r="S143" s="49">
        <f t="shared" si="44"/>
        <v>0</v>
      </c>
      <c r="T143" s="49">
        <f t="shared" si="45"/>
        <v>0</v>
      </c>
      <c r="U143" s="49">
        <f t="shared" si="45"/>
        <v>0</v>
      </c>
      <c r="V143" s="49">
        <f t="shared" si="45"/>
        <v>0</v>
      </c>
      <c r="W143" s="50">
        <f t="shared" si="45"/>
        <v>0</v>
      </c>
      <c r="X143" s="51">
        <f t="shared" si="45"/>
        <v>0</v>
      </c>
      <c r="Y143" s="49">
        <f t="shared" si="45"/>
        <v>0</v>
      </c>
      <c r="Z143" s="49">
        <f t="shared" si="45"/>
        <v>0</v>
      </c>
      <c r="AA143" s="49">
        <f t="shared" si="45"/>
        <v>0</v>
      </c>
      <c r="AB143" s="49">
        <f t="shared" si="45"/>
        <v>0</v>
      </c>
      <c r="AC143" s="49">
        <f t="shared" si="45"/>
        <v>0</v>
      </c>
      <c r="AD143" s="49">
        <f t="shared" si="32"/>
        <v>0</v>
      </c>
      <c r="AE143" s="49">
        <f t="shared" si="32"/>
        <v>0</v>
      </c>
      <c r="AF143" s="49">
        <f t="shared" si="32"/>
        <v>0</v>
      </c>
      <c r="AG143" s="49">
        <f t="shared" si="32"/>
        <v>0</v>
      </c>
      <c r="AH143" s="49">
        <f t="shared" si="32"/>
        <v>0</v>
      </c>
      <c r="AI143" s="50">
        <f t="shared" si="32"/>
        <v>0</v>
      </c>
      <c r="AJ143" s="106"/>
      <c r="AK143" s="106"/>
      <c r="AL143" s="107"/>
    </row>
    <row r="144" spans="1:38" s="30" customFormat="1" ht="16" hidden="1" outlineLevel="1">
      <c r="A144" s="121" t="s">
        <v>546</v>
      </c>
      <c r="B144" s="412" t="s">
        <v>307</v>
      </c>
      <c r="C144" s="235">
        <v>46073</v>
      </c>
      <c r="D144" s="236">
        <v>46081</v>
      </c>
      <c r="E144" s="378" t="e">
        <f>IF((#REF!-C144)/(D144-C144)&lt;0,0,IF((#REF!-C144)/(D144-C144)&gt;100%,100%,(#REF!-C144)/(D144-C144)))</f>
        <v>#REF!</v>
      </c>
      <c r="F144" s="232"/>
      <c r="G144" s="233"/>
      <c r="H144" s="378" t="e">
        <f>IF((#REF!-F144)/(G144-F144)&lt;0,0,IF((#REF!-F144)/(G144-F144)&gt;100%,100%,(#REF!-F144)/(G144-F144)))</f>
        <v>#REF!</v>
      </c>
      <c r="I144" s="222" t="e">
        <f t="shared" si="43"/>
        <v>#REF!</v>
      </c>
      <c r="J144" s="25">
        <f t="shared" si="44"/>
        <v>0</v>
      </c>
      <c r="K144" s="26">
        <f t="shared" si="44"/>
        <v>0</v>
      </c>
      <c r="L144" s="25">
        <f t="shared" si="44"/>
        <v>0</v>
      </c>
      <c r="M144" s="25">
        <f t="shared" si="44"/>
        <v>1</v>
      </c>
      <c r="N144" s="25">
        <f t="shared" si="44"/>
        <v>0</v>
      </c>
      <c r="O144" s="25">
        <f t="shared" si="44"/>
        <v>0</v>
      </c>
      <c r="P144" s="25">
        <f t="shared" si="44"/>
        <v>0</v>
      </c>
      <c r="Q144" s="25">
        <f t="shared" si="44"/>
        <v>0</v>
      </c>
      <c r="R144" s="25">
        <f t="shared" si="44"/>
        <v>0</v>
      </c>
      <c r="S144" s="25">
        <f t="shared" si="44"/>
        <v>0</v>
      </c>
      <c r="T144" s="25">
        <f t="shared" si="45"/>
        <v>0</v>
      </c>
      <c r="U144" s="25">
        <f t="shared" si="45"/>
        <v>0</v>
      </c>
      <c r="V144" s="25">
        <f t="shared" si="45"/>
        <v>0</v>
      </c>
      <c r="W144" s="26">
        <f t="shared" si="45"/>
        <v>0</v>
      </c>
      <c r="X144" s="27">
        <f t="shared" si="45"/>
        <v>0</v>
      </c>
      <c r="Y144" s="25">
        <f t="shared" si="45"/>
        <v>0</v>
      </c>
      <c r="Z144" s="25">
        <f t="shared" si="45"/>
        <v>0</v>
      </c>
      <c r="AA144" s="25">
        <f t="shared" si="45"/>
        <v>0</v>
      </c>
      <c r="AB144" s="25">
        <f t="shared" si="45"/>
        <v>0</v>
      </c>
      <c r="AC144" s="25">
        <f t="shared" si="45"/>
        <v>0</v>
      </c>
      <c r="AD144" s="25">
        <f t="shared" si="32"/>
        <v>0</v>
      </c>
      <c r="AE144" s="25">
        <f t="shared" si="32"/>
        <v>0</v>
      </c>
      <c r="AF144" s="25">
        <f t="shared" si="32"/>
        <v>0</v>
      </c>
      <c r="AG144" s="25">
        <f t="shared" si="32"/>
        <v>0</v>
      </c>
      <c r="AH144" s="25">
        <f t="shared" si="32"/>
        <v>0</v>
      </c>
      <c r="AI144" s="26">
        <f t="shared" si="32"/>
        <v>0</v>
      </c>
      <c r="AJ144" s="91"/>
      <c r="AK144" s="91"/>
      <c r="AL144" s="92"/>
    </row>
    <row r="145" spans="1:38" s="30" customFormat="1" ht="16" hidden="1" outlineLevel="1">
      <c r="A145" s="121" t="s">
        <v>547</v>
      </c>
      <c r="B145" s="412" t="s">
        <v>308</v>
      </c>
      <c r="C145" s="239"/>
      <c r="D145" s="240"/>
      <c r="E145" s="378" t="e">
        <f>IF((#REF!-C145)/(D145-C145)&lt;0,0,IF((#REF!-C145)/(D145-C145)&gt;100%,100%,(#REF!-C145)/(D145-C145)))</f>
        <v>#REF!</v>
      </c>
      <c r="F145" s="232"/>
      <c r="G145" s="233"/>
      <c r="H145" s="378" t="e">
        <f>IF((#REF!-F145)/(G145-F145)&lt;0,0,IF((#REF!-F145)/(G145-F145)&gt;100%,100%,(#REF!-F145)/(G145-F145)))</f>
        <v>#REF!</v>
      </c>
      <c r="I145" s="222" t="e">
        <f t="shared" si="43"/>
        <v>#REF!</v>
      </c>
      <c r="J145" s="25">
        <f t="shared" si="44"/>
        <v>0</v>
      </c>
      <c r="K145" s="26">
        <f t="shared" si="44"/>
        <v>0</v>
      </c>
      <c r="L145" s="25">
        <f t="shared" si="44"/>
        <v>0</v>
      </c>
      <c r="M145" s="25">
        <f t="shared" si="44"/>
        <v>0</v>
      </c>
      <c r="N145" s="25">
        <f t="shared" si="44"/>
        <v>0</v>
      </c>
      <c r="O145" s="25">
        <f t="shared" si="44"/>
        <v>0</v>
      </c>
      <c r="P145" s="25">
        <f t="shared" si="44"/>
        <v>0</v>
      </c>
      <c r="Q145" s="25">
        <f t="shared" si="44"/>
        <v>0</v>
      </c>
      <c r="R145" s="25">
        <f t="shared" si="44"/>
        <v>0</v>
      </c>
      <c r="S145" s="25">
        <f t="shared" si="44"/>
        <v>0</v>
      </c>
      <c r="T145" s="25">
        <f t="shared" si="45"/>
        <v>0</v>
      </c>
      <c r="U145" s="25">
        <f t="shared" si="45"/>
        <v>0</v>
      </c>
      <c r="V145" s="25">
        <f t="shared" si="45"/>
        <v>0</v>
      </c>
      <c r="W145" s="26">
        <f t="shared" si="45"/>
        <v>0</v>
      </c>
      <c r="X145" s="27">
        <f t="shared" si="45"/>
        <v>0</v>
      </c>
      <c r="Y145" s="25">
        <f t="shared" si="45"/>
        <v>0</v>
      </c>
      <c r="Z145" s="25">
        <f t="shared" si="45"/>
        <v>0</v>
      </c>
      <c r="AA145" s="25">
        <f t="shared" si="45"/>
        <v>0</v>
      </c>
      <c r="AB145" s="25">
        <f t="shared" si="45"/>
        <v>0</v>
      </c>
      <c r="AC145" s="25">
        <f t="shared" si="45"/>
        <v>0</v>
      </c>
      <c r="AD145" s="25">
        <f t="shared" si="32"/>
        <v>0</v>
      </c>
      <c r="AE145" s="25">
        <f t="shared" si="32"/>
        <v>0</v>
      </c>
      <c r="AF145" s="25">
        <f t="shared" si="32"/>
        <v>0</v>
      </c>
      <c r="AG145" s="25">
        <f t="shared" si="32"/>
        <v>0</v>
      </c>
      <c r="AH145" s="25">
        <f t="shared" si="32"/>
        <v>0</v>
      </c>
      <c r="AI145" s="26">
        <f t="shared" si="32"/>
        <v>0</v>
      </c>
      <c r="AJ145" s="91"/>
      <c r="AK145" s="91"/>
      <c r="AL145" s="92"/>
    </row>
    <row r="146" spans="1:38" s="30" customFormat="1" ht="16" hidden="1" outlineLevel="1">
      <c r="A146" s="121" t="s">
        <v>548</v>
      </c>
      <c r="B146" s="412" t="s">
        <v>310</v>
      </c>
      <c r="C146" s="239"/>
      <c r="D146" s="240"/>
      <c r="E146" s="378" t="e">
        <f>IF((#REF!-C146)/(D146-C146)&lt;0,0,IF((#REF!-C146)/(D146-C146)&gt;100%,100%,(#REF!-C146)/(D146-C146)))</f>
        <v>#REF!</v>
      </c>
      <c r="F146" s="232"/>
      <c r="G146" s="233"/>
      <c r="H146" s="378" t="e">
        <f>IF((#REF!-F146)/(G146-F146)&lt;0,0,IF((#REF!-F146)/(G146-F146)&gt;100%,100%,(#REF!-F146)/(G146-F146)))</f>
        <v>#REF!</v>
      </c>
      <c r="I146" s="222" t="e">
        <f t="shared" si="43"/>
        <v>#REF!</v>
      </c>
      <c r="J146" s="25">
        <f t="shared" si="44"/>
        <v>0</v>
      </c>
      <c r="K146" s="26">
        <f t="shared" si="44"/>
        <v>0</v>
      </c>
      <c r="L146" s="25">
        <f t="shared" si="44"/>
        <v>0</v>
      </c>
      <c r="M146" s="25">
        <f t="shared" si="44"/>
        <v>0</v>
      </c>
      <c r="N146" s="25">
        <f t="shared" si="44"/>
        <v>0</v>
      </c>
      <c r="O146" s="25">
        <f t="shared" si="44"/>
        <v>0</v>
      </c>
      <c r="P146" s="25">
        <f t="shared" si="44"/>
        <v>0</v>
      </c>
      <c r="Q146" s="25">
        <f t="shared" si="44"/>
        <v>0</v>
      </c>
      <c r="R146" s="25">
        <f t="shared" si="44"/>
        <v>0</v>
      </c>
      <c r="S146" s="25">
        <f t="shared" si="44"/>
        <v>0</v>
      </c>
      <c r="T146" s="25">
        <f t="shared" si="45"/>
        <v>0</v>
      </c>
      <c r="U146" s="25">
        <f t="shared" si="45"/>
        <v>0</v>
      </c>
      <c r="V146" s="25">
        <f t="shared" si="45"/>
        <v>0</v>
      </c>
      <c r="W146" s="26">
        <f t="shared" si="45"/>
        <v>0</v>
      </c>
      <c r="X146" s="27">
        <f t="shared" si="45"/>
        <v>0</v>
      </c>
      <c r="Y146" s="25">
        <f t="shared" si="45"/>
        <v>0</v>
      </c>
      <c r="Z146" s="25">
        <f t="shared" si="45"/>
        <v>0</v>
      </c>
      <c r="AA146" s="25">
        <f t="shared" si="45"/>
        <v>0</v>
      </c>
      <c r="AB146" s="25">
        <f t="shared" si="45"/>
        <v>0</v>
      </c>
      <c r="AC146" s="25">
        <f t="shared" si="45"/>
        <v>0</v>
      </c>
      <c r="AD146" s="25">
        <f t="shared" si="32"/>
        <v>0</v>
      </c>
      <c r="AE146" s="25">
        <f t="shared" si="32"/>
        <v>0</v>
      </c>
      <c r="AF146" s="25">
        <f t="shared" si="32"/>
        <v>0</v>
      </c>
      <c r="AG146" s="25">
        <f t="shared" si="32"/>
        <v>0</v>
      </c>
      <c r="AH146" s="25">
        <f t="shared" si="32"/>
        <v>0</v>
      </c>
      <c r="AI146" s="26">
        <f t="shared" si="32"/>
        <v>0</v>
      </c>
      <c r="AJ146" s="91"/>
      <c r="AK146" s="91"/>
      <c r="AL146" s="92"/>
    </row>
    <row r="147" spans="1:38" s="30" customFormat="1" ht="16" hidden="1" outlineLevel="1">
      <c r="A147" s="121" t="s">
        <v>549</v>
      </c>
      <c r="B147" s="412" t="s">
        <v>311</v>
      </c>
      <c r="C147" s="239"/>
      <c r="D147" s="240"/>
      <c r="E147" s="378" t="e">
        <f>IF((#REF!-C147)/(D147-C147)&lt;0,0,IF((#REF!-C147)/(D147-C147)&gt;100%,100%,(#REF!-C147)/(D147-C147)))</f>
        <v>#REF!</v>
      </c>
      <c r="F147" s="232"/>
      <c r="G147" s="233"/>
      <c r="H147" s="378" t="e">
        <f>IF((#REF!-F147)/(G147-F147)&lt;0,0,IF((#REF!-F147)/(G147-F147)&gt;100%,100%,(#REF!-F147)/(G147-F147)))</f>
        <v>#REF!</v>
      </c>
      <c r="I147" s="222" t="e">
        <f t="shared" si="43"/>
        <v>#REF!</v>
      </c>
      <c r="J147" s="25">
        <f t="shared" ref="J147:S156" si="46">+IF(J$3&gt;=$C147,IF(J$3&lt;=$D147,1,0),0)</f>
        <v>0</v>
      </c>
      <c r="K147" s="26">
        <f t="shared" si="46"/>
        <v>0</v>
      </c>
      <c r="L147" s="25">
        <f t="shared" si="46"/>
        <v>0</v>
      </c>
      <c r="M147" s="25">
        <f t="shared" si="46"/>
        <v>0</v>
      </c>
      <c r="N147" s="25">
        <f t="shared" si="46"/>
        <v>0</v>
      </c>
      <c r="O147" s="25">
        <f t="shared" si="46"/>
        <v>0</v>
      </c>
      <c r="P147" s="25">
        <f t="shared" si="46"/>
        <v>0</v>
      </c>
      <c r="Q147" s="25">
        <f t="shared" si="46"/>
        <v>0</v>
      </c>
      <c r="R147" s="25">
        <f t="shared" si="46"/>
        <v>0</v>
      </c>
      <c r="S147" s="25">
        <f t="shared" si="46"/>
        <v>0</v>
      </c>
      <c r="T147" s="25">
        <f t="shared" ref="T147:AC156" si="47">+IF(T$3&gt;=$C147,IF(T$3&lt;=$D147,1,0),0)</f>
        <v>0</v>
      </c>
      <c r="U147" s="25">
        <f t="shared" si="47"/>
        <v>0</v>
      </c>
      <c r="V147" s="25">
        <f t="shared" si="47"/>
        <v>0</v>
      </c>
      <c r="W147" s="26">
        <f t="shared" si="47"/>
        <v>0</v>
      </c>
      <c r="X147" s="27">
        <f t="shared" si="47"/>
        <v>0</v>
      </c>
      <c r="Y147" s="25">
        <f t="shared" si="47"/>
        <v>0</v>
      </c>
      <c r="Z147" s="25">
        <f t="shared" si="47"/>
        <v>0</v>
      </c>
      <c r="AA147" s="25">
        <f t="shared" si="47"/>
        <v>0</v>
      </c>
      <c r="AB147" s="25">
        <f t="shared" si="47"/>
        <v>0</v>
      </c>
      <c r="AC147" s="25">
        <f t="shared" si="47"/>
        <v>0</v>
      </c>
      <c r="AD147" s="25">
        <f t="shared" si="32"/>
        <v>0</v>
      </c>
      <c r="AE147" s="25">
        <f t="shared" si="32"/>
        <v>0</v>
      </c>
      <c r="AF147" s="25">
        <f t="shared" si="32"/>
        <v>0</v>
      </c>
      <c r="AG147" s="25">
        <f t="shared" si="32"/>
        <v>0</v>
      </c>
      <c r="AH147" s="25">
        <f t="shared" si="32"/>
        <v>0</v>
      </c>
      <c r="AI147" s="26">
        <f t="shared" si="32"/>
        <v>0</v>
      </c>
      <c r="AJ147" s="91"/>
      <c r="AK147" s="91"/>
      <c r="AL147" s="92"/>
    </row>
    <row r="148" spans="1:38" ht="16" collapsed="1">
      <c r="A148" s="128" t="s">
        <v>508</v>
      </c>
      <c r="B148" s="66" t="s">
        <v>321</v>
      </c>
      <c r="C148" s="336"/>
      <c r="D148" s="337"/>
      <c r="E148" s="393" t="e">
        <f>IF((#REF!-C148)/(D148-C148)&lt;0,0,IF((#REF!-C148)/(D148-C148)&gt;100%,100%,(#REF!-C148)/(D148-C148)))</f>
        <v>#REF!</v>
      </c>
      <c r="F148" s="396"/>
      <c r="G148" s="397"/>
      <c r="H148" s="393" t="e">
        <f>IF((#REF!-F148)/(G148-F148)&lt;0,0,IF((#REF!-F148)/(G148-F148)&gt;100%,100%,(#REF!-F148)/(G148-F148)))</f>
        <v>#REF!</v>
      </c>
      <c r="I148" s="219" t="e">
        <f t="shared" si="43"/>
        <v>#REF!</v>
      </c>
      <c r="J148" s="49">
        <f t="shared" si="46"/>
        <v>0</v>
      </c>
      <c r="K148" s="50">
        <f t="shared" si="46"/>
        <v>0</v>
      </c>
      <c r="L148" s="49">
        <f t="shared" si="46"/>
        <v>0</v>
      </c>
      <c r="M148" s="49">
        <f t="shared" si="46"/>
        <v>0</v>
      </c>
      <c r="N148" s="49">
        <f t="shared" si="46"/>
        <v>0</v>
      </c>
      <c r="O148" s="49">
        <f t="shared" si="46"/>
        <v>0</v>
      </c>
      <c r="P148" s="49">
        <f t="shared" si="46"/>
        <v>0</v>
      </c>
      <c r="Q148" s="49">
        <f t="shared" si="46"/>
        <v>0</v>
      </c>
      <c r="R148" s="49">
        <f t="shared" si="46"/>
        <v>0</v>
      </c>
      <c r="S148" s="49">
        <f t="shared" si="46"/>
        <v>0</v>
      </c>
      <c r="T148" s="49">
        <f t="shared" si="47"/>
        <v>0</v>
      </c>
      <c r="U148" s="49">
        <f t="shared" si="47"/>
        <v>0</v>
      </c>
      <c r="V148" s="49">
        <f t="shared" si="47"/>
        <v>0</v>
      </c>
      <c r="W148" s="50">
        <f t="shared" si="47"/>
        <v>0</v>
      </c>
      <c r="X148" s="51">
        <f t="shared" si="47"/>
        <v>0</v>
      </c>
      <c r="Y148" s="49">
        <f t="shared" si="47"/>
        <v>0</v>
      </c>
      <c r="Z148" s="49">
        <f t="shared" si="47"/>
        <v>0</v>
      </c>
      <c r="AA148" s="49">
        <f t="shared" si="47"/>
        <v>0</v>
      </c>
      <c r="AB148" s="49">
        <f t="shared" si="47"/>
        <v>0</v>
      </c>
      <c r="AC148" s="49">
        <f t="shared" si="47"/>
        <v>0</v>
      </c>
      <c r="AD148" s="49">
        <f t="shared" si="32"/>
        <v>0</v>
      </c>
      <c r="AE148" s="49">
        <f t="shared" si="32"/>
        <v>0</v>
      </c>
      <c r="AF148" s="49">
        <f t="shared" si="32"/>
        <v>0</v>
      </c>
      <c r="AG148" s="49">
        <f t="shared" si="32"/>
        <v>0</v>
      </c>
      <c r="AH148" s="49">
        <f t="shared" si="32"/>
        <v>0</v>
      </c>
      <c r="AI148" s="50">
        <f t="shared" si="32"/>
        <v>0</v>
      </c>
      <c r="AJ148" s="117"/>
      <c r="AK148" s="117"/>
      <c r="AL148" s="118"/>
    </row>
    <row r="149" spans="1:38" ht="16" hidden="1" outlineLevel="1">
      <c r="A149" s="121" t="s">
        <v>550</v>
      </c>
      <c r="B149" s="412" t="s">
        <v>307</v>
      </c>
      <c r="C149" s="247"/>
      <c r="D149" s="248"/>
      <c r="E149" s="382" t="e">
        <f>IF((#REF!-C149)/(D149-C149)&lt;0,0,IF((#REF!-C149)/(D149-C149)&gt;100%,100%,(#REF!-C149)/(D149-C149)))</f>
        <v>#REF!</v>
      </c>
      <c r="F149" s="398"/>
      <c r="G149" s="399"/>
      <c r="H149" s="382" t="e">
        <f>IF((#REF!-F149)/(G149-F149)&lt;0,0,IF((#REF!-F149)/(G149-F149)&gt;100%,100%,(#REF!-F149)/(G149-F149)))</f>
        <v>#REF!</v>
      </c>
      <c r="I149" s="222" t="e">
        <f t="shared" si="43"/>
        <v>#REF!</v>
      </c>
      <c r="J149" s="25">
        <f t="shared" si="46"/>
        <v>0</v>
      </c>
      <c r="K149" s="26">
        <f t="shared" si="46"/>
        <v>0</v>
      </c>
      <c r="L149" s="25">
        <f t="shared" si="46"/>
        <v>0</v>
      </c>
      <c r="M149" s="25">
        <f t="shared" si="46"/>
        <v>0</v>
      </c>
      <c r="N149" s="25">
        <f t="shared" si="46"/>
        <v>0</v>
      </c>
      <c r="O149" s="25">
        <f t="shared" si="46"/>
        <v>0</v>
      </c>
      <c r="P149" s="25">
        <f t="shared" si="46"/>
        <v>0</v>
      </c>
      <c r="Q149" s="25">
        <f t="shared" si="46"/>
        <v>0</v>
      </c>
      <c r="R149" s="25">
        <f t="shared" si="46"/>
        <v>0</v>
      </c>
      <c r="S149" s="25">
        <f t="shared" si="46"/>
        <v>0</v>
      </c>
      <c r="T149" s="25">
        <f t="shared" si="47"/>
        <v>0</v>
      </c>
      <c r="U149" s="25">
        <f t="shared" si="47"/>
        <v>0</v>
      </c>
      <c r="V149" s="25">
        <f t="shared" si="47"/>
        <v>0</v>
      </c>
      <c r="W149" s="26">
        <f t="shared" si="47"/>
        <v>0</v>
      </c>
      <c r="X149" s="27">
        <f t="shared" si="47"/>
        <v>0</v>
      </c>
      <c r="Y149" s="25">
        <f t="shared" si="47"/>
        <v>0</v>
      </c>
      <c r="Z149" s="25">
        <f t="shared" si="47"/>
        <v>0</v>
      </c>
      <c r="AA149" s="25">
        <f t="shared" si="47"/>
        <v>0</v>
      </c>
      <c r="AB149" s="25">
        <f t="shared" si="47"/>
        <v>0</v>
      </c>
      <c r="AC149" s="25">
        <f t="shared" si="47"/>
        <v>0</v>
      </c>
      <c r="AD149" s="25">
        <f t="shared" si="32"/>
        <v>0</v>
      </c>
      <c r="AE149" s="25">
        <f t="shared" si="32"/>
        <v>0</v>
      </c>
      <c r="AF149" s="25">
        <f t="shared" si="32"/>
        <v>0</v>
      </c>
      <c r="AG149" s="25">
        <f t="shared" si="32"/>
        <v>0</v>
      </c>
      <c r="AH149" s="25">
        <f t="shared" si="32"/>
        <v>0</v>
      </c>
      <c r="AI149" s="26">
        <f t="shared" si="32"/>
        <v>0</v>
      </c>
      <c r="AJ149" s="114"/>
      <c r="AK149" s="114"/>
      <c r="AL149" s="115"/>
    </row>
    <row r="150" spans="1:38" ht="16" hidden="1" outlineLevel="1">
      <c r="A150" s="121" t="s">
        <v>551</v>
      </c>
      <c r="B150" s="412" t="s">
        <v>308</v>
      </c>
      <c r="C150" s="247"/>
      <c r="D150" s="248"/>
      <c r="E150" s="382" t="e">
        <f>IF((#REF!-C150)/(D150-C150)&lt;0,0,IF((#REF!-C150)/(D150-C150)&gt;100%,100%,(#REF!-C150)/(D150-C150)))</f>
        <v>#REF!</v>
      </c>
      <c r="F150" s="398"/>
      <c r="G150" s="399"/>
      <c r="H150" s="382" t="e">
        <f>IF((#REF!-F150)/(G150-F150)&lt;0,0,IF((#REF!-F150)/(G150-F150)&gt;100%,100%,(#REF!-F150)/(G150-F150)))</f>
        <v>#REF!</v>
      </c>
      <c r="I150" s="222" t="e">
        <f t="shared" si="43"/>
        <v>#REF!</v>
      </c>
      <c r="J150" s="25">
        <f t="shared" si="46"/>
        <v>0</v>
      </c>
      <c r="K150" s="26">
        <f t="shared" si="46"/>
        <v>0</v>
      </c>
      <c r="L150" s="25">
        <f t="shared" si="46"/>
        <v>0</v>
      </c>
      <c r="M150" s="25">
        <f t="shared" si="46"/>
        <v>0</v>
      </c>
      <c r="N150" s="25">
        <f t="shared" si="46"/>
        <v>0</v>
      </c>
      <c r="O150" s="25">
        <f t="shared" si="46"/>
        <v>0</v>
      </c>
      <c r="P150" s="25">
        <f t="shared" si="46"/>
        <v>0</v>
      </c>
      <c r="Q150" s="25">
        <f t="shared" si="46"/>
        <v>0</v>
      </c>
      <c r="R150" s="25">
        <f t="shared" si="46"/>
        <v>0</v>
      </c>
      <c r="S150" s="25">
        <f t="shared" si="46"/>
        <v>0</v>
      </c>
      <c r="T150" s="25">
        <f t="shared" si="47"/>
        <v>0</v>
      </c>
      <c r="U150" s="25">
        <f t="shared" si="47"/>
        <v>0</v>
      </c>
      <c r="V150" s="25">
        <f t="shared" si="47"/>
        <v>0</v>
      </c>
      <c r="W150" s="26">
        <f t="shared" si="47"/>
        <v>0</v>
      </c>
      <c r="X150" s="27">
        <f t="shared" si="47"/>
        <v>0</v>
      </c>
      <c r="Y150" s="25">
        <f t="shared" si="47"/>
        <v>0</v>
      </c>
      <c r="Z150" s="25">
        <f t="shared" si="47"/>
        <v>0</v>
      </c>
      <c r="AA150" s="25">
        <f t="shared" si="47"/>
        <v>0</v>
      </c>
      <c r="AB150" s="25">
        <f t="shared" si="47"/>
        <v>0</v>
      </c>
      <c r="AC150" s="25">
        <f t="shared" si="47"/>
        <v>0</v>
      </c>
      <c r="AD150" s="25">
        <f t="shared" si="32"/>
        <v>0</v>
      </c>
      <c r="AE150" s="25">
        <f t="shared" si="32"/>
        <v>0</v>
      </c>
      <c r="AF150" s="25">
        <f t="shared" si="32"/>
        <v>0</v>
      </c>
      <c r="AG150" s="25">
        <f t="shared" si="32"/>
        <v>0</v>
      </c>
      <c r="AH150" s="25">
        <f t="shared" si="32"/>
        <v>0</v>
      </c>
      <c r="AI150" s="26">
        <f t="shared" si="32"/>
        <v>0</v>
      </c>
      <c r="AJ150" s="114"/>
      <c r="AK150" s="114"/>
      <c r="AL150" s="115"/>
    </row>
    <row r="151" spans="1:38" ht="16" hidden="1" outlineLevel="1">
      <c r="A151" s="121" t="s">
        <v>552</v>
      </c>
      <c r="B151" s="412" t="s">
        <v>310</v>
      </c>
      <c r="C151" s="247"/>
      <c r="D151" s="248"/>
      <c r="E151" s="382" t="e">
        <f>IF((#REF!-C151)/(D151-C151)&lt;0,0,IF((#REF!-C151)/(D151-C151)&gt;100%,100%,(#REF!-C151)/(D151-C151)))</f>
        <v>#REF!</v>
      </c>
      <c r="F151" s="398"/>
      <c r="G151" s="399"/>
      <c r="H151" s="382" t="e">
        <f>IF((#REF!-F151)/(G151-F151)&lt;0,0,IF((#REF!-F151)/(G151-F151)&gt;100%,100%,(#REF!-F151)/(G151-F151)))</f>
        <v>#REF!</v>
      </c>
      <c r="I151" s="222" t="e">
        <f t="shared" si="43"/>
        <v>#REF!</v>
      </c>
      <c r="J151" s="25">
        <f t="shared" si="46"/>
        <v>0</v>
      </c>
      <c r="K151" s="26">
        <f t="shared" si="46"/>
        <v>0</v>
      </c>
      <c r="L151" s="25">
        <f t="shared" si="46"/>
        <v>0</v>
      </c>
      <c r="M151" s="25">
        <f t="shared" si="46"/>
        <v>0</v>
      </c>
      <c r="N151" s="25">
        <f t="shared" si="46"/>
        <v>0</v>
      </c>
      <c r="O151" s="25">
        <f t="shared" si="46"/>
        <v>0</v>
      </c>
      <c r="P151" s="25">
        <f t="shared" si="46"/>
        <v>0</v>
      </c>
      <c r="Q151" s="25">
        <f t="shared" si="46"/>
        <v>0</v>
      </c>
      <c r="R151" s="25">
        <f t="shared" si="46"/>
        <v>0</v>
      </c>
      <c r="S151" s="25">
        <f t="shared" si="46"/>
        <v>0</v>
      </c>
      <c r="T151" s="25">
        <f t="shared" si="47"/>
        <v>0</v>
      </c>
      <c r="U151" s="25">
        <f t="shared" si="47"/>
        <v>0</v>
      </c>
      <c r="V151" s="25">
        <f t="shared" si="47"/>
        <v>0</v>
      </c>
      <c r="W151" s="26">
        <f t="shared" si="47"/>
        <v>0</v>
      </c>
      <c r="X151" s="27">
        <f t="shared" si="47"/>
        <v>0</v>
      </c>
      <c r="Y151" s="25">
        <f t="shared" si="47"/>
        <v>0</v>
      </c>
      <c r="Z151" s="25">
        <f t="shared" si="47"/>
        <v>0</v>
      </c>
      <c r="AA151" s="25">
        <f t="shared" si="47"/>
        <v>0</v>
      </c>
      <c r="AB151" s="25">
        <f t="shared" si="47"/>
        <v>0</v>
      </c>
      <c r="AC151" s="25">
        <f t="shared" si="47"/>
        <v>0</v>
      </c>
      <c r="AD151" s="25">
        <f t="shared" si="32"/>
        <v>0</v>
      </c>
      <c r="AE151" s="25">
        <f t="shared" si="32"/>
        <v>0</v>
      </c>
      <c r="AF151" s="25">
        <f t="shared" si="32"/>
        <v>0</v>
      </c>
      <c r="AG151" s="25">
        <f t="shared" si="32"/>
        <v>0</v>
      </c>
      <c r="AH151" s="25">
        <f t="shared" si="32"/>
        <v>0</v>
      </c>
      <c r="AI151" s="26">
        <f t="shared" si="32"/>
        <v>0</v>
      </c>
      <c r="AJ151" s="114"/>
      <c r="AK151" s="114"/>
      <c r="AL151" s="115"/>
    </row>
    <row r="152" spans="1:38" ht="16" hidden="1" outlineLevel="1">
      <c r="A152" s="121" t="s">
        <v>553</v>
      </c>
      <c r="B152" s="412" t="s">
        <v>311</v>
      </c>
      <c r="C152" s="247"/>
      <c r="D152" s="248"/>
      <c r="E152" s="382" t="e">
        <f>IF((#REF!-C152)/(D152-C152)&lt;0,0,IF((#REF!-C152)/(D152-C152)&gt;100%,100%,(#REF!-C152)/(D152-C152)))</f>
        <v>#REF!</v>
      </c>
      <c r="F152" s="398"/>
      <c r="G152" s="399"/>
      <c r="H152" s="382" t="e">
        <f>IF((#REF!-F152)/(G152-F152)&lt;0,0,IF((#REF!-F152)/(G152-F152)&gt;100%,100%,(#REF!-F152)/(G152-F152)))</f>
        <v>#REF!</v>
      </c>
      <c r="I152" s="222" t="e">
        <f t="shared" si="43"/>
        <v>#REF!</v>
      </c>
      <c r="J152" s="25">
        <f t="shared" si="46"/>
        <v>0</v>
      </c>
      <c r="K152" s="26">
        <f t="shared" si="46"/>
        <v>0</v>
      </c>
      <c r="L152" s="25">
        <f t="shared" si="46"/>
        <v>0</v>
      </c>
      <c r="M152" s="25">
        <f t="shared" si="46"/>
        <v>0</v>
      </c>
      <c r="N152" s="25">
        <f t="shared" si="46"/>
        <v>0</v>
      </c>
      <c r="O152" s="25">
        <f t="shared" si="46"/>
        <v>0</v>
      </c>
      <c r="P152" s="25">
        <f t="shared" si="46"/>
        <v>0</v>
      </c>
      <c r="Q152" s="25">
        <f t="shared" si="46"/>
        <v>0</v>
      </c>
      <c r="R152" s="25">
        <f t="shared" si="46"/>
        <v>0</v>
      </c>
      <c r="S152" s="25">
        <f t="shared" si="46"/>
        <v>0</v>
      </c>
      <c r="T152" s="25">
        <f t="shared" si="47"/>
        <v>0</v>
      </c>
      <c r="U152" s="25">
        <f t="shared" si="47"/>
        <v>0</v>
      </c>
      <c r="V152" s="25">
        <f t="shared" si="47"/>
        <v>0</v>
      </c>
      <c r="W152" s="26">
        <f t="shared" si="47"/>
        <v>0</v>
      </c>
      <c r="X152" s="27">
        <f t="shared" si="47"/>
        <v>0</v>
      </c>
      <c r="Y152" s="25">
        <f t="shared" si="47"/>
        <v>0</v>
      </c>
      <c r="Z152" s="25">
        <f t="shared" si="47"/>
        <v>0</v>
      </c>
      <c r="AA152" s="25">
        <f t="shared" si="47"/>
        <v>0</v>
      </c>
      <c r="AB152" s="25">
        <f t="shared" si="47"/>
        <v>0</v>
      </c>
      <c r="AC152" s="25">
        <f t="shared" si="47"/>
        <v>0</v>
      </c>
      <c r="AD152" s="25">
        <f t="shared" si="32"/>
        <v>0</v>
      </c>
      <c r="AE152" s="25">
        <f t="shared" si="32"/>
        <v>0</v>
      </c>
      <c r="AF152" s="25">
        <f t="shared" si="32"/>
        <v>0</v>
      </c>
      <c r="AG152" s="25">
        <f t="shared" si="32"/>
        <v>0</v>
      </c>
      <c r="AH152" s="25">
        <f t="shared" si="32"/>
        <v>0</v>
      </c>
      <c r="AI152" s="26">
        <f t="shared" si="32"/>
        <v>0</v>
      </c>
      <c r="AJ152" s="114"/>
      <c r="AK152" s="114"/>
      <c r="AL152" s="115"/>
    </row>
    <row r="153" spans="1:38" ht="16" collapsed="1">
      <c r="A153" s="128" t="s">
        <v>509</v>
      </c>
      <c r="B153" s="66" t="s">
        <v>322</v>
      </c>
      <c r="C153" s="336"/>
      <c r="D153" s="337"/>
      <c r="E153" s="393" t="e">
        <f>IF((#REF!-C153)/(D153-C153)&lt;0,0,IF((#REF!-C153)/(D153-C153)&gt;100%,100%,(#REF!-C153)/(D153-C153)))</f>
        <v>#REF!</v>
      </c>
      <c r="F153" s="396"/>
      <c r="G153" s="397"/>
      <c r="H153" s="393" t="e">
        <f>IF((#REF!-F153)/(G153-F153)&lt;0,0,IF((#REF!-F153)/(G153-F153)&gt;100%,100%,(#REF!-F153)/(G153-F153)))</f>
        <v>#REF!</v>
      </c>
      <c r="I153" s="219" t="e">
        <f t="shared" si="43"/>
        <v>#REF!</v>
      </c>
      <c r="J153" s="49">
        <f t="shared" si="46"/>
        <v>0</v>
      </c>
      <c r="K153" s="50">
        <f t="shared" si="46"/>
        <v>0</v>
      </c>
      <c r="L153" s="49">
        <f t="shared" si="46"/>
        <v>0</v>
      </c>
      <c r="M153" s="49">
        <f t="shared" si="46"/>
        <v>0</v>
      </c>
      <c r="N153" s="49">
        <f t="shared" si="46"/>
        <v>0</v>
      </c>
      <c r="O153" s="49">
        <f t="shared" si="46"/>
        <v>0</v>
      </c>
      <c r="P153" s="49">
        <f t="shared" si="46"/>
        <v>0</v>
      </c>
      <c r="Q153" s="49">
        <f t="shared" si="46"/>
        <v>0</v>
      </c>
      <c r="R153" s="49">
        <f t="shared" si="46"/>
        <v>0</v>
      </c>
      <c r="S153" s="49">
        <f t="shared" si="46"/>
        <v>0</v>
      </c>
      <c r="T153" s="49">
        <f t="shared" si="47"/>
        <v>0</v>
      </c>
      <c r="U153" s="49">
        <f t="shared" si="47"/>
        <v>0</v>
      </c>
      <c r="V153" s="49">
        <f t="shared" si="47"/>
        <v>0</v>
      </c>
      <c r="W153" s="50">
        <f t="shared" si="47"/>
        <v>0</v>
      </c>
      <c r="X153" s="51">
        <f t="shared" si="47"/>
        <v>0</v>
      </c>
      <c r="Y153" s="49">
        <f t="shared" si="47"/>
        <v>0</v>
      </c>
      <c r="Z153" s="49">
        <f t="shared" si="47"/>
        <v>0</v>
      </c>
      <c r="AA153" s="49">
        <f t="shared" si="47"/>
        <v>0</v>
      </c>
      <c r="AB153" s="49">
        <f t="shared" si="47"/>
        <v>0</v>
      </c>
      <c r="AC153" s="49">
        <f t="shared" si="47"/>
        <v>0</v>
      </c>
      <c r="AD153" s="49">
        <f t="shared" si="32"/>
        <v>0</v>
      </c>
      <c r="AE153" s="49">
        <f t="shared" si="32"/>
        <v>0</v>
      </c>
      <c r="AF153" s="49">
        <f t="shared" si="32"/>
        <v>0</v>
      </c>
      <c r="AG153" s="49">
        <f t="shared" si="32"/>
        <v>0</v>
      </c>
      <c r="AH153" s="49">
        <f t="shared" si="32"/>
        <v>0</v>
      </c>
      <c r="AI153" s="50">
        <f t="shared" si="32"/>
        <v>0</v>
      </c>
      <c r="AJ153" s="117"/>
      <c r="AK153" s="117"/>
      <c r="AL153" s="118"/>
    </row>
    <row r="154" spans="1:38" ht="16" hidden="1" outlineLevel="1">
      <c r="A154" s="121" t="s">
        <v>554</v>
      </c>
      <c r="B154" s="412" t="s">
        <v>307</v>
      </c>
      <c r="C154" s="247"/>
      <c r="D154" s="248"/>
      <c r="E154" s="378" t="e">
        <f>IF((#REF!-C154)/(D154-C154)&lt;0,0,IF((#REF!-C154)/(D154-C154)&gt;100%,100%,(#REF!-C154)/(D154-C154)))</f>
        <v>#REF!</v>
      </c>
      <c r="F154" s="249"/>
      <c r="G154" s="250"/>
      <c r="H154" s="378" t="e">
        <f>IF((#REF!-F154)/(G154-F154)&lt;0,0,IF((#REF!-F154)/(G154-F154)&gt;100%,100%,(#REF!-F154)/(G154-F154)))</f>
        <v>#REF!</v>
      </c>
      <c r="I154" s="222" t="e">
        <f t="shared" si="43"/>
        <v>#REF!</v>
      </c>
      <c r="J154" s="25">
        <f t="shared" si="46"/>
        <v>0</v>
      </c>
      <c r="K154" s="26">
        <f t="shared" si="46"/>
        <v>0</v>
      </c>
      <c r="L154" s="25">
        <f t="shared" si="46"/>
        <v>0</v>
      </c>
      <c r="M154" s="25">
        <f t="shared" si="46"/>
        <v>0</v>
      </c>
      <c r="N154" s="25">
        <f t="shared" si="46"/>
        <v>0</v>
      </c>
      <c r="O154" s="25">
        <f t="shared" si="46"/>
        <v>0</v>
      </c>
      <c r="P154" s="25">
        <f t="shared" si="46"/>
        <v>0</v>
      </c>
      <c r="Q154" s="25">
        <f t="shared" si="46"/>
        <v>0</v>
      </c>
      <c r="R154" s="25">
        <f t="shared" si="46"/>
        <v>0</v>
      </c>
      <c r="S154" s="25">
        <f t="shared" si="46"/>
        <v>0</v>
      </c>
      <c r="T154" s="25">
        <f t="shared" si="47"/>
        <v>0</v>
      </c>
      <c r="U154" s="25">
        <f t="shared" si="47"/>
        <v>0</v>
      </c>
      <c r="V154" s="25">
        <f t="shared" si="47"/>
        <v>0</v>
      </c>
      <c r="W154" s="26">
        <f t="shared" si="47"/>
        <v>0</v>
      </c>
      <c r="X154" s="27">
        <f t="shared" si="47"/>
        <v>0</v>
      </c>
      <c r="Y154" s="25">
        <f t="shared" si="47"/>
        <v>0</v>
      </c>
      <c r="Z154" s="25">
        <f t="shared" si="47"/>
        <v>0</v>
      </c>
      <c r="AA154" s="25">
        <f t="shared" si="47"/>
        <v>0</v>
      </c>
      <c r="AB154" s="25">
        <f t="shared" si="47"/>
        <v>0</v>
      </c>
      <c r="AC154" s="25">
        <f t="shared" si="47"/>
        <v>0</v>
      </c>
      <c r="AD154" s="25">
        <f t="shared" si="32"/>
        <v>0</v>
      </c>
      <c r="AE154" s="25">
        <f t="shared" si="32"/>
        <v>0</v>
      </c>
      <c r="AF154" s="25">
        <f t="shared" si="32"/>
        <v>0</v>
      </c>
      <c r="AG154" s="25">
        <f t="shared" si="32"/>
        <v>0</v>
      </c>
      <c r="AH154" s="25">
        <f t="shared" si="32"/>
        <v>0</v>
      </c>
      <c r="AI154" s="26">
        <f t="shared" si="32"/>
        <v>0</v>
      </c>
      <c r="AJ154" s="114"/>
      <c r="AK154" s="114"/>
      <c r="AL154" s="115"/>
    </row>
    <row r="155" spans="1:38" ht="16" hidden="1" outlineLevel="1">
      <c r="A155" s="121" t="s">
        <v>555</v>
      </c>
      <c r="B155" s="412" t="s">
        <v>308</v>
      </c>
      <c r="C155" s="247"/>
      <c r="D155" s="248"/>
      <c r="E155" s="378" t="e">
        <f>IF((#REF!-C155)/(D155-C155)&lt;0,0,IF((#REF!-C155)/(D155-C155)&gt;100%,100%,(#REF!-C155)/(D155-C155)))</f>
        <v>#REF!</v>
      </c>
      <c r="F155" s="249"/>
      <c r="G155" s="250"/>
      <c r="H155" s="378" t="e">
        <f>IF((#REF!-F155)/(G155-F155)&lt;0,0,IF((#REF!-F155)/(G155-F155)&gt;100%,100%,(#REF!-F155)/(G155-F155)))</f>
        <v>#REF!</v>
      </c>
      <c r="I155" s="222" t="e">
        <f t="shared" si="43"/>
        <v>#REF!</v>
      </c>
      <c r="J155" s="25">
        <f t="shared" si="46"/>
        <v>0</v>
      </c>
      <c r="K155" s="26">
        <f t="shared" si="46"/>
        <v>0</v>
      </c>
      <c r="L155" s="25">
        <f t="shared" si="46"/>
        <v>0</v>
      </c>
      <c r="M155" s="25">
        <f t="shared" si="46"/>
        <v>0</v>
      </c>
      <c r="N155" s="25">
        <f t="shared" si="46"/>
        <v>0</v>
      </c>
      <c r="O155" s="25">
        <f t="shared" si="46"/>
        <v>0</v>
      </c>
      <c r="P155" s="25">
        <f t="shared" si="46"/>
        <v>0</v>
      </c>
      <c r="Q155" s="25">
        <f t="shared" si="46"/>
        <v>0</v>
      </c>
      <c r="R155" s="25">
        <f t="shared" si="46"/>
        <v>0</v>
      </c>
      <c r="S155" s="25">
        <f t="shared" si="46"/>
        <v>0</v>
      </c>
      <c r="T155" s="25">
        <f t="shared" si="47"/>
        <v>0</v>
      </c>
      <c r="U155" s="25">
        <f t="shared" si="47"/>
        <v>0</v>
      </c>
      <c r="V155" s="25">
        <f t="shared" si="47"/>
        <v>0</v>
      </c>
      <c r="W155" s="26">
        <f t="shared" si="47"/>
        <v>0</v>
      </c>
      <c r="X155" s="27">
        <f t="shared" si="47"/>
        <v>0</v>
      </c>
      <c r="Y155" s="25">
        <f t="shared" si="47"/>
        <v>0</v>
      </c>
      <c r="Z155" s="25">
        <f t="shared" si="47"/>
        <v>0</v>
      </c>
      <c r="AA155" s="25">
        <f t="shared" si="47"/>
        <v>0</v>
      </c>
      <c r="AB155" s="25">
        <f t="shared" si="47"/>
        <v>0</v>
      </c>
      <c r="AC155" s="25">
        <f t="shared" si="47"/>
        <v>0</v>
      </c>
      <c r="AD155" s="25">
        <f t="shared" si="32"/>
        <v>0</v>
      </c>
      <c r="AE155" s="25">
        <f t="shared" si="32"/>
        <v>0</v>
      </c>
      <c r="AF155" s="25">
        <f t="shared" si="32"/>
        <v>0</v>
      </c>
      <c r="AG155" s="25">
        <f t="shared" si="32"/>
        <v>0</v>
      </c>
      <c r="AH155" s="25">
        <f t="shared" si="32"/>
        <v>0</v>
      </c>
      <c r="AI155" s="26">
        <f t="shared" si="32"/>
        <v>0</v>
      </c>
      <c r="AJ155" s="114"/>
      <c r="AK155" s="114"/>
      <c r="AL155" s="115"/>
    </row>
    <row r="156" spans="1:38" ht="16" hidden="1" outlineLevel="1">
      <c r="A156" s="121" t="s">
        <v>556</v>
      </c>
      <c r="B156" s="412" t="s">
        <v>310</v>
      </c>
      <c r="C156" s="247"/>
      <c r="D156" s="248"/>
      <c r="E156" s="378" t="e">
        <f>IF((#REF!-C156)/(D156-C156)&lt;0,0,IF((#REF!-C156)/(D156-C156)&gt;100%,100%,(#REF!-C156)/(D156-C156)))</f>
        <v>#REF!</v>
      </c>
      <c r="F156" s="249"/>
      <c r="G156" s="250"/>
      <c r="H156" s="378" t="e">
        <f>IF((#REF!-F156)/(G156-F156)&lt;0,0,IF((#REF!-F156)/(G156-F156)&gt;100%,100%,(#REF!-F156)/(G156-F156)))</f>
        <v>#REF!</v>
      </c>
      <c r="I156" s="222" t="e">
        <f t="shared" si="43"/>
        <v>#REF!</v>
      </c>
      <c r="J156" s="25">
        <f t="shared" si="46"/>
        <v>0</v>
      </c>
      <c r="K156" s="26">
        <f t="shared" si="46"/>
        <v>0</v>
      </c>
      <c r="L156" s="25">
        <f t="shared" si="46"/>
        <v>0</v>
      </c>
      <c r="M156" s="25">
        <f t="shared" si="46"/>
        <v>0</v>
      </c>
      <c r="N156" s="25">
        <f t="shared" si="46"/>
        <v>0</v>
      </c>
      <c r="O156" s="25">
        <f t="shared" si="46"/>
        <v>0</v>
      </c>
      <c r="P156" s="25">
        <f t="shared" si="46"/>
        <v>0</v>
      </c>
      <c r="Q156" s="25">
        <f t="shared" si="46"/>
        <v>0</v>
      </c>
      <c r="R156" s="25">
        <f t="shared" si="46"/>
        <v>0</v>
      </c>
      <c r="S156" s="25">
        <f t="shared" si="46"/>
        <v>0</v>
      </c>
      <c r="T156" s="25">
        <f t="shared" si="47"/>
        <v>0</v>
      </c>
      <c r="U156" s="25">
        <f t="shared" si="47"/>
        <v>0</v>
      </c>
      <c r="V156" s="25">
        <f t="shared" si="47"/>
        <v>0</v>
      </c>
      <c r="W156" s="26">
        <f t="shared" si="47"/>
        <v>0</v>
      </c>
      <c r="X156" s="27">
        <f t="shared" si="47"/>
        <v>0</v>
      </c>
      <c r="Y156" s="25">
        <f t="shared" si="47"/>
        <v>0</v>
      </c>
      <c r="Z156" s="25">
        <f t="shared" si="47"/>
        <v>0</v>
      </c>
      <c r="AA156" s="25">
        <f t="shared" si="47"/>
        <v>0</v>
      </c>
      <c r="AB156" s="25">
        <f t="shared" si="47"/>
        <v>0</v>
      </c>
      <c r="AC156" s="25">
        <f t="shared" si="47"/>
        <v>0</v>
      </c>
      <c r="AD156" s="25">
        <f t="shared" si="32"/>
        <v>0</v>
      </c>
      <c r="AE156" s="25">
        <f t="shared" si="32"/>
        <v>0</v>
      </c>
      <c r="AF156" s="25">
        <f t="shared" si="32"/>
        <v>0</v>
      </c>
      <c r="AG156" s="25">
        <f t="shared" si="32"/>
        <v>0</v>
      </c>
      <c r="AH156" s="25">
        <f t="shared" si="32"/>
        <v>0</v>
      </c>
      <c r="AI156" s="26">
        <f t="shared" si="32"/>
        <v>0</v>
      </c>
      <c r="AJ156" s="114"/>
      <c r="AK156" s="114"/>
      <c r="AL156" s="115"/>
    </row>
    <row r="157" spans="1:38" ht="16" hidden="1" outlineLevel="1">
      <c r="A157" s="121" t="s">
        <v>557</v>
      </c>
      <c r="B157" s="412" t="s">
        <v>311</v>
      </c>
      <c r="C157" s="247"/>
      <c r="D157" s="248"/>
      <c r="E157" s="378" t="e">
        <f>IF((#REF!-C157)/(D157-C157)&lt;0,0,IF((#REF!-C157)/(D157-C157)&gt;100%,100%,(#REF!-C157)/(D157-C157)))</f>
        <v>#REF!</v>
      </c>
      <c r="F157" s="249"/>
      <c r="G157" s="250"/>
      <c r="H157" s="378" t="e">
        <f>IF((#REF!-F157)/(G157-F157)&lt;0,0,IF((#REF!-F157)/(G157-F157)&gt;100%,100%,(#REF!-F157)/(G157-F157)))</f>
        <v>#REF!</v>
      </c>
      <c r="I157" s="222" t="e">
        <f t="shared" si="43"/>
        <v>#REF!</v>
      </c>
      <c r="J157" s="25">
        <f t="shared" ref="J157:S166" si="48">+IF(J$3&gt;=$C157,IF(J$3&lt;=$D157,1,0),0)</f>
        <v>0</v>
      </c>
      <c r="K157" s="26">
        <f t="shared" si="48"/>
        <v>0</v>
      </c>
      <c r="L157" s="25">
        <f t="shared" si="48"/>
        <v>0</v>
      </c>
      <c r="M157" s="25">
        <f t="shared" si="48"/>
        <v>0</v>
      </c>
      <c r="N157" s="25">
        <f t="shared" si="48"/>
        <v>0</v>
      </c>
      <c r="O157" s="25">
        <f t="shared" si="48"/>
        <v>0</v>
      </c>
      <c r="P157" s="25">
        <f t="shared" si="48"/>
        <v>0</v>
      </c>
      <c r="Q157" s="25">
        <f t="shared" si="48"/>
        <v>0</v>
      </c>
      <c r="R157" s="25">
        <f t="shared" si="48"/>
        <v>0</v>
      </c>
      <c r="S157" s="25">
        <f t="shared" si="48"/>
        <v>0</v>
      </c>
      <c r="T157" s="25">
        <f t="shared" ref="T157:AC166" si="49">+IF(T$3&gt;=$C157,IF(T$3&lt;=$D157,1,0),0)</f>
        <v>0</v>
      </c>
      <c r="U157" s="25">
        <f t="shared" si="49"/>
        <v>0</v>
      </c>
      <c r="V157" s="25">
        <f t="shared" si="49"/>
        <v>0</v>
      </c>
      <c r="W157" s="26">
        <f t="shared" si="49"/>
        <v>0</v>
      </c>
      <c r="X157" s="27">
        <f t="shared" si="49"/>
        <v>0</v>
      </c>
      <c r="Y157" s="25">
        <f t="shared" si="49"/>
        <v>0</v>
      </c>
      <c r="Z157" s="25">
        <f t="shared" si="49"/>
        <v>0</v>
      </c>
      <c r="AA157" s="25">
        <f t="shared" si="49"/>
        <v>0</v>
      </c>
      <c r="AB157" s="25">
        <f t="shared" si="49"/>
        <v>0</v>
      </c>
      <c r="AC157" s="25">
        <f t="shared" si="49"/>
        <v>0</v>
      </c>
      <c r="AD157" s="25">
        <f t="shared" si="32"/>
        <v>0</v>
      </c>
      <c r="AE157" s="25">
        <f t="shared" si="32"/>
        <v>0</v>
      </c>
      <c r="AF157" s="25">
        <f t="shared" si="32"/>
        <v>0</v>
      </c>
      <c r="AG157" s="25">
        <f t="shared" si="32"/>
        <v>0</v>
      </c>
      <c r="AH157" s="25">
        <f t="shared" si="32"/>
        <v>0</v>
      </c>
      <c r="AI157" s="26">
        <f t="shared" si="32"/>
        <v>0</v>
      </c>
      <c r="AJ157" s="114"/>
      <c r="AK157" s="114"/>
      <c r="AL157" s="115"/>
    </row>
    <row r="158" spans="1:38" ht="19.75" customHeight="1" collapsed="1">
      <c r="A158" s="131" t="s">
        <v>558</v>
      </c>
      <c r="B158" s="66" t="s">
        <v>231</v>
      </c>
      <c r="C158" s="338" t="s">
        <v>284</v>
      </c>
      <c r="D158" s="290" t="s">
        <v>284</v>
      </c>
      <c r="E158" s="393" t="e">
        <f>IF((#REF!-C158)/(D158-C158)&lt;0,0,IF((#REF!-C158)/(D158-C158)&gt;100%,100%,(#REF!-C158)/(D158-C158)))</f>
        <v>#REF!</v>
      </c>
      <c r="F158" s="264"/>
      <c r="G158" s="265"/>
      <c r="H158" s="393" t="e">
        <f>IF((#REF!-F158)/(G158-F158)&lt;0,0,IF((#REF!-F158)/(G158-F158)&gt;100%,100%,(#REF!-F158)/(G158-F158)))</f>
        <v>#REF!</v>
      </c>
      <c r="I158" s="219" t="e">
        <f t="shared" si="43"/>
        <v>#VALUE!</v>
      </c>
      <c r="J158" s="43">
        <f t="shared" si="48"/>
        <v>0</v>
      </c>
      <c r="K158" s="44">
        <f t="shared" si="48"/>
        <v>0</v>
      </c>
      <c r="L158" s="43">
        <f t="shared" si="48"/>
        <v>0</v>
      </c>
      <c r="M158" s="43">
        <f t="shared" si="48"/>
        <v>0</v>
      </c>
      <c r="N158" s="43">
        <f t="shared" si="48"/>
        <v>0</v>
      </c>
      <c r="O158" s="43">
        <f t="shared" si="48"/>
        <v>0</v>
      </c>
      <c r="P158" s="43">
        <f t="shared" si="48"/>
        <v>0</v>
      </c>
      <c r="Q158" s="43">
        <f t="shared" si="48"/>
        <v>0</v>
      </c>
      <c r="R158" s="43">
        <f t="shared" si="48"/>
        <v>0</v>
      </c>
      <c r="S158" s="43">
        <f t="shared" si="48"/>
        <v>0</v>
      </c>
      <c r="T158" s="43">
        <f t="shared" si="49"/>
        <v>0</v>
      </c>
      <c r="U158" s="43">
        <f t="shared" si="49"/>
        <v>0</v>
      </c>
      <c r="V158" s="43">
        <f t="shared" si="49"/>
        <v>0</v>
      </c>
      <c r="W158" s="44">
        <f t="shared" si="49"/>
        <v>0</v>
      </c>
      <c r="X158" s="45">
        <f t="shared" si="49"/>
        <v>0</v>
      </c>
      <c r="Y158" s="43">
        <f t="shared" si="49"/>
        <v>0</v>
      </c>
      <c r="Z158" s="43">
        <f t="shared" si="49"/>
        <v>0</v>
      </c>
      <c r="AA158" s="43">
        <f t="shared" si="49"/>
        <v>0</v>
      </c>
      <c r="AB158" s="43">
        <f t="shared" si="49"/>
        <v>0</v>
      </c>
      <c r="AC158" s="43">
        <f t="shared" si="49"/>
        <v>0</v>
      </c>
      <c r="AD158" s="43">
        <f t="shared" si="32"/>
        <v>0</v>
      </c>
      <c r="AE158" s="43">
        <f t="shared" si="32"/>
        <v>0</v>
      </c>
      <c r="AF158" s="43">
        <f t="shared" si="32"/>
        <v>0</v>
      </c>
      <c r="AG158" s="43">
        <f t="shared" si="32"/>
        <v>0</v>
      </c>
      <c r="AH158" s="43">
        <f t="shared" si="32"/>
        <v>0</v>
      </c>
      <c r="AI158" s="44">
        <f t="shared" si="32"/>
        <v>0</v>
      </c>
      <c r="AJ158" s="46"/>
      <c r="AK158" s="46"/>
      <c r="AL158" s="47"/>
    </row>
    <row r="159" spans="1:38" s="30" customFormat="1" ht="41.5" customHeight="1">
      <c r="A159" s="109" t="s">
        <v>559</v>
      </c>
      <c r="B159" s="48" t="s">
        <v>289</v>
      </c>
      <c r="C159" s="215">
        <v>45809</v>
      </c>
      <c r="D159" s="216">
        <v>45855</v>
      </c>
      <c r="E159" s="381" t="e">
        <f>IF((#REF!-C159)/(D159-C159)&lt;0,0,IF((#REF!-C159)/(D159-C159)&gt;100%,100%,(#REF!-C159)/(D159-C159)))</f>
        <v>#REF!</v>
      </c>
      <c r="F159" s="266">
        <v>45809</v>
      </c>
      <c r="G159" s="216">
        <v>45855</v>
      </c>
      <c r="H159" s="381" t="e">
        <f>IF((#REF!-F159)/(G159-F159)&lt;0,0,IF((#REF!-F159)/(G159-F159)&gt;100%,100%,(#REF!-F159)/(G159-F159)))</f>
        <v>#REF!</v>
      </c>
      <c r="I159" s="267" t="e">
        <f t="shared" si="43"/>
        <v>#REF!</v>
      </c>
      <c r="J159" s="211">
        <f t="shared" si="48"/>
        <v>0</v>
      </c>
      <c r="K159" s="212">
        <f t="shared" si="48"/>
        <v>0</v>
      </c>
      <c r="L159" s="49">
        <f t="shared" si="48"/>
        <v>0</v>
      </c>
      <c r="M159" s="49">
        <f t="shared" si="48"/>
        <v>0</v>
      </c>
      <c r="N159" s="49">
        <f t="shared" si="48"/>
        <v>0</v>
      </c>
      <c r="O159" s="49">
        <f t="shared" si="48"/>
        <v>0</v>
      </c>
      <c r="P159" s="49">
        <f t="shared" si="48"/>
        <v>0</v>
      </c>
      <c r="Q159" s="49">
        <f t="shared" si="48"/>
        <v>0</v>
      </c>
      <c r="R159" s="49">
        <f t="shared" si="48"/>
        <v>0</v>
      </c>
      <c r="S159" s="49">
        <f t="shared" si="48"/>
        <v>0</v>
      </c>
      <c r="T159" s="49">
        <f t="shared" si="49"/>
        <v>0</v>
      </c>
      <c r="U159" s="49">
        <f t="shared" si="49"/>
        <v>0</v>
      </c>
      <c r="V159" s="49">
        <f t="shared" si="49"/>
        <v>0</v>
      </c>
      <c r="W159" s="50">
        <f t="shared" si="49"/>
        <v>0</v>
      </c>
      <c r="X159" s="51">
        <f t="shared" si="49"/>
        <v>0</v>
      </c>
      <c r="Y159" s="49">
        <f t="shared" si="49"/>
        <v>0</v>
      </c>
      <c r="Z159" s="49">
        <f t="shared" si="49"/>
        <v>0</v>
      </c>
      <c r="AA159" s="49">
        <f t="shared" si="49"/>
        <v>0</v>
      </c>
      <c r="AB159" s="49">
        <f t="shared" si="49"/>
        <v>0</v>
      </c>
      <c r="AC159" s="49">
        <f t="shared" si="49"/>
        <v>0</v>
      </c>
      <c r="AD159" s="49">
        <f t="shared" si="32"/>
        <v>0</v>
      </c>
      <c r="AE159" s="49">
        <f t="shared" si="32"/>
        <v>0</v>
      </c>
      <c r="AF159" s="49">
        <f t="shared" si="32"/>
        <v>0</v>
      </c>
      <c r="AG159" s="49">
        <f t="shared" si="32"/>
        <v>0</v>
      </c>
      <c r="AH159" s="49">
        <f t="shared" si="32"/>
        <v>0</v>
      </c>
      <c r="AI159" s="50">
        <f t="shared" si="32"/>
        <v>0</v>
      </c>
      <c r="AJ159" s="52"/>
      <c r="AK159" s="52"/>
      <c r="AL159" s="53"/>
    </row>
    <row r="160" spans="1:38" s="30" customFormat="1" ht="27.5" hidden="1" customHeight="1" outlineLevel="1">
      <c r="A160" s="108" t="s">
        <v>560</v>
      </c>
      <c r="B160" s="54" t="s">
        <v>62</v>
      </c>
      <c r="C160" s="220">
        <v>45809</v>
      </c>
      <c r="D160" s="221">
        <v>45855</v>
      </c>
      <c r="E160" s="378" t="e">
        <f>IF((#REF!-C160)/(D160-C160)&lt;0,0,IF((#REF!-C160)/(D160-C160)&gt;100%,100%,(#REF!-C160)/(D160-C160)))</f>
        <v>#REF!</v>
      </c>
      <c r="F160" s="220">
        <v>45809</v>
      </c>
      <c r="G160" s="221">
        <v>45855</v>
      </c>
      <c r="H160" s="378" t="e">
        <f>IF((#REF!-F160)/(G160-F160)&lt;0,0,IF((#REF!-F160)/(G160-F160)&gt;100%,100%,(#REF!-F160)/(G160-F160)))</f>
        <v>#REF!</v>
      </c>
      <c r="I160" s="268" t="e">
        <f t="shared" si="43"/>
        <v>#REF!</v>
      </c>
      <c r="J160" s="213">
        <f t="shared" si="48"/>
        <v>0</v>
      </c>
      <c r="K160" s="214">
        <f t="shared" si="48"/>
        <v>0</v>
      </c>
      <c r="L160" s="55">
        <f t="shared" si="48"/>
        <v>0</v>
      </c>
      <c r="M160" s="55">
        <f t="shared" si="48"/>
        <v>0</v>
      </c>
      <c r="N160" s="55">
        <f t="shared" si="48"/>
        <v>0</v>
      </c>
      <c r="O160" s="55">
        <f t="shared" si="48"/>
        <v>0</v>
      </c>
      <c r="P160" s="55">
        <f t="shared" si="48"/>
        <v>0</v>
      </c>
      <c r="Q160" s="55">
        <f t="shared" si="48"/>
        <v>0</v>
      </c>
      <c r="R160" s="55">
        <f t="shared" si="48"/>
        <v>0</v>
      </c>
      <c r="S160" s="55">
        <f t="shared" si="48"/>
        <v>0</v>
      </c>
      <c r="T160" s="55">
        <f t="shared" si="49"/>
        <v>0</v>
      </c>
      <c r="U160" s="55">
        <f t="shared" si="49"/>
        <v>0</v>
      </c>
      <c r="V160" s="55">
        <f t="shared" si="49"/>
        <v>0</v>
      </c>
      <c r="W160" s="56">
        <f t="shared" si="49"/>
        <v>0</v>
      </c>
      <c r="X160" s="57">
        <f t="shared" si="49"/>
        <v>0</v>
      </c>
      <c r="Y160" s="55">
        <f t="shared" si="49"/>
        <v>0</v>
      </c>
      <c r="Z160" s="55">
        <f t="shared" si="49"/>
        <v>0</v>
      </c>
      <c r="AA160" s="55">
        <f t="shared" si="49"/>
        <v>0</v>
      </c>
      <c r="AB160" s="55">
        <f t="shared" si="49"/>
        <v>0</v>
      </c>
      <c r="AC160" s="55">
        <f t="shared" si="49"/>
        <v>0</v>
      </c>
      <c r="AD160" s="55">
        <f t="shared" si="32"/>
        <v>0</v>
      </c>
      <c r="AE160" s="55">
        <f t="shared" si="32"/>
        <v>0</v>
      </c>
      <c r="AF160" s="55">
        <f t="shared" si="32"/>
        <v>0</v>
      </c>
      <c r="AG160" s="55">
        <f t="shared" si="32"/>
        <v>0</v>
      </c>
      <c r="AH160" s="55">
        <f t="shared" si="32"/>
        <v>0</v>
      </c>
      <c r="AI160" s="56">
        <f t="shared" si="32"/>
        <v>0</v>
      </c>
      <c r="AJ160" s="58"/>
      <c r="AK160" s="58"/>
      <c r="AL160" s="59"/>
    </row>
    <row r="161" spans="1:38" s="30" customFormat="1" ht="41.5" hidden="1" customHeight="1" outlineLevel="1">
      <c r="A161" s="108" t="s">
        <v>561</v>
      </c>
      <c r="B161" s="54" t="s">
        <v>63</v>
      </c>
      <c r="C161" s="220">
        <v>45809</v>
      </c>
      <c r="D161" s="221">
        <v>45855</v>
      </c>
      <c r="E161" s="378" t="e">
        <f>IF((#REF!-C161)/(D161-C161)&lt;0,0,IF((#REF!-C161)/(D161-C161)&gt;100%,100%,(#REF!-C161)/(D161-C161)))</f>
        <v>#REF!</v>
      </c>
      <c r="F161" s="220">
        <v>45809</v>
      </c>
      <c r="G161" s="221">
        <v>45855</v>
      </c>
      <c r="H161" s="378" t="e">
        <f>IF((#REF!-F161)/(G161-F161)&lt;0,0,IF((#REF!-F161)/(G161-F161)&gt;100%,100%,(#REF!-F161)/(G161-F161)))</f>
        <v>#REF!</v>
      </c>
      <c r="I161" s="268" t="e">
        <f t="shared" ref="I161:I192" si="50">(D161-C161)/100%*(H161-E161)</f>
        <v>#REF!</v>
      </c>
      <c r="J161" s="213">
        <f t="shared" si="48"/>
        <v>0</v>
      </c>
      <c r="K161" s="214">
        <f t="shared" si="48"/>
        <v>0</v>
      </c>
      <c r="L161" s="55">
        <f t="shared" si="48"/>
        <v>0</v>
      </c>
      <c r="M161" s="55">
        <f t="shared" si="48"/>
        <v>0</v>
      </c>
      <c r="N161" s="55">
        <f t="shared" si="48"/>
        <v>0</v>
      </c>
      <c r="O161" s="55">
        <f t="shared" si="48"/>
        <v>0</v>
      </c>
      <c r="P161" s="55">
        <f t="shared" si="48"/>
        <v>0</v>
      </c>
      <c r="Q161" s="55">
        <f t="shared" si="48"/>
        <v>0</v>
      </c>
      <c r="R161" s="55">
        <f t="shared" si="48"/>
        <v>0</v>
      </c>
      <c r="S161" s="55">
        <f t="shared" si="48"/>
        <v>0</v>
      </c>
      <c r="T161" s="55">
        <f t="shared" si="49"/>
        <v>0</v>
      </c>
      <c r="U161" s="55">
        <f t="shared" si="49"/>
        <v>0</v>
      </c>
      <c r="V161" s="55">
        <f t="shared" si="49"/>
        <v>0</v>
      </c>
      <c r="W161" s="56">
        <f t="shared" si="49"/>
        <v>0</v>
      </c>
      <c r="X161" s="57">
        <f t="shared" si="49"/>
        <v>0</v>
      </c>
      <c r="Y161" s="55">
        <f t="shared" si="49"/>
        <v>0</v>
      </c>
      <c r="Z161" s="55">
        <f t="shared" si="49"/>
        <v>0</v>
      </c>
      <c r="AA161" s="55">
        <f t="shared" si="49"/>
        <v>0</v>
      </c>
      <c r="AB161" s="55">
        <f t="shared" si="49"/>
        <v>0</v>
      </c>
      <c r="AC161" s="55">
        <f t="shared" si="49"/>
        <v>0</v>
      </c>
      <c r="AD161" s="55">
        <f t="shared" si="32"/>
        <v>0</v>
      </c>
      <c r="AE161" s="55">
        <f t="shared" si="32"/>
        <v>0</v>
      </c>
      <c r="AF161" s="55">
        <f t="shared" si="32"/>
        <v>0</v>
      </c>
      <c r="AG161" s="55">
        <f t="shared" si="32"/>
        <v>0</v>
      </c>
      <c r="AH161" s="55">
        <f t="shared" si="32"/>
        <v>0</v>
      </c>
      <c r="AI161" s="56">
        <f t="shared" si="32"/>
        <v>0</v>
      </c>
      <c r="AJ161" s="60"/>
      <c r="AK161" s="60"/>
      <c r="AL161" s="61"/>
    </row>
    <row r="162" spans="1:38" s="30" customFormat="1" ht="27.5" hidden="1" customHeight="1" outlineLevel="1">
      <c r="A162" s="108" t="s">
        <v>562</v>
      </c>
      <c r="B162" s="54" t="s">
        <v>64</v>
      </c>
      <c r="C162" s="220">
        <v>45809</v>
      </c>
      <c r="D162" s="221">
        <v>45855</v>
      </c>
      <c r="E162" s="378" t="e">
        <f>IF((#REF!-C162)/(D162-C162)&lt;0,0,IF((#REF!-C162)/(D162-C162)&gt;100%,100%,(#REF!-C162)/(D162-C162)))</f>
        <v>#REF!</v>
      </c>
      <c r="F162" s="220">
        <v>45809</v>
      </c>
      <c r="G162" s="221">
        <v>45855</v>
      </c>
      <c r="H162" s="378" t="e">
        <f>IF((#REF!-F162)/(G162-F162)&lt;0,0,IF((#REF!-F162)/(G162-F162)&gt;100%,100%,(#REF!-F162)/(G162-F162)))</f>
        <v>#REF!</v>
      </c>
      <c r="I162" s="268" t="e">
        <f t="shared" si="50"/>
        <v>#REF!</v>
      </c>
      <c r="J162" s="213">
        <f t="shared" si="48"/>
        <v>0</v>
      </c>
      <c r="K162" s="214">
        <f t="shared" si="48"/>
        <v>0</v>
      </c>
      <c r="L162" s="55">
        <f t="shared" si="48"/>
        <v>0</v>
      </c>
      <c r="M162" s="55">
        <f t="shared" si="48"/>
        <v>0</v>
      </c>
      <c r="N162" s="55">
        <f t="shared" si="48"/>
        <v>0</v>
      </c>
      <c r="O162" s="55">
        <f t="shared" si="48"/>
        <v>0</v>
      </c>
      <c r="P162" s="55">
        <f t="shared" si="48"/>
        <v>0</v>
      </c>
      <c r="Q162" s="55">
        <f t="shared" si="48"/>
        <v>0</v>
      </c>
      <c r="R162" s="55">
        <f t="shared" si="48"/>
        <v>0</v>
      </c>
      <c r="S162" s="55">
        <f t="shared" si="48"/>
        <v>0</v>
      </c>
      <c r="T162" s="55">
        <f t="shared" si="49"/>
        <v>0</v>
      </c>
      <c r="U162" s="55">
        <f t="shared" si="49"/>
        <v>0</v>
      </c>
      <c r="V162" s="55">
        <f t="shared" si="49"/>
        <v>0</v>
      </c>
      <c r="W162" s="56">
        <f t="shared" si="49"/>
        <v>0</v>
      </c>
      <c r="X162" s="57">
        <f t="shared" si="49"/>
        <v>0</v>
      </c>
      <c r="Y162" s="55">
        <f t="shared" si="49"/>
        <v>0</v>
      </c>
      <c r="Z162" s="55">
        <f t="shared" si="49"/>
        <v>0</v>
      </c>
      <c r="AA162" s="55">
        <f t="shared" si="49"/>
        <v>0</v>
      </c>
      <c r="AB162" s="55">
        <f t="shared" si="49"/>
        <v>0</v>
      </c>
      <c r="AC162" s="55">
        <f t="shared" si="49"/>
        <v>0</v>
      </c>
      <c r="AD162" s="55">
        <f t="shared" si="32"/>
        <v>0</v>
      </c>
      <c r="AE162" s="55">
        <f t="shared" si="32"/>
        <v>0</v>
      </c>
      <c r="AF162" s="55">
        <f t="shared" si="32"/>
        <v>0</v>
      </c>
      <c r="AG162" s="55">
        <f t="shared" si="32"/>
        <v>0</v>
      </c>
      <c r="AH162" s="55">
        <f t="shared" si="32"/>
        <v>0</v>
      </c>
      <c r="AI162" s="56">
        <f t="shared" si="32"/>
        <v>0</v>
      </c>
      <c r="AJ162" s="62"/>
      <c r="AK162" s="62"/>
      <c r="AL162" s="63"/>
    </row>
    <row r="163" spans="1:38" s="30" customFormat="1" ht="20" hidden="1" customHeight="1" outlineLevel="1">
      <c r="A163" s="108" t="s">
        <v>563</v>
      </c>
      <c r="B163" s="54" t="s">
        <v>65</v>
      </c>
      <c r="C163" s="220">
        <v>45809</v>
      </c>
      <c r="D163" s="221">
        <v>45855</v>
      </c>
      <c r="E163" s="378" t="e">
        <f>IF((#REF!-C163)/(D163-C163)&lt;0,0,IF((#REF!-C163)/(D163-C163)&gt;100%,100%,(#REF!-C163)/(D163-C163)))</f>
        <v>#REF!</v>
      </c>
      <c r="F163" s="220">
        <v>45809</v>
      </c>
      <c r="G163" s="221">
        <v>45855</v>
      </c>
      <c r="H163" s="378" t="e">
        <f>IF((#REF!-F163)/(G163-F163)&lt;0,0,IF((#REF!-F163)/(G163-F163)&gt;100%,100%,(#REF!-F163)/(G163-F163)))</f>
        <v>#REF!</v>
      </c>
      <c r="I163" s="268" t="e">
        <f t="shared" si="50"/>
        <v>#REF!</v>
      </c>
      <c r="J163" s="213">
        <f t="shared" si="48"/>
        <v>0</v>
      </c>
      <c r="K163" s="214">
        <f t="shared" si="48"/>
        <v>0</v>
      </c>
      <c r="L163" s="55">
        <f t="shared" si="48"/>
        <v>0</v>
      </c>
      <c r="M163" s="55">
        <f t="shared" si="48"/>
        <v>0</v>
      </c>
      <c r="N163" s="55">
        <f t="shared" si="48"/>
        <v>0</v>
      </c>
      <c r="O163" s="55">
        <f t="shared" si="48"/>
        <v>0</v>
      </c>
      <c r="P163" s="55">
        <f t="shared" si="48"/>
        <v>0</v>
      </c>
      <c r="Q163" s="55">
        <f t="shared" si="48"/>
        <v>0</v>
      </c>
      <c r="R163" s="55">
        <f t="shared" si="48"/>
        <v>0</v>
      </c>
      <c r="S163" s="55">
        <f t="shared" si="48"/>
        <v>0</v>
      </c>
      <c r="T163" s="55">
        <f t="shared" si="49"/>
        <v>0</v>
      </c>
      <c r="U163" s="55">
        <f t="shared" si="49"/>
        <v>0</v>
      </c>
      <c r="V163" s="55">
        <f t="shared" si="49"/>
        <v>0</v>
      </c>
      <c r="W163" s="56">
        <f t="shared" si="49"/>
        <v>0</v>
      </c>
      <c r="X163" s="57">
        <f t="shared" si="49"/>
        <v>0</v>
      </c>
      <c r="Y163" s="55">
        <f t="shared" si="49"/>
        <v>0</v>
      </c>
      <c r="Z163" s="55">
        <f t="shared" si="49"/>
        <v>0</v>
      </c>
      <c r="AA163" s="55">
        <f t="shared" si="49"/>
        <v>0</v>
      </c>
      <c r="AB163" s="55">
        <f t="shared" si="49"/>
        <v>0</v>
      </c>
      <c r="AC163" s="55">
        <f t="shared" si="49"/>
        <v>0</v>
      </c>
      <c r="AD163" s="55">
        <f t="shared" si="32"/>
        <v>0</v>
      </c>
      <c r="AE163" s="55">
        <f t="shared" si="32"/>
        <v>0</v>
      </c>
      <c r="AF163" s="55">
        <f t="shared" si="32"/>
        <v>0</v>
      </c>
      <c r="AG163" s="55">
        <f t="shared" si="32"/>
        <v>0</v>
      </c>
      <c r="AH163" s="55">
        <f t="shared" si="32"/>
        <v>0</v>
      </c>
      <c r="AI163" s="56">
        <f t="shared" si="32"/>
        <v>0</v>
      </c>
      <c r="AJ163" s="62"/>
      <c r="AK163" s="62"/>
      <c r="AL163" s="63"/>
    </row>
    <row r="164" spans="1:38" s="30" customFormat="1" ht="21" hidden="1" customHeight="1" outlineLevel="1">
      <c r="A164" s="108" t="s">
        <v>564</v>
      </c>
      <c r="B164" s="54" t="s">
        <v>66</v>
      </c>
      <c r="C164" s="220">
        <v>45809</v>
      </c>
      <c r="D164" s="221">
        <v>45855</v>
      </c>
      <c r="E164" s="378" t="e">
        <f>IF((#REF!-C164)/(D164-C164)&lt;0,0,IF((#REF!-C164)/(D164-C164)&gt;100%,100%,(#REF!-C164)/(D164-C164)))</f>
        <v>#REF!</v>
      </c>
      <c r="F164" s="220">
        <v>45809</v>
      </c>
      <c r="G164" s="221">
        <v>45855</v>
      </c>
      <c r="H164" s="378" t="e">
        <f>IF((#REF!-F164)/(G164-F164)&lt;0,0,IF((#REF!-F164)/(G164-F164)&gt;100%,100%,(#REF!-F164)/(G164-F164)))</f>
        <v>#REF!</v>
      </c>
      <c r="I164" s="268" t="e">
        <f t="shared" si="50"/>
        <v>#REF!</v>
      </c>
      <c r="J164" s="213">
        <f t="shared" si="48"/>
        <v>0</v>
      </c>
      <c r="K164" s="214">
        <f t="shared" si="48"/>
        <v>0</v>
      </c>
      <c r="L164" s="55">
        <f t="shared" si="48"/>
        <v>0</v>
      </c>
      <c r="M164" s="55">
        <f t="shared" si="48"/>
        <v>0</v>
      </c>
      <c r="N164" s="55">
        <f t="shared" si="48"/>
        <v>0</v>
      </c>
      <c r="O164" s="55">
        <f t="shared" si="48"/>
        <v>0</v>
      </c>
      <c r="P164" s="55">
        <f t="shared" si="48"/>
        <v>0</v>
      </c>
      <c r="Q164" s="55">
        <f t="shared" si="48"/>
        <v>0</v>
      </c>
      <c r="R164" s="55">
        <f t="shared" si="48"/>
        <v>0</v>
      </c>
      <c r="S164" s="55">
        <f t="shared" si="48"/>
        <v>0</v>
      </c>
      <c r="T164" s="55">
        <f t="shared" si="49"/>
        <v>0</v>
      </c>
      <c r="U164" s="55">
        <f t="shared" si="49"/>
        <v>0</v>
      </c>
      <c r="V164" s="55">
        <f t="shared" si="49"/>
        <v>0</v>
      </c>
      <c r="W164" s="56">
        <f t="shared" si="49"/>
        <v>0</v>
      </c>
      <c r="X164" s="57">
        <f t="shared" si="49"/>
        <v>0</v>
      </c>
      <c r="Y164" s="55">
        <f t="shared" si="49"/>
        <v>0</v>
      </c>
      <c r="Z164" s="55">
        <f t="shared" si="49"/>
        <v>0</v>
      </c>
      <c r="AA164" s="55">
        <f t="shared" si="49"/>
        <v>0</v>
      </c>
      <c r="AB164" s="55">
        <f t="shared" si="49"/>
        <v>0</v>
      </c>
      <c r="AC164" s="55">
        <f t="shared" si="49"/>
        <v>0</v>
      </c>
      <c r="AD164" s="55">
        <f t="shared" si="32"/>
        <v>0</v>
      </c>
      <c r="AE164" s="55">
        <f t="shared" si="32"/>
        <v>0</v>
      </c>
      <c r="AF164" s="55">
        <f t="shared" si="32"/>
        <v>0</v>
      </c>
      <c r="AG164" s="55">
        <f t="shared" si="32"/>
        <v>0</v>
      </c>
      <c r="AH164" s="55">
        <f t="shared" si="32"/>
        <v>0</v>
      </c>
      <c r="AI164" s="56">
        <f t="shared" si="32"/>
        <v>0</v>
      </c>
      <c r="AJ164" s="62"/>
      <c r="AK164" s="62"/>
      <c r="AL164" s="63"/>
    </row>
    <row r="165" spans="1:38" s="30" customFormat="1" ht="20.5" hidden="1" customHeight="1" outlineLevel="1">
      <c r="A165" s="108" t="s">
        <v>565</v>
      </c>
      <c r="B165" s="54" t="s">
        <v>67</v>
      </c>
      <c r="C165" s="220">
        <v>45809</v>
      </c>
      <c r="D165" s="221">
        <v>45855</v>
      </c>
      <c r="E165" s="378" t="e">
        <f>IF((#REF!-C165)/(D165-C165)&lt;0,0,IF((#REF!-C165)/(D165-C165)&gt;100%,100%,(#REF!-C165)/(D165-C165)))</f>
        <v>#REF!</v>
      </c>
      <c r="F165" s="220">
        <v>45809</v>
      </c>
      <c r="G165" s="221">
        <v>45855</v>
      </c>
      <c r="H165" s="378" t="e">
        <f>IF((#REF!-F165)/(G165-F165)&lt;0,0,IF((#REF!-F165)/(G165-F165)&gt;100%,100%,(#REF!-F165)/(G165-F165)))</f>
        <v>#REF!</v>
      </c>
      <c r="I165" s="268" t="e">
        <f t="shared" si="50"/>
        <v>#REF!</v>
      </c>
      <c r="J165" s="213">
        <f t="shared" si="48"/>
        <v>0</v>
      </c>
      <c r="K165" s="214">
        <f t="shared" si="48"/>
        <v>0</v>
      </c>
      <c r="L165" s="55">
        <f t="shared" si="48"/>
        <v>0</v>
      </c>
      <c r="M165" s="55">
        <f t="shared" si="48"/>
        <v>0</v>
      </c>
      <c r="N165" s="55">
        <f t="shared" si="48"/>
        <v>0</v>
      </c>
      <c r="O165" s="55">
        <f t="shared" si="48"/>
        <v>0</v>
      </c>
      <c r="P165" s="55">
        <f t="shared" si="48"/>
        <v>0</v>
      </c>
      <c r="Q165" s="55">
        <f t="shared" si="48"/>
        <v>0</v>
      </c>
      <c r="R165" s="55">
        <f t="shared" si="48"/>
        <v>0</v>
      </c>
      <c r="S165" s="55">
        <f t="shared" si="48"/>
        <v>0</v>
      </c>
      <c r="T165" s="55">
        <f t="shared" si="49"/>
        <v>0</v>
      </c>
      <c r="U165" s="55">
        <f t="shared" si="49"/>
        <v>0</v>
      </c>
      <c r="V165" s="55">
        <f t="shared" si="49"/>
        <v>0</v>
      </c>
      <c r="W165" s="56">
        <f t="shared" si="49"/>
        <v>0</v>
      </c>
      <c r="X165" s="57">
        <f t="shared" si="49"/>
        <v>0</v>
      </c>
      <c r="Y165" s="55">
        <f t="shared" si="49"/>
        <v>0</v>
      </c>
      <c r="Z165" s="55">
        <f t="shared" si="49"/>
        <v>0</v>
      </c>
      <c r="AA165" s="55">
        <f t="shared" si="49"/>
        <v>0</v>
      </c>
      <c r="AB165" s="55">
        <f t="shared" si="49"/>
        <v>0</v>
      </c>
      <c r="AC165" s="55">
        <f t="shared" si="49"/>
        <v>0</v>
      </c>
      <c r="AD165" s="55">
        <f t="shared" si="32"/>
        <v>0</v>
      </c>
      <c r="AE165" s="55">
        <f t="shared" si="32"/>
        <v>0</v>
      </c>
      <c r="AF165" s="55">
        <f t="shared" si="32"/>
        <v>0</v>
      </c>
      <c r="AG165" s="55">
        <f t="shared" si="32"/>
        <v>0</v>
      </c>
      <c r="AH165" s="55">
        <f t="shared" si="32"/>
        <v>0</v>
      </c>
      <c r="AI165" s="56">
        <f t="shared" si="32"/>
        <v>0</v>
      </c>
      <c r="AJ165" s="64"/>
      <c r="AK165" s="64"/>
      <c r="AL165" s="65"/>
    </row>
    <row r="166" spans="1:38" s="30" customFormat="1" ht="16.5" hidden="1" customHeight="1" outlineLevel="1">
      <c r="A166" s="108" t="s">
        <v>566</v>
      </c>
      <c r="B166" s="54" t="s">
        <v>68</v>
      </c>
      <c r="C166" s="220">
        <v>45809</v>
      </c>
      <c r="D166" s="221">
        <v>45855</v>
      </c>
      <c r="E166" s="378" t="e">
        <f>IF((#REF!-C166)/(D166-C166)&lt;0,0,IF((#REF!-C166)/(D166-C166)&gt;100%,100%,(#REF!-C166)/(D166-C166)))</f>
        <v>#REF!</v>
      </c>
      <c r="F166" s="220">
        <v>45809</v>
      </c>
      <c r="G166" s="221">
        <v>45855</v>
      </c>
      <c r="H166" s="378" t="e">
        <f>IF((#REF!-F166)/(G166-F166)&lt;0,0,IF((#REF!-F166)/(G166-F166)&gt;100%,100%,(#REF!-F166)/(G166-F166)))</f>
        <v>#REF!</v>
      </c>
      <c r="I166" s="268" t="e">
        <f t="shared" si="50"/>
        <v>#REF!</v>
      </c>
      <c r="J166" s="213">
        <f t="shared" si="48"/>
        <v>0</v>
      </c>
      <c r="K166" s="214">
        <f t="shared" si="48"/>
        <v>0</v>
      </c>
      <c r="L166" s="55">
        <f t="shared" si="48"/>
        <v>0</v>
      </c>
      <c r="M166" s="55">
        <f t="shared" si="48"/>
        <v>0</v>
      </c>
      <c r="N166" s="55">
        <f t="shared" si="48"/>
        <v>0</v>
      </c>
      <c r="O166" s="55">
        <f t="shared" si="48"/>
        <v>0</v>
      </c>
      <c r="P166" s="55">
        <f t="shared" si="48"/>
        <v>0</v>
      </c>
      <c r="Q166" s="55">
        <f t="shared" si="48"/>
        <v>0</v>
      </c>
      <c r="R166" s="55">
        <f t="shared" si="48"/>
        <v>0</v>
      </c>
      <c r="S166" s="55">
        <f t="shared" si="48"/>
        <v>0</v>
      </c>
      <c r="T166" s="55">
        <f t="shared" si="49"/>
        <v>0</v>
      </c>
      <c r="U166" s="55">
        <f t="shared" si="49"/>
        <v>0</v>
      </c>
      <c r="V166" s="55">
        <f t="shared" si="49"/>
        <v>0</v>
      </c>
      <c r="W166" s="56">
        <f t="shared" si="49"/>
        <v>0</v>
      </c>
      <c r="X166" s="57">
        <f t="shared" si="49"/>
        <v>0</v>
      </c>
      <c r="Y166" s="55">
        <f t="shared" si="49"/>
        <v>0</v>
      </c>
      <c r="Z166" s="55">
        <f t="shared" si="49"/>
        <v>0</v>
      </c>
      <c r="AA166" s="55">
        <f t="shared" si="49"/>
        <v>0</v>
      </c>
      <c r="AB166" s="55">
        <f t="shared" si="49"/>
        <v>0</v>
      </c>
      <c r="AC166" s="55">
        <f t="shared" si="49"/>
        <v>0</v>
      </c>
      <c r="AD166" s="55">
        <f t="shared" si="32"/>
        <v>0</v>
      </c>
      <c r="AE166" s="55">
        <f t="shared" si="32"/>
        <v>0</v>
      </c>
      <c r="AF166" s="55">
        <f t="shared" si="32"/>
        <v>0</v>
      </c>
      <c r="AG166" s="55">
        <f t="shared" si="32"/>
        <v>0</v>
      </c>
      <c r="AH166" s="55">
        <f t="shared" si="32"/>
        <v>0</v>
      </c>
      <c r="AI166" s="56">
        <f t="shared" si="32"/>
        <v>0</v>
      </c>
      <c r="AJ166" s="58"/>
      <c r="AK166" s="58"/>
      <c r="AL166" s="59"/>
    </row>
    <row r="167" spans="1:38" ht="45" customHeight="1" collapsed="1">
      <c r="A167" s="131" t="s">
        <v>568</v>
      </c>
      <c r="B167" s="66" t="s">
        <v>740</v>
      </c>
      <c r="C167" s="223">
        <v>46054</v>
      </c>
      <c r="D167" s="224">
        <v>46109</v>
      </c>
      <c r="E167" s="381" t="e">
        <f>IF((#REF!-C167)/(D167-C167)&lt;0,0,IF((#REF!-C167)/(D167-C167)&gt;100%,100%,(#REF!-C167)/(D167-C167)))</f>
        <v>#REF!</v>
      </c>
      <c r="F167" s="223">
        <v>46054</v>
      </c>
      <c r="G167" s="224"/>
      <c r="H167" s="381" t="e">
        <f>IF((#REF!-F167)/(G167-F167)&lt;0,0,IF((#REF!-F167)/(G167-F167)&gt;100%,100%,(#REF!-F167)/(G167-F167)))</f>
        <v>#REF!</v>
      </c>
      <c r="I167" s="267" t="e">
        <f t="shared" si="50"/>
        <v>#REF!</v>
      </c>
      <c r="J167" s="146">
        <f t="shared" ref="J167:S176" si="51">+IF(J$3&gt;=$C167,IF(J$3&lt;=$D167,1,0),0)</f>
        <v>0</v>
      </c>
      <c r="K167" s="147">
        <f t="shared" si="51"/>
        <v>0</v>
      </c>
      <c r="L167" s="43">
        <f t="shared" si="51"/>
        <v>0</v>
      </c>
      <c r="M167" s="43">
        <f t="shared" si="51"/>
        <v>1</v>
      </c>
      <c r="N167" s="43">
        <f t="shared" si="51"/>
        <v>0</v>
      </c>
      <c r="O167" s="43">
        <f t="shared" si="51"/>
        <v>0</v>
      </c>
      <c r="P167" s="43">
        <f t="shared" si="51"/>
        <v>0</v>
      </c>
      <c r="Q167" s="43">
        <f t="shared" si="51"/>
        <v>0</v>
      </c>
      <c r="R167" s="43">
        <f t="shared" si="51"/>
        <v>0</v>
      </c>
      <c r="S167" s="43">
        <f t="shared" si="51"/>
        <v>0</v>
      </c>
      <c r="T167" s="43">
        <f t="shared" ref="T167:AC176" si="52">+IF(T$3&gt;=$C167,IF(T$3&lt;=$D167,1,0),0)</f>
        <v>0</v>
      </c>
      <c r="U167" s="43">
        <f t="shared" si="52"/>
        <v>0</v>
      </c>
      <c r="V167" s="43">
        <f t="shared" si="52"/>
        <v>0</v>
      </c>
      <c r="W167" s="44">
        <f t="shared" si="52"/>
        <v>0</v>
      </c>
      <c r="X167" s="45">
        <f t="shared" si="52"/>
        <v>0</v>
      </c>
      <c r="Y167" s="43">
        <f t="shared" si="52"/>
        <v>0</v>
      </c>
      <c r="Z167" s="43">
        <f t="shared" si="52"/>
        <v>0</v>
      </c>
      <c r="AA167" s="43">
        <f t="shared" si="52"/>
        <v>0</v>
      </c>
      <c r="AB167" s="43">
        <f t="shared" si="52"/>
        <v>0</v>
      </c>
      <c r="AC167" s="43">
        <f t="shared" si="52"/>
        <v>0</v>
      </c>
      <c r="AD167" s="43">
        <f t="shared" si="32"/>
        <v>0</v>
      </c>
      <c r="AE167" s="43">
        <f t="shared" si="32"/>
        <v>0</v>
      </c>
      <c r="AF167" s="43">
        <f t="shared" si="32"/>
        <v>0</v>
      </c>
      <c r="AG167" s="43">
        <f t="shared" si="32"/>
        <v>0</v>
      </c>
      <c r="AH167" s="43">
        <f t="shared" si="32"/>
        <v>0</v>
      </c>
      <c r="AI167" s="44">
        <f t="shared" si="32"/>
        <v>0</v>
      </c>
      <c r="AJ167" s="46"/>
      <c r="AK167" s="46"/>
      <c r="AL167" s="47"/>
    </row>
    <row r="168" spans="1:38" s="30" customFormat="1" ht="31.25" customHeight="1">
      <c r="A168" s="161" t="s">
        <v>256</v>
      </c>
      <c r="B168" s="67" t="s">
        <v>233</v>
      </c>
      <c r="C168" s="226" t="s">
        <v>284</v>
      </c>
      <c r="D168" s="227" t="s">
        <v>284</v>
      </c>
      <c r="E168" s="400" t="e">
        <f>IF((#REF!-C168)/(D168-C168)&lt;0,0,IF((#REF!-C168)/(D168-C168)&gt;100%,100%,(#REF!-C168)/(D168-C168)))</f>
        <v>#REF!</v>
      </c>
      <c r="F168" s="269" t="s">
        <v>284</v>
      </c>
      <c r="G168" s="238" t="s">
        <v>284</v>
      </c>
      <c r="H168" s="400" t="e">
        <f>IF((#REF!-F168)/(G168-F168)&lt;0,0,IF((#REF!-F168)/(G168-F168)&gt;100%,100%,(#REF!-F168)/(G168-F168)))</f>
        <v>#REF!</v>
      </c>
      <c r="I168" s="401" t="e">
        <f t="shared" si="50"/>
        <v>#VALUE!</v>
      </c>
      <c r="J168" s="25">
        <f t="shared" si="51"/>
        <v>0</v>
      </c>
      <c r="K168" s="26">
        <f t="shared" si="51"/>
        <v>0</v>
      </c>
      <c r="L168" s="25">
        <f t="shared" si="51"/>
        <v>0</v>
      </c>
      <c r="M168" s="25">
        <f t="shared" si="51"/>
        <v>0</v>
      </c>
      <c r="N168" s="25">
        <f t="shared" si="51"/>
        <v>0</v>
      </c>
      <c r="O168" s="25">
        <f t="shared" si="51"/>
        <v>0</v>
      </c>
      <c r="P168" s="25">
        <f t="shared" si="51"/>
        <v>0</v>
      </c>
      <c r="Q168" s="25">
        <f t="shared" si="51"/>
        <v>0</v>
      </c>
      <c r="R168" s="25">
        <f t="shared" si="51"/>
        <v>0</v>
      </c>
      <c r="S168" s="25">
        <f t="shared" si="51"/>
        <v>0</v>
      </c>
      <c r="T168" s="25">
        <f t="shared" si="52"/>
        <v>0</v>
      </c>
      <c r="U168" s="25">
        <f t="shared" si="52"/>
        <v>0</v>
      </c>
      <c r="V168" s="25">
        <f t="shared" si="52"/>
        <v>0</v>
      </c>
      <c r="W168" s="26">
        <f t="shared" si="52"/>
        <v>0</v>
      </c>
      <c r="X168" s="27">
        <f t="shared" si="52"/>
        <v>0</v>
      </c>
      <c r="Y168" s="25">
        <f t="shared" si="52"/>
        <v>0</v>
      </c>
      <c r="Z168" s="25">
        <f t="shared" si="52"/>
        <v>0</v>
      </c>
      <c r="AA168" s="25">
        <f t="shared" si="52"/>
        <v>0</v>
      </c>
      <c r="AB168" s="25">
        <f t="shared" si="52"/>
        <v>0</v>
      </c>
      <c r="AC168" s="25">
        <f t="shared" si="52"/>
        <v>0</v>
      </c>
      <c r="AD168" s="25">
        <f t="shared" si="32"/>
        <v>0</v>
      </c>
      <c r="AE168" s="25">
        <f t="shared" si="32"/>
        <v>0</v>
      </c>
      <c r="AF168" s="25">
        <f t="shared" si="32"/>
        <v>0</v>
      </c>
      <c r="AG168" s="25">
        <f t="shared" si="32"/>
        <v>0</v>
      </c>
      <c r="AH168" s="25">
        <f t="shared" si="32"/>
        <v>0</v>
      </c>
      <c r="AI168" s="26">
        <f t="shared" si="32"/>
        <v>0</v>
      </c>
      <c r="AJ168" s="68"/>
      <c r="AK168" s="68"/>
      <c r="AL168" s="69"/>
    </row>
    <row r="169" spans="1:38" s="30" customFormat="1" ht="28.75" hidden="1" customHeight="1" outlineLevel="1">
      <c r="A169" s="109" t="s">
        <v>257</v>
      </c>
      <c r="B169" s="48" t="s">
        <v>22</v>
      </c>
      <c r="C169" s="228"/>
      <c r="D169" s="229"/>
      <c r="E169" s="381" t="e">
        <f>IF((#REF!-C169)/(D169-C169)&lt;0,0,IF((#REF!-C169)/(D169-C169)&gt;100%,100%,(#REF!-C169)/(D169-C169)))</f>
        <v>#REF!</v>
      </c>
      <c r="F169" s="270"/>
      <c r="G169" s="229"/>
      <c r="H169" s="381" t="e">
        <f>IF((#REF!-F169)/(G169-F169)&lt;0,0,IF((#REF!-F169)/(G169-F169)&gt;100%,100%,(#REF!-F169)/(G169-F169)))</f>
        <v>#REF!</v>
      </c>
      <c r="I169" s="267" t="e">
        <f t="shared" si="50"/>
        <v>#REF!</v>
      </c>
      <c r="J169" s="49">
        <f t="shared" si="51"/>
        <v>0</v>
      </c>
      <c r="K169" s="50">
        <f t="shared" si="51"/>
        <v>0</v>
      </c>
      <c r="L169" s="49">
        <f t="shared" si="51"/>
        <v>0</v>
      </c>
      <c r="M169" s="49">
        <f t="shared" si="51"/>
        <v>0</v>
      </c>
      <c r="N169" s="49">
        <f t="shared" si="51"/>
        <v>0</v>
      </c>
      <c r="O169" s="49">
        <f t="shared" si="51"/>
        <v>0</v>
      </c>
      <c r="P169" s="49">
        <f t="shared" si="51"/>
        <v>0</v>
      </c>
      <c r="Q169" s="49">
        <f t="shared" si="51"/>
        <v>0</v>
      </c>
      <c r="R169" s="49">
        <f t="shared" si="51"/>
        <v>0</v>
      </c>
      <c r="S169" s="49">
        <f t="shared" si="51"/>
        <v>0</v>
      </c>
      <c r="T169" s="49">
        <f t="shared" si="52"/>
        <v>0</v>
      </c>
      <c r="U169" s="49">
        <f t="shared" si="52"/>
        <v>0</v>
      </c>
      <c r="V169" s="49">
        <f t="shared" si="52"/>
        <v>0</v>
      </c>
      <c r="W169" s="50">
        <f t="shared" si="52"/>
        <v>0</v>
      </c>
      <c r="X169" s="51">
        <f t="shared" si="52"/>
        <v>0</v>
      </c>
      <c r="Y169" s="49">
        <f t="shared" si="52"/>
        <v>0</v>
      </c>
      <c r="Z169" s="49">
        <f t="shared" si="52"/>
        <v>0</v>
      </c>
      <c r="AA169" s="49">
        <f t="shared" si="52"/>
        <v>0</v>
      </c>
      <c r="AB169" s="49">
        <f t="shared" si="52"/>
        <v>0</v>
      </c>
      <c r="AC169" s="49">
        <f t="shared" si="52"/>
        <v>0</v>
      </c>
      <c r="AD169" s="49">
        <f t="shared" si="32"/>
        <v>0</v>
      </c>
      <c r="AE169" s="49">
        <f t="shared" si="32"/>
        <v>0</v>
      </c>
      <c r="AF169" s="49">
        <f t="shared" si="32"/>
        <v>0</v>
      </c>
      <c r="AG169" s="49">
        <f t="shared" si="32"/>
        <v>0</v>
      </c>
      <c r="AH169" s="49">
        <f t="shared" si="32"/>
        <v>0</v>
      </c>
      <c r="AI169" s="50">
        <f t="shared" si="32"/>
        <v>0</v>
      </c>
      <c r="AJ169" s="70"/>
      <c r="AK169" s="70"/>
      <c r="AL169" s="71"/>
    </row>
    <row r="170" spans="1:38" s="30" customFormat="1" ht="41.5" hidden="1" customHeight="1" outlineLevel="1">
      <c r="A170" s="109" t="s">
        <v>258</v>
      </c>
      <c r="B170" s="48" t="s">
        <v>23</v>
      </c>
      <c r="C170" s="228"/>
      <c r="D170" s="229"/>
      <c r="E170" s="381" t="e">
        <f>IF((#REF!-C170)/(D170-C170)&lt;0,0,IF((#REF!-C170)/(D170-C170)&gt;100%,100%,(#REF!-C170)/(D170-C170)))</f>
        <v>#REF!</v>
      </c>
      <c r="F170" s="270"/>
      <c r="G170" s="229"/>
      <c r="H170" s="381" t="e">
        <f>IF((#REF!-F170)/(G170-F170)&lt;0,0,IF((#REF!-F170)/(G170-F170)&gt;100%,100%,(#REF!-F170)/(G170-F170)))</f>
        <v>#REF!</v>
      </c>
      <c r="I170" s="267" t="e">
        <f t="shared" si="50"/>
        <v>#REF!</v>
      </c>
      <c r="J170" s="49">
        <f t="shared" si="51"/>
        <v>0</v>
      </c>
      <c r="K170" s="50">
        <f t="shared" si="51"/>
        <v>0</v>
      </c>
      <c r="L170" s="49">
        <f t="shared" si="51"/>
        <v>0</v>
      </c>
      <c r="M170" s="49">
        <f t="shared" si="51"/>
        <v>0</v>
      </c>
      <c r="N170" s="49">
        <f t="shared" si="51"/>
        <v>0</v>
      </c>
      <c r="O170" s="49">
        <f t="shared" si="51"/>
        <v>0</v>
      </c>
      <c r="P170" s="49">
        <f t="shared" si="51"/>
        <v>0</v>
      </c>
      <c r="Q170" s="49">
        <f t="shared" si="51"/>
        <v>0</v>
      </c>
      <c r="R170" s="49">
        <f t="shared" si="51"/>
        <v>0</v>
      </c>
      <c r="S170" s="49">
        <f t="shared" si="51"/>
        <v>0</v>
      </c>
      <c r="T170" s="49">
        <f t="shared" si="52"/>
        <v>0</v>
      </c>
      <c r="U170" s="49">
        <f t="shared" si="52"/>
        <v>0</v>
      </c>
      <c r="V170" s="49">
        <f t="shared" si="52"/>
        <v>0</v>
      </c>
      <c r="W170" s="50">
        <f t="shared" si="52"/>
        <v>0</v>
      </c>
      <c r="X170" s="51">
        <f t="shared" si="52"/>
        <v>0</v>
      </c>
      <c r="Y170" s="49">
        <f t="shared" si="52"/>
        <v>0</v>
      </c>
      <c r="Z170" s="49">
        <f t="shared" si="52"/>
        <v>0</v>
      </c>
      <c r="AA170" s="49">
        <f t="shared" si="52"/>
        <v>0</v>
      </c>
      <c r="AB170" s="49">
        <f t="shared" si="52"/>
        <v>0</v>
      </c>
      <c r="AC170" s="49">
        <f t="shared" si="52"/>
        <v>0</v>
      </c>
      <c r="AD170" s="49">
        <f t="shared" si="32"/>
        <v>0</v>
      </c>
      <c r="AE170" s="49">
        <f t="shared" si="32"/>
        <v>0</v>
      </c>
      <c r="AF170" s="49">
        <f t="shared" si="32"/>
        <v>0</v>
      </c>
      <c r="AG170" s="49">
        <f t="shared" si="32"/>
        <v>0</v>
      </c>
      <c r="AH170" s="49">
        <f t="shared" si="32"/>
        <v>0</v>
      </c>
      <c r="AI170" s="50">
        <f t="shared" si="32"/>
        <v>0</v>
      </c>
      <c r="AJ170" s="70"/>
      <c r="AK170" s="70"/>
      <c r="AL170" s="71"/>
    </row>
    <row r="171" spans="1:38" s="30" customFormat="1" ht="21" hidden="1" customHeight="1" outlineLevel="1">
      <c r="A171" s="109" t="s">
        <v>259</v>
      </c>
      <c r="B171" s="48" t="s">
        <v>24</v>
      </c>
      <c r="C171" s="228"/>
      <c r="D171" s="229"/>
      <c r="E171" s="381" t="e">
        <f>IF((#REF!-C171)/(D171-C171)&lt;0,0,IF((#REF!-C171)/(D171-C171)&gt;100%,100%,(#REF!-C171)/(D171-C171)))</f>
        <v>#REF!</v>
      </c>
      <c r="F171" s="270"/>
      <c r="G171" s="229"/>
      <c r="H171" s="381" t="e">
        <f>IF((#REF!-F171)/(G171-F171)&lt;0,0,IF((#REF!-F171)/(G171-F171)&gt;100%,100%,(#REF!-F171)/(G171-F171)))</f>
        <v>#REF!</v>
      </c>
      <c r="I171" s="267" t="e">
        <f t="shared" si="50"/>
        <v>#REF!</v>
      </c>
      <c r="J171" s="49">
        <f t="shared" si="51"/>
        <v>0</v>
      </c>
      <c r="K171" s="50">
        <f t="shared" si="51"/>
        <v>0</v>
      </c>
      <c r="L171" s="49">
        <f t="shared" si="51"/>
        <v>0</v>
      </c>
      <c r="M171" s="49">
        <f t="shared" si="51"/>
        <v>0</v>
      </c>
      <c r="N171" s="49">
        <f t="shared" si="51"/>
        <v>0</v>
      </c>
      <c r="O171" s="49">
        <f t="shared" si="51"/>
        <v>0</v>
      </c>
      <c r="P171" s="49">
        <f t="shared" si="51"/>
        <v>0</v>
      </c>
      <c r="Q171" s="49">
        <f t="shared" si="51"/>
        <v>0</v>
      </c>
      <c r="R171" s="49">
        <f t="shared" si="51"/>
        <v>0</v>
      </c>
      <c r="S171" s="49">
        <f t="shared" si="51"/>
        <v>0</v>
      </c>
      <c r="T171" s="49">
        <f t="shared" si="52"/>
        <v>0</v>
      </c>
      <c r="U171" s="49">
        <f t="shared" si="52"/>
        <v>0</v>
      </c>
      <c r="V171" s="49">
        <f t="shared" si="52"/>
        <v>0</v>
      </c>
      <c r="W171" s="50">
        <f t="shared" si="52"/>
        <v>0</v>
      </c>
      <c r="X171" s="51">
        <f t="shared" si="52"/>
        <v>0</v>
      </c>
      <c r="Y171" s="49">
        <f t="shared" si="52"/>
        <v>0</v>
      </c>
      <c r="Z171" s="49">
        <f t="shared" si="52"/>
        <v>0</v>
      </c>
      <c r="AA171" s="49">
        <f t="shared" si="52"/>
        <v>0</v>
      </c>
      <c r="AB171" s="49">
        <f t="shared" si="52"/>
        <v>0</v>
      </c>
      <c r="AC171" s="49">
        <f t="shared" si="52"/>
        <v>0</v>
      </c>
      <c r="AD171" s="49">
        <f t="shared" si="32"/>
        <v>0</v>
      </c>
      <c r="AE171" s="49">
        <f t="shared" si="32"/>
        <v>0</v>
      </c>
      <c r="AF171" s="49">
        <f t="shared" si="32"/>
        <v>0</v>
      </c>
      <c r="AG171" s="49">
        <f t="shared" si="32"/>
        <v>0</v>
      </c>
      <c r="AH171" s="49">
        <f t="shared" si="32"/>
        <v>0</v>
      </c>
      <c r="AI171" s="50">
        <f t="shared" si="32"/>
        <v>0</v>
      </c>
      <c r="AJ171" s="52"/>
      <c r="AK171" s="52"/>
      <c r="AL171" s="53"/>
    </row>
    <row r="172" spans="1:38" s="30" customFormat="1" ht="20" hidden="1" customHeight="1" outlineLevel="1">
      <c r="A172" s="108" t="s">
        <v>569</v>
      </c>
      <c r="B172" s="73" t="s">
        <v>25</v>
      </c>
      <c r="C172" s="220"/>
      <c r="D172" s="221"/>
      <c r="E172" s="378" t="e">
        <f>IF((#REF!-C172)/(D172-C172)&lt;0,0,IF((#REF!-C172)/(D172-C172)&gt;100%,100%,(#REF!-C172)/(D172-C172)))</f>
        <v>#REF!</v>
      </c>
      <c r="F172" s="271"/>
      <c r="G172" s="221"/>
      <c r="H172" s="378" t="e">
        <f>IF((#REF!-F172)/(G172-F172)&lt;0,0,IF((#REF!-F172)/(G172-F172)&gt;100%,100%,(#REF!-F172)/(G172-F172)))</f>
        <v>#REF!</v>
      </c>
      <c r="I172" s="268" t="e">
        <f t="shared" si="50"/>
        <v>#REF!</v>
      </c>
      <c r="J172" s="55">
        <f t="shared" si="51"/>
        <v>0</v>
      </c>
      <c r="K172" s="56">
        <f t="shared" si="51"/>
        <v>0</v>
      </c>
      <c r="L172" s="55">
        <f t="shared" si="51"/>
        <v>0</v>
      </c>
      <c r="M172" s="55">
        <f t="shared" si="51"/>
        <v>0</v>
      </c>
      <c r="N172" s="55">
        <f t="shared" si="51"/>
        <v>0</v>
      </c>
      <c r="O172" s="55">
        <f t="shared" si="51"/>
        <v>0</v>
      </c>
      <c r="P172" s="55">
        <f t="shared" si="51"/>
        <v>0</v>
      </c>
      <c r="Q172" s="55">
        <f t="shared" si="51"/>
        <v>0</v>
      </c>
      <c r="R172" s="55">
        <f t="shared" si="51"/>
        <v>0</v>
      </c>
      <c r="S172" s="55">
        <f t="shared" si="51"/>
        <v>0</v>
      </c>
      <c r="T172" s="55">
        <f t="shared" si="52"/>
        <v>0</v>
      </c>
      <c r="U172" s="55">
        <f t="shared" si="52"/>
        <v>0</v>
      </c>
      <c r="V172" s="55">
        <f t="shared" si="52"/>
        <v>0</v>
      </c>
      <c r="W172" s="56">
        <f t="shared" si="52"/>
        <v>0</v>
      </c>
      <c r="X172" s="57">
        <f t="shared" si="52"/>
        <v>0</v>
      </c>
      <c r="Y172" s="55">
        <f t="shared" si="52"/>
        <v>0</v>
      </c>
      <c r="Z172" s="55">
        <f t="shared" si="52"/>
        <v>0</v>
      </c>
      <c r="AA172" s="55">
        <f t="shared" si="52"/>
        <v>0</v>
      </c>
      <c r="AB172" s="55">
        <f t="shared" si="52"/>
        <v>0</v>
      </c>
      <c r="AC172" s="55">
        <f t="shared" si="52"/>
        <v>0</v>
      </c>
      <c r="AD172" s="55">
        <f t="shared" si="32"/>
        <v>0</v>
      </c>
      <c r="AE172" s="55">
        <f t="shared" si="32"/>
        <v>0</v>
      </c>
      <c r="AF172" s="55">
        <f t="shared" si="32"/>
        <v>0</v>
      </c>
      <c r="AG172" s="55">
        <f t="shared" si="32"/>
        <v>0</v>
      </c>
      <c r="AH172" s="55">
        <f t="shared" si="32"/>
        <v>0</v>
      </c>
      <c r="AI172" s="56">
        <f t="shared" si="32"/>
        <v>0</v>
      </c>
      <c r="AJ172" s="74"/>
      <c r="AK172" s="74"/>
      <c r="AL172" s="75"/>
    </row>
    <row r="173" spans="1:38" s="30" customFormat="1" ht="20" hidden="1" customHeight="1" outlineLevel="1">
      <c r="A173" s="108" t="s">
        <v>570</v>
      </c>
      <c r="B173" s="73" t="s">
        <v>26</v>
      </c>
      <c r="C173" s="220"/>
      <c r="D173" s="221"/>
      <c r="E173" s="378" t="e">
        <f>IF((#REF!-C173)/(D173-C173)&lt;0,0,IF((#REF!-C173)/(D173-C173)&gt;100%,100%,(#REF!-C173)/(D173-C173)))</f>
        <v>#REF!</v>
      </c>
      <c r="F173" s="271"/>
      <c r="G173" s="221"/>
      <c r="H173" s="378" t="e">
        <f>IF((#REF!-F173)/(G173-F173)&lt;0,0,IF((#REF!-F173)/(G173-F173)&gt;100%,100%,(#REF!-F173)/(G173-F173)))</f>
        <v>#REF!</v>
      </c>
      <c r="I173" s="268" t="e">
        <f t="shared" si="50"/>
        <v>#REF!</v>
      </c>
      <c r="J173" s="55">
        <f t="shared" si="51"/>
        <v>0</v>
      </c>
      <c r="K173" s="56">
        <f t="shared" si="51"/>
        <v>0</v>
      </c>
      <c r="L173" s="55">
        <f t="shared" si="51"/>
        <v>0</v>
      </c>
      <c r="M173" s="55">
        <f t="shared" si="51"/>
        <v>0</v>
      </c>
      <c r="N173" s="55">
        <f t="shared" si="51"/>
        <v>0</v>
      </c>
      <c r="O173" s="55">
        <f t="shared" si="51"/>
        <v>0</v>
      </c>
      <c r="P173" s="55">
        <f t="shared" si="51"/>
        <v>0</v>
      </c>
      <c r="Q173" s="55">
        <f t="shared" si="51"/>
        <v>0</v>
      </c>
      <c r="R173" s="55">
        <f t="shared" si="51"/>
        <v>0</v>
      </c>
      <c r="S173" s="55">
        <f t="shared" si="51"/>
        <v>0</v>
      </c>
      <c r="T173" s="55">
        <f t="shared" si="52"/>
        <v>0</v>
      </c>
      <c r="U173" s="55">
        <f t="shared" si="52"/>
        <v>0</v>
      </c>
      <c r="V173" s="55">
        <f t="shared" si="52"/>
        <v>0</v>
      </c>
      <c r="W173" s="56">
        <f t="shared" si="52"/>
        <v>0</v>
      </c>
      <c r="X173" s="57">
        <f t="shared" si="52"/>
        <v>0</v>
      </c>
      <c r="Y173" s="55">
        <f t="shared" si="52"/>
        <v>0</v>
      </c>
      <c r="Z173" s="55">
        <f t="shared" si="52"/>
        <v>0</v>
      </c>
      <c r="AA173" s="55">
        <f t="shared" si="52"/>
        <v>0</v>
      </c>
      <c r="AB173" s="55">
        <f t="shared" si="52"/>
        <v>0</v>
      </c>
      <c r="AC173" s="55">
        <f t="shared" si="52"/>
        <v>0</v>
      </c>
      <c r="AD173" s="55">
        <f t="shared" si="32"/>
        <v>0</v>
      </c>
      <c r="AE173" s="55">
        <f t="shared" si="32"/>
        <v>0</v>
      </c>
      <c r="AF173" s="55">
        <f t="shared" si="32"/>
        <v>0</v>
      </c>
      <c r="AG173" s="55">
        <f t="shared" si="32"/>
        <v>0</v>
      </c>
      <c r="AH173" s="55">
        <f t="shared" si="32"/>
        <v>0</v>
      </c>
      <c r="AI173" s="56">
        <f t="shared" si="32"/>
        <v>0</v>
      </c>
      <c r="AJ173" s="74"/>
      <c r="AK173" s="74"/>
      <c r="AL173" s="75"/>
    </row>
    <row r="174" spans="1:38" s="30" customFormat="1" ht="20" hidden="1" customHeight="1" outlineLevel="1">
      <c r="A174" s="108" t="s">
        <v>571</v>
      </c>
      <c r="B174" s="73" t="s">
        <v>27</v>
      </c>
      <c r="C174" s="220"/>
      <c r="D174" s="221"/>
      <c r="E174" s="378" t="e">
        <f>IF((#REF!-C174)/(D174-C174)&lt;0,0,IF((#REF!-C174)/(D174-C174)&gt;100%,100%,(#REF!-C174)/(D174-C174)))</f>
        <v>#REF!</v>
      </c>
      <c r="F174" s="271"/>
      <c r="G174" s="221"/>
      <c r="H174" s="378" t="e">
        <f>IF((#REF!-F174)/(G174-F174)&lt;0,0,IF((#REF!-F174)/(G174-F174)&gt;100%,100%,(#REF!-F174)/(G174-F174)))</f>
        <v>#REF!</v>
      </c>
      <c r="I174" s="268" t="e">
        <f t="shared" si="50"/>
        <v>#REF!</v>
      </c>
      <c r="J174" s="55">
        <f t="shared" si="51"/>
        <v>0</v>
      </c>
      <c r="K174" s="56">
        <f t="shared" si="51"/>
        <v>0</v>
      </c>
      <c r="L174" s="55">
        <f t="shared" si="51"/>
        <v>0</v>
      </c>
      <c r="M174" s="55">
        <f t="shared" si="51"/>
        <v>0</v>
      </c>
      <c r="N174" s="55">
        <f t="shared" si="51"/>
        <v>0</v>
      </c>
      <c r="O174" s="55">
        <f t="shared" si="51"/>
        <v>0</v>
      </c>
      <c r="P174" s="55">
        <f t="shared" si="51"/>
        <v>0</v>
      </c>
      <c r="Q174" s="55">
        <f t="shared" si="51"/>
        <v>0</v>
      </c>
      <c r="R174" s="55">
        <f t="shared" si="51"/>
        <v>0</v>
      </c>
      <c r="S174" s="55">
        <f t="shared" si="51"/>
        <v>0</v>
      </c>
      <c r="T174" s="55">
        <f t="shared" si="52"/>
        <v>0</v>
      </c>
      <c r="U174" s="55">
        <f t="shared" si="52"/>
        <v>0</v>
      </c>
      <c r="V174" s="55">
        <f t="shared" si="52"/>
        <v>0</v>
      </c>
      <c r="W174" s="56">
        <f t="shared" si="52"/>
        <v>0</v>
      </c>
      <c r="X174" s="57">
        <f t="shared" si="52"/>
        <v>0</v>
      </c>
      <c r="Y174" s="55">
        <f t="shared" si="52"/>
        <v>0</v>
      </c>
      <c r="Z174" s="55">
        <f t="shared" si="52"/>
        <v>0</v>
      </c>
      <c r="AA174" s="55">
        <f t="shared" si="52"/>
        <v>0</v>
      </c>
      <c r="AB174" s="55">
        <f t="shared" si="52"/>
        <v>0</v>
      </c>
      <c r="AC174" s="55">
        <f t="shared" si="52"/>
        <v>0</v>
      </c>
      <c r="AD174" s="55">
        <f t="shared" si="32"/>
        <v>0</v>
      </c>
      <c r="AE174" s="55">
        <f t="shared" si="32"/>
        <v>0</v>
      </c>
      <c r="AF174" s="55">
        <f t="shared" si="32"/>
        <v>0</v>
      </c>
      <c r="AG174" s="55">
        <f t="shared" si="32"/>
        <v>0</v>
      </c>
      <c r="AH174" s="55">
        <f t="shared" si="32"/>
        <v>0</v>
      </c>
      <c r="AI174" s="56">
        <f t="shared" si="32"/>
        <v>0</v>
      </c>
      <c r="AJ174" s="62"/>
      <c r="AK174" s="62"/>
      <c r="AL174" s="63"/>
    </row>
    <row r="175" spans="1:38" s="30" customFormat="1" ht="20" hidden="1" customHeight="1" outlineLevel="1">
      <c r="A175" s="108" t="s">
        <v>572</v>
      </c>
      <c r="B175" s="73" t="s">
        <v>28</v>
      </c>
      <c r="C175" s="220"/>
      <c r="D175" s="221"/>
      <c r="E175" s="378" t="e">
        <f>IF((#REF!-C175)/(D175-C175)&lt;0,0,IF((#REF!-C175)/(D175-C175)&gt;100%,100%,(#REF!-C175)/(D175-C175)))</f>
        <v>#REF!</v>
      </c>
      <c r="F175" s="271"/>
      <c r="G175" s="221"/>
      <c r="H175" s="378" t="e">
        <f>IF((#REF!-F175)/(G175-F175)&lt;0,0,IF((#REF!-F175)/(G175-F175)&gt;100%,100%,(#REF!-F175)/(G175-F175)))</f>
        <v>#REF!</v>
      </c>
      <c r="I175" s="268" t="e">
        <f t="shared" si="50"/>
        <v>#REF!</v>
      </c>
      <c r="J175" s="55">
        <f t="shared" si="51"/>
        <v>0</v>
      </c>
      <c r="K175" s="56">
        <f t="shared" si="51"/>
        <v>0</v>
      </c>
      <c r="L175" s="55">
        <f t="shared" si="51"/>
        <v>0</v>
      </c>
      <c r="M175" s="55">
        <f t="shared" si="51"/>
        <v>0</v>
      </c>
      <c r="N175" s="55">
        <f t="shared" si="51"/>
        <v>0</v>
      </c>
      <c r="O175" s="55">
        <f t="shared" si="51"/>
        <v>0</v>
      </c>
      <c r="P175" s="55">
        <f t="shared" si="51"/>
        <v>0</v>
      </c>
      <c r="Q175" s="55">
        <f t="shared" si="51"/>
        <v>0</v>
      </c>
      <c r="R175" s="55">
        <f t="shared" si="51"/>
        <v>0</v>
      </c>
      <c r="S175" s="55">
        <f t="shared" si="51"/>
        <v>0</v>
      </c>
      <c r="T175" s="55">
        <f t="shared" si="52"/>
        <v>0</v>
      </c>
      <c r="U175" s="55">
        <f t="shared" si="52"/>
        <v>0</v>
      </c>
      <c r="V175" s="55">
        <f t="shared" si="52"/>
        <v>0</v>
      </c>
      <c r="W175" s="56">
        <f t="shared" si="52"/>
        <v>0</v>
      </c>
      <c r="X175" s="57">
        <f t="shared" si="52"/>
        <v>0</v>
      </c>
      <c r="Y175" s="55">
        <f t="shared" si="52"/>
        <v>0</v>
      </c>
      <c r="Z175" s="55">
        <f t="shared" si="52"/>
        <v>0</v>
      </c>
      <c r="AA175" s="55">
        <f t="shared" si="52"/>
        <v>0</v>
      </c>
      <c r="AB175" s="55">
        <f t="shared" si="52"/>
        <v>0</v>
      </c>
      <c r="AC175" s="55">
        <f t="shared" si="52"/>
        <v>0</v>
      </c>
      <c r="AD175" s="55">
        <f t="shared" si="32"/>
        <v>0</v>
      </c>
      <c r="AE175" s="55">
        <f t="shared" si="32"/>
        <v>0</v>
      </c>
      <c r="AF175" s="55">
        <f t="shared" si="32"/>
        <v>0</v>
      </c>
      <c r="AG175" s="55">
        <f t="shared" si="32"/>
        <v>0</v>
      </c>
      <c r="AH175" s="55">
        <f t="shared" si="32"/>
        <v>0</v>
      </c>
      <c r="AI175" s="56">
        <f t="shared" si="32"/>
        <v>0</v>
      </c>
      <c r="AJ175" s="62"/>
      <c r="AK175" s="62"/>
      <c r="AL175" s="63"/>
    </row>
    <row r="176" spans="1:38" s="30" customFormat="1" ht="20" hidden="1" customHeight="1" outlineLevel="1">
      <c r="A176" s="108" t="s">
        <v>573</v>
      </c>
      <c r="B176" s="73" t="s">
        <v>29</v>
      </c>
      <c r="C176" s="220"/>
      <c r="D176" s="221"/>
      <c r="E176" s="378" t="e">
        <f>IF((#REF!-C176)/(D176-C176)&lt;0,0,IF((#REF!-C176)/(D176-C176)&gt;100%,100%,(#REF!-C176)/(D176-C176)))</f>
        <v>#REF!</v>
      </c>
      <c r="F176" s="271"/>
      <c r="G176" s="221"/>
      <c r="H176" s="378" t="e">
        <f>IF((#REF!-F176)/(G176-F176)&lt;0,0,IF((#REF!-F176)/(G176-F176)&gt;100%,100%,(#REF!-F176)/(G176-F176)))</f>
        <v>#REF!</v>
      </c>
      <c r="I176" s="268" t="e">
        <f t="shared" si="50"/>
        <v>#REF!</v>
      </c>
      <c r="J176" s="55">
        <f t="shared" si="51"/>
        <v>0</v>
      </c>
      <c r="K176" s="56">
        <f t="shared" si="51"/>
        <v>0</v>
      </c>
      <c r="L176" s="55">
        <f t="shared" si="51"/>
        <v>0</v>
      </c>
      <c r="M176" s="55">
        <f t="shared" si="51"/>
        <v>0</v>
      </c>
      <c r="N176" s="55">
        <f t="shared" si="51"/>
        <v>0</v>
      </c>
      <c r="O176" s="55">
        <f t="shared" si="51"/>
        <v>0</v>
      </c>
      <c r="P176" s="55">
        <f t="shared" si="51"/>
        <v>0</v>
      </c>
      <c r="Q176" s="55">
        <f t="shared" si="51"/>
        <v>0</v>
      </c>
      <c r="R176" s="55">
        <f t="shared" si="51"/>
        <v>0</v>
      </c>
      <c r="S176" s="55">
        <f t="shared" si="51"/>
        <v>0</v>
      </c>
      <c r="T176" s="55">
        <f t="shared" si="52"/>
        <v>0</v>
      </c>
      <c r="U176" s="55">
        <f t="shared" si="52"/>
        <v>0</v>
      </c>
      <c r="V176" s="55">
        <f t="shared" si="52"/>
        <v>0</v>
      </c>
      <c r="W176" s="56">
        <f t="shared" si="52"/>
        <v>0</v>
      </c>
      <c r="X176" s="57">
        <f t="shared" si="52"/>
        <v>0</v>
      </c>
      <c r="Y176" s="55">
        <f t="shared" si="52"/>
        <v>0</v>
      </c>
      <c r="Z176" s="55">
        <f t="shared" si="52"/>
        <v>0</v>
      </c>
      <c r="AA176" s="55">
        <f t="shared" si="52"/>
        <v>0</v>
      </c>
      <c r="AB176" s="55">
        <f t="shared" si="52"/>
        <v>0</v>
      </c>
      <c r="AC176" s="55">
        <f t="shared" si="52"/>
        <v>0</v>
      </c>
      <c r="AD176" s="55">
        <f t="shared" si="32"/>
        <v>0</v>
      </c>
      <c r="AE176" s="55">
        <f t="shared" si="32"/>
        <v>0</v>
      </c>
      <c r="AF176" s="55">
        <f t="shared" si="32"/>
        <v>0</v>
      </c>
      <c r="AG176" s="55">
        <f t="shared" si="32"/>
        <v>0</v>
      </c>
      <c r="AH176" s="55">
        <f t="shared" si="32"/>
        <v>0</v>
      </c>
      <c r="AI176" s="56">
        <f t="shared" si="32"/>
        <v>0</v>
      </c>
      <c r="AJ176" s="74"/>
      <c r="AK176" s="74"/>
      <c r="AL176" s="75"/>
    </row>
    <row r="177" spans="1:38" s="30" customFormat="1" ht="29.5" hidden="1" customHeight="1" outlineLevel="1" collapsed="1">
      <c r="A177" s="160" t="s">
        <v>574</v>
      </c>
      <c r="B177" s="72" t="s">
        <v>30</v>
      </c>
      <c r="C177" s="228"/>
      <c r="D177" s="229"/>
      <c r="E177" s="381" t="e">
        <f>IF((#REF!-C177)/(D177-C177)&lt;0,0,IF((#REF!-C177)/(D177-C177)&gt;100%,100%,(#REF!-C177)/(D177-C177)))</f>
        <v>#REF!</v>
      </c>
      <c r="F177" s="270"/>
      <c r="G177" s="272"/>
      <c r="H177" s="381" t="e">
        <f>IF((#REF!-F177)/(G177-F177)&lt;0,0,IF((#REF!-F177)/(G177-F177)&gt;100%,100%,(#REF!-F177)/(G177-F177)))</f>
        <v>#REF!</v>
      </c>
      <c r="I177" s="268" t="e">
        <f t="shared" si="50"/>
        <v>#REF!</v>
      </c>
      <c r="J177" s="49">
        <f t="shared" ref="J177:S186" si="53">+IF(J$3&gt;=$C177,IF(J$3&lt;=$D177,1,0),0)</f>
        <v>0</v>
      </c>
      <c r="K177" s="50">
        <f t="shared" si="53"/>
        <v>0</v>
      </c>
      <c r="L177" s="49">
        <f t="shared" si="53"/>
        <v>0</v>
      </c>
      <c r="M177" s="49">
        <f t="shared" si="53"/>
        <v>0</v>
      </c>
      <c r="N177" s="49">
        <f t="shared" si="53"/>
        <v>0</v>
      </c>
      <c r="O177" s="49">
        <f t="shared" si="53"/>
        <v>0</v>
      </c>
      <c r="P177" s="49">
        <f t="shared" si="53"/>
        <v>0</v>
      </c>
      <c r="Q177" s="49">
        <f t="shared" si="53"/>
        <v>0</v>
      </c>
      <c r="R177" s="49">
        <f t="shared" si="53"/>
        <v>0</v>
      </c>
      <c r="S177" s="49">
        <f t="shared" si="53"/>
        <v>0</v>
      </c>
      <c r="T177" s="49">
        <f t="shared" ref="T177:AC186" si="54">+IF(T$3&gt;=$C177,IF(T$3&lt;=$D177,1,0),0)</f>
        <v>0</v>
      </c>
      <c r="U177" s="49">
        <f t="shared" si="54"/>
        <v>0</v>
      </c>
      <c r="V177" s="49">
        <f t="shared" si="54"/>
        <v>0</v>
      </c>
      <c r="W177" s="50">
        <f t="shared" si="54"/>
        <v>0</v>
      </c>
      <c r="X177" s="51">
        <f t="shared" si="54"/>
        <v>0</v>
      </c>
      <c r="Y177" s="49">
        <f t="shared" si="54"/>
        <v>0</v>
      </c>
      <c r="Z177" s="49">
        <f t="shared" si="54"/>
        <v>0</v>
      </c>
      <c r="AA177" s="49">
        <f t="shared" si="54"/>
        <v>0</v>
      </c>
      <c r="AB177" s="49">
        <f t="shared" si="54"/>
        <v>0</v>
      </c>
      <c r="AC177" s="49">
        <f t="shared" si="54"/>
        <v>0</v>
      </c>
      <c r="AD177" s="49">
        <f t="shared" si="32"/>
        <v>0</v>
      </c>
      <c r="AE177" s="49">
        <f t="shared" si="32"/>
        <v>0</v>
      </c>
      <c r="AF177" s="49">
        <f t="shared" si="32"/>
        <v>0</v>
      </c>
      <c r="AG177" s="49">
        <f t="shared" si="32"/>
        <v>0</v>
      </c>
      <c r="AH177" s="49">
        <f t="shared" si="32"/>
        <v>0</v>
      </c>
      <c r="AI177" s="50">
        <f t="shared" si="32"/>
        <v>0</v>
      </c>
      <c r="AJ177" s="52"/>
      <c r="AK177" s="52"/>
      <c r="AL177" s="53"/>
    </row>
    <row r="178" spans="1:38" s="30" customFormat="1" ht="31.75" hidden="1" customHeight="1" outlineLevel="2">
      <c r="A178" s="108" t="s">
        <v>575</v>
      </c>
      <c r="B178" s="73" t="s">
        <v>31</v>
      </c>
      <c r="C178" s="228"/>
      <c r="D178" s="229"/>
      <c r="E178" s="381" t="e">
        <f>IF((#REF!-C178)/(D178-C178)&lt;0,0,IF((#REF!-C178)/(D178-C178)&gt;100%,100%,(#REF!-C178)/(D178-C178)))</f>
        <v>#REF!</v>
      </c>
      <c r="F178" s="270"/>
      <c r="G178" s="272"/>
      <c r="H178" s="381" t="e">
        <f>IF((#REF!-F178)/(G178-F178)&lt;0,0,IF((#REF!-F178)/(G178-F178)&gt;100%,100%,(#REF!-F178)/(G178-F178)))</f>
        <v>#REF!</v>
      </c>
      <c r="I178" s="268" t="e">
        <f t="shared" si="50"/>
        <v>#REF!</v>
      </c>
      <c r="J178" s="55">
        <f t="shared" si="53"/>
        <v>0</v>
      </c>
      <c r="K178" s="56">
        <f t="shared" si="53"/>
        <v>0</v>
      </c>
      <c r="L178" s="55">
        <f t="shared" si="53"/>
        <v>0</v>
      </c>
      <c r="M178" s="55">
        <f t="shared" si="53"/>
        <v>0</v>
      </c>
      <c r="N178" s="55">
        <f t="shared" si="53"/>
        <v>0</v>
      </c>
      <c r="O178" s="55">
        <f t="shared" si="53"/>
        <v>0</v>
      </c>
      <c r="P178" s="55">
        <f t="shared" si="53"/>
        <v>0</v>
      </c>
      <c r="Q178" s="55">
        <f t="shared" si="53"/>
        <v>0</v>
      </c>
      <c r="R178" s="55">
        <f t="shared" si="53"/>
        <v>0</v>
      </c>
      <c r="S178" s="55">
        <f t="shared" si="53"/>
        <v>0</v>
      </c>
      <c r="T178" s="55">
        <f t="shared" si="54"/>
        <v>0</v>
      </c>
      <c r="U178" s="55">
        <f t="shared" si="54"/>
        <v>0</v>
      </c>
      <c r="V178" s="55">
        <f t="shared" si="54"/>
        <v>0</v>
      </c>
      <c r="W178" s="56">
        <f t="shared" si="54"/>
        <v>0</v>
      </c>
      <c r="X178" s="57">
        <f t="shared" si="54"/>
        <v>0</v>
      </c>
      <c r="Y178" s="55">
        <f t="shared" si="54"/>
        <v>0</v>
      </c>
      <c r="Z178" s="55">
        <f t="shared" si="54"/>
        <v>0</v>
      </c>
      <c r="AA178" s="55">
        <f t="shared" si="54"/>
        <v>0</v>
      </c>
      <c r="AB178" s="55">
        <f t="shared" si="54"/>
        <v>0</v>
      </c>
      <c r="AC178" s="55">
        <f t="shared" si="54"/>
        <v>0</v>
      </c>
      <c r="AD178" s="55">
        <f t="shared" si="32"/>
        <v>0</v>
      </c>
      <c r="AE178" s="55">
        <f t="shared" si="32"/>
        <v>0</v>
      </c>
      <c r="AF178" s="55">
        <f t="shared" si="32"/>
        <v>0</v>
      </c>
      <c r="AG178" s="55">
        <f t="shared" si="32"/>
        <v>0</v>
      </c>
      <c r="AH178" s="55">
        <f t="shared" si="32"/>
        <v>0</v>
      </c>
      <c r="AI178" s="56">
        <f t="shared" si="32"/>
        <v>0</v>
      </c>
      <c r="AJ178" s="74"/>
      <c r="AK178" s="74"/>
      <c r="AL178" s="75"/>
    </row>
    <row r="179" spans="1:38" s="30" customFormat="1" ht="27.5" hidden="1" customHeight="1" outlineLevel="2">
      <c r="A179" s="108" t="s">
        <v>576</v>
      </c>
      <c r="B179" s="76" t="s">
        <v>32</v>
      </c>
      <c r="C179" s="228"/>
      <c r="D179" s="229"/>
      <c r="E179" s="381" t="e">
        <f>IF((#REF!-C179)/(D179-C179)&lt;0,0,IF((#REF!-C179)/(D179-C179)&gt;100%,100%,(#REF!-C179)/(D179-C179)))</f>
        <v>#REF!</v>
      </c>
      <c r="F179" s="270"/>
      <c r="G179" s="229"/>
      <c r="H179" s="381" t="e">
        <f>IF((#REF!-F179)/(G179-F179)&lt;0,0,IF((#REF!-F179)/(G179-F179)&gt;100%,100%,(#REF!-F179)/(G179-F179)))</f>
        <v>#REF!</v>
      </c>
      <c r="I179" s="268" t="e">
        <f t="shared" si="50"/>
        <v>#REF!</v>
      </c>
      <c r="J179" s="55">
        <f t="shared" si="53"/>
        <v>0</v>
      </c>
      <c r="K179" s="56">
        <f t="shared" si="53"/>
        <v>0</v>
      </c>
      <c r="L179" s="55">
        <f t="shared" si="53"/>
        <v>0</v>
      </c>
      <c r="M179" s="55">
        <f t="shared" si="53"/>
        <v>0</v>
      </c>
      <c r="N179" s="55">
        <f t="shared" si="53"/>
        <v>0</v>
      </c>
      <c r="O179" s="55">
        <f t="shared" si="53"/>
        <v>0</v>
      </c>
      <c r="P179" s="55">
        <f t="shared" si="53"/>
        <v>0</v>
      </c>
      <c r="Q179" s="55">
        <f t="shared" si="53"/>
        <v>0</v>
      </c>
      <c r="R179" s="55">
        <f t="shared" si="53"/>
        <v>0</v>
      </c>
      <c r="S179" s="55">
        <f t="shared" si="53"/>
        <v>0</v>
      </c>
      <c r="T179" s="55">
        <f t="shared" si="54"/>
        <v>0</v>
      </c>
      <c r="U179" s="55">
        <f t="shared" si="54"/>
        <v>0</v>
      </c>
      <c r="V179" s="55">
        <f t="shared" si="54"/>
        <v>0</v>
      </c>
      <c r="W179" s="56">
        <f t="shared" si="54"/>
        <v>0</v>
      </c>
      <c r="X179" s="57">
        <f t="shared" si="54"/>
        <v>0</v>
      </c>
      <c r="Y179" s="55">
        <f t="shared" si="54"/>
        <v>0</v>
      </c>
      <c r="Z179" s="55">
        <f t="shared" si="54"/>
        <v>0</v>
      </c>
      <c r="AA179" s="55">
        <f t="shared" si="54"/>
        <v>0</v>
      </c>
      <c r="AB179" s="55">
        <f t="shared" si="54"/>
        <v>0</v>
      </c>
      <c r="AC179" s="55">
        <f t="shared" si="54"/>
        <v>0</v>
      </c>
      <c r="AD179" s="55">
        <f t="shared" si="32"/>
        <v>0</v>
      </c>
      <c r="AE179" s="55">
        <f t="shared" si="32"/>
        <v>0</v>
      </c>
      <c r="AF179" s="55">
        <f t="shared" si="32"/>
        <v>0</v>
      </c>
      <c r="AG179" s="55">
        <f t="shared" si="32"/>
        <v>0</v>
      </c>
      <c r="AH179" s="55">
        <f t="shared" si="32"/>
        <v>0</v>
      </c>
      <c r="AI179" s="56">
        <f t="shared" si="32"/>
        <v>0</v>
      </c>
      <c r="AJ179" s="62"/>
      <c r="AK179" s="62"/>
      <c r="AL179" s="63"/>
    </row>
    <row r="180" spans="1:38" s="30" customFormat="1" ht="20" hidden="1" customHeight="1" outlineLevel="2">
      <c r="A180" s="108" t="s">
        <v>577</v>
      </c>
      <c r="B180" s="73" t="s">
        <v>33</v>
      </c>
      <c r="C180" s="228"/>
      <c r="D180" s="229"/>
      <c r="E180" s="381" t="e">
        <f>IF((#REF!-C180)/(D180-C180)&lt;0,0,IF((#REF!-C180)/(D180-C180)&gt;100%,100%,(#REF!-C180)/(D180-C180)))</f>
        <v>#REF!</v>
      </c>
      <c r="F180" s="270"/>
      <c r="G180" s="229"/>
      <c r="H180" s="381" t="e">
        <f>IF((#REF!-F180)/(G180-F180)&lt;0,0,IF((#REF!-F180)/(G180-F180)&gt;100%,100%,(#REF!-F180)/(G180-F180)))</f>
        <v>#REF!</v>
      </c>
      <c r="I180" s="268" t="e">
        <f t="shared" si="50"/>
        <v>#REF!</v>
      </c>
      <c r="J180" s="55">
        <f t="shared" si="53"/>
        <v>0</v>
      </c>
      <c r="K180" s="56">
        <f t="shared" si="53"/>
        <v>0</v>
      </c>
      <c r="L180" s="55">
        <f t="shared" si="53"/>
        <v>0</v>
      </c>
      <c r="M180" s="55">
        <f t="shared" si="53"/>
        <v>0</v>
      </c>
      <c r="N180" s="55">
        <f t="shared" si="53"/>
        <v>0</v>
      </c>
      <c r="O180" s="55">
        <f t="shared" si="53"/>
        <v>0</v>
      </c>
      <c r="P180" s="55">
        <f t="shared" si="53"/>
        <v>0</v>
      </c>
      <c r="Q180" s="55">
        <f t="shared" si="53"/>
        <v>0</v>
      </c>
      <c r="R180" s="55">
        <f t="shared" si="53"/>
        <v>0</v>
      </c>
      <c r="S180" s="55">
        <f t="shared" si="53"/>
        <v>0</v>
      </c>
      <c r="T180" s="55">
        <f t="shared" si="54"/>
        <v>0</v>
      </c>
      <c r="U180" s="55">
        <f t="shared" si="54"/>
        <v>0</v>
      </c>
      <c r="V180" s="55">
        <f t="shared" si="54"/>
        <v>0</v>
      </c>
      <c r="W180" s="56">
        <f t="shared" si="54"/>
        <v>0</v>
      </c>
      <c r="X180" s="57">
        <f t="shared" si="54"/>
        <v>0</v>
      </c>
      <c r="Y180" s="55">
        <f t="shared" si="54"/>
        <v>0</v>
      </c>
      <c r="Z180" s="55">
        <f t="shared" si="54"/>
        <v>0</v>
      </c>
      <c r="AA180" s="55">
        <f t="shared" si="54"/>
        <v>0</v>
      </c>
      <c r="AB180" s="55">
        <f t="shared" si="54"/>
        <v>0</v>
      </c>
      <c r="AC180" s="55">
        <f t="shared" si="54"/>
        <v>0</v>
      </c>
      <c r="AD180" s="55">
        <f t="shared" si="32"/>
        <v>0</v>
      </c>
      <c r="AE180" s="55">
        <f t="shared" si="32"/>
        <v>0</v>
      </c>
      <c r="AF180" s="55">
        <f t="shared" si="32"/>
        <v>0</v>
      </c>
      <c r="AG180" s="55">
        <f t="shared" si="32"/>
        <v>0</v>
      </c>
      <c r="AH180" s="55">
        <f t="shared" si="32"/>
        <v>0</v>
      </c>
      <c r="AI180" s="56">
        <f t="shared" si="32"/>
        <v>0</v>
      </c>
      <c r="AJ180" s="74"/>
      <c r="AK180" s="74"/>
      <c r="AL180" s="75"/>
    </row>
    <row r="181" spans="1:38" s="30" customFormat="1" ht="20" hidden="1" customHeight="1" outlineLevel="2">
      <c r="A181" s="108" t="s">
        <v>578</v>
      </c>
      <c r="B181" s="73" t="s">
        <v>34</v>
      </c>
      <c r="C181" s="228"/>
      <c r="D181" s="229"/>
      <c r="E181" s="381" t="e">
        <f>IF((#REF!-C181)/(D181-C181)&lt;0,0,IF((#REF!-C181)/(D181-C181)&gt;100%,100%,(#REF!-C181)/(D181-C181)))</f>
        <v>#REF!</v>
      </c>
      <c r="F181" s="270"/>
      <c r="G181" s="272"/>
      <c r="H181" s="381" t="e">
        <f>IF((#REF!-F181)/(G181-F181)&lt;0,0,IF((#REF!-F181)/(G181-F181)&gt;100%,100%,(#REF!-F181)/(G181-F181)))</f>
        <v>#REF!</v>
      </c>
      <c r="I181" s="268" t="e">
        <f t="shared" si="50"/>
        <v>#REF!</v>
      </c>
      <c r="J181" s="55">
        <f t="shared" si="53"/>
        <v>0</v>
      </c>
      <c r="K181" s="56">
        <f t="shared" si="53"/>
        <v>0</v>
      </c>
      <c r="L181" s="55">
        <f t="shared" si="53"/>
        <v>0</v>
      </c>
      <c r="M181" s="55">
        <f t="shared" si="53"/>
        <v>0</v>
      </c>
      <c r="N181" s="55">
        <f t="shared" si="53"/>
        <v>0</v>
      </c>
      <c r="O181" s="55">
        <f t="shared" si="53"/>
        <v>0</v>
      </c>
      <c r="P181" s="55">
        <f t="shared" si="53"/>
        <v>0</v>
      </c>
      <c r="Q181" s="55">
        <f t="shared" si="53"/>
        <v>0</v>
      </c>
      <c r="R181" s="55">
        <f t="shared" si="53"/>
        <v>0</v>
      </c>
      <c r="S181" s="55">
        <f t="shared" si="53"/>
        <v>0</v>
      </c>
      <c r="T181" s="55">
        <f t="shared" si="54"/>
        <v>0</v>
      </c>
      <c r="U181" s="55">
        <f t="shared" si="54"/>
        <v>0</v>
      </c>
      <c r="V181" s="55">
        <f t="shared" si="54"/>
        <v>0</v>
      </c>
      <c r="W181" s="56">
        <f t="shared" si="54"/>
        <v>0</v>
      </c>
      <c r="X181" s="57">
        <f t="shared" si="54"/>
        <v>0</v>
      </c>
      <c r="Y181" s="55">
        <f t="shared" si="54"/>
        <v>0</v>
      </c>
      <c r="Z181" s="55">
        <f t="shared" si="54"/>
        <v>0</v>
      </c>
      <c r="AA181" s="55">
        <f t="shared" si="54"/>
        <v>0</v>
      </c>
      <c r="AB181" s="55">
        <f t="shared" si="54"/>
        <v>0</v>
      </c>
      <c r="AC181" s="55">
        <f t="shared" si="54"/>
        <v>0</v>
      </c>
      <c r="AD181" s="55">
        <f t="shared" si="32"/>
        <v>0</v>
      </c>
      <c r="AE181" s="55">
        <f t="shared" si="32"/>
        <v>0</v>
      </c>
      <c r="AF181" s="55">
        <f t="shared" si="32"/>
        <v>0</v>
      </c>
      <c r="AG181" s="55">
        <f t="shared" si="32"/>
        <v>0</v>
      </c>
      <c r="AH181" s="55">
        <f t="shared" si="32"/>
        <v>0</v>
      </c>
      <c r="AI181" s="56">
        <f t="shared" si="32"/>
        <v>0</v>
      </c>
      <c r="AJ181" s="74"/>
      <c r="AK181" s="74"/>
      <c r="AL181" s="75"/>
    </row>
    <row r="182" spans="1:38" s="30" customFormat="1" ht="26.5" hidden="1" customHeight="1" outlineLevel="2">
      <c r="A182" s="437" t="s">
        <v>579</v>
      </c>
      <c r="B182" s="73" t="s">
        <v>35</v>
      </c>
      <c r="C182" s="228"/>
      <c r="D182" s="229"/>
      <c r="E182" s="381" t="e">
        <f>IF((#REF!-C182)/(D182-C182)&lt;0,0,IF((#REF!-C182)/(D182-C182)&gt;100%,100%,(#REF!-C182)/(D182-C182)))</f>
        <v>#REF!</v>
      </c>
      <c r="F182" s="270"/>
      <c r="G182" s="272"/>
      <c r="H182" s="381" t="e">
        <f>IF((#REF!-F182)/(G182-F182)&lt;0,0,IF((#REF!-F182)/(G182-F182)&gt;100%,100%,(#REF!-F182)/(G182-F182)))</f>
        <v>#REF!</v>
      </c>
      <c r="I182" s="268" t="e">
        <f t="shared" si="50"/>
        <v>#REF!</v>
      </c>
      <c r="J182" s="55">
        <f t="shared" si="53"/>
        <v>0</v>
      </c>
      <c r="K182" s="56">
        <f t="shared" si="53"/>
        <v>0</v>
      </c>
      <c r="L182" s="55">
        <f t="shared" si="53"/>
        <v>0</v>
      </c>
      <c r="M182" s="55">
        <f t="shared" si="53"/>
        <v>0</v>
      </c>
      <c r="N182" s="55">
        <f t="shared" si="53"/>
        <v>0</v>
      </c>
      <c r="O182" s="55">
        <f t="shared" si="53"/>
        <v>0</v>
      </c>
      <c r="P182" s="55">
        <f t="shared" si="53"/>
        <v>0</v>
      </c>
      <c r="Q182" s="55">
        <f t="shared" si="53"/>
        <v>0</v>
      </c>
      <c r="R182" s="55">
        <f t="shared" si="53"/>
        <v>0</v>
      </c>
      <c r="S182" s="55">
        <f t="shared" si="53"/>
        <v>0</v>
      </c>
      <c r="T182" s="55">
        <f t="shared" si="54"/>
        <v>0</v>
      </c>
      <c r="U182" s="55">
        <f t="shared" si="54"/>
        <v>0</v>
      </c>
      <c r="V182" s="55">
        <f t="shared" si="54"/>
        <v>0</v>
      </c>
      <c r="W182" s="56">
        <f t="shared" si="54"/>
        <v>0</v>
      </c>
      <c r="X182" s="57">
        <f t="shared" si="54"/>
        <v>0</v>
      </c>
      <c r="Y182" s="55">
        <f t="shared" si="54"/>
        <v>0</v>
      </c>
      <c r="Z182" s="55">
        <f t="shared" si="54"/>
        <v>0</v>
      </c>
      <c r="AA182" s="55">
        <f t="shared" si="54"/>
        <v>0</v>
      </c>
      <c r="AB182" s="55">
        <f t="shared" si="54"/>
        <v>0</v>
      </c>
      <c r="AC182" s="55">
        <f t="shared" si="54"/>
        <v>0</v>
      </c>
      <c r="AD182" s="55">
        <f t="shared" si="32"/>
        <v>0</v>
      </c>
      <c r="AE182" s="55">
        <f t="shared" si="32"/>
        <v>0</v>
      </c>
      <c r="AF182" s="55">
        <f t="shared" si="32"/>
        <v>0</v>
      </c>
      <c r="AG182" s="55">
        <f t="shared" si="32"/>
        <v>0</v>
      </c>
      <c r="AH182" s="55">
        <f t="shared" si="32"/>
        <v>0</v>
      </c>
      <c r="AI182" s="56">
        <f t="shared" si="32"/>
        <v>0</v>
      </c>
      <c r="AJ182" s="74"/>
      <c r="AK182" s="74"/>
      <c r="AL182" s="75"/>
    </row>
    <row r="183" spans="1:38" s="30" customFormat="1" ht="28.25" hidden="1" customHeight="1" outlineLevel="2">
      <c r="A183" s="438"/>
      <c r="B183" s="73" t="s">
        <v>36</v>
      </c>
      <c r="C183" s="228"/>
      <c r="D183" s="229"/>
      <c r="E183" s="381" t="e">
        <f>IF((#REF!-C183)/(D183-C183)&lt;0,0,IF((#REF!-C183)/(D183-C183)&gt;100%,100%,(#REF!-C183)/(D183-C183)))</f>
        <v>#REF!</v>
      </c>
      <c r="F183" s="270"/>
      <c r="G183" s="272"/>
      <c r="H183" s="381" t="e">
        <f>IF((#REF!-F183)/(G183-F183)&lt;0,0,IF((#REF!-F183)/(G183-F183)&gt;100%,100%,(#REF!-F183)/(G183-F183)))</f>
        <v>#REF!</v>
      </c>
      <c r="I183" s="268" t="e">
        <f t="shared" si="50"/>
        <v>#REF!</v>
      </c>
      <c r="J183" s="55">
        <f t="shared" si="53"/>
        <v>0</v>
      </c>
      <c r="K183" s="56">
        <f t="shared" si="53"/>
        <v>0</v>
      </c>
      <c r="L183" s="55">
        <f t="shared" si="53"/>
        <v>0</v>
      </c>
      <c r="M183" s="55">
        <f t="shared" si="53"/>
        <v>0</v>
      </c>
      <c r="N183" s="55">
        <f t="shared" si="53"/>
        <v>0</v>
      </c>
      <c r="O183" s="55">
        <f t="shared" si="53"/>
        <v>0</v>
      </c>
      <c r="P183" s="55">
        <f t="shared" si="53"/>
        <v>0</v>
      </c>
      <c r="Q183" s="55">
        <f t="shared" si="53"/>
        <v>0</v>
      </c>
      <c r="R183" s="55">
        <f t="shared" si="53"/>
        <v>0</v>
      </c>
      <c r="S183" s="55">
        <f t="shared" si="53"/>
        <v>0</v>
      </c>
      <c r="T183" s="55">
        <f t="shared" si="54"/>
        <v>0</v>
      </c>
      <c r="U183" s="55">
        <f t="shared" si="54"/>
        <v>0</v>
      </c>
      <c r="V183" s="55">
        <f t="shared" si="54"/>
        <v>0</v>
      </c>
      <c r="W183" s="56">
        <f t="shared" si="54"/>
        <v>0</v>
      </c>
      <c r="X183" s="57">
        <f t="shared" si="54"/>
        <v>0</v>
      </c>
      <c r="Y183" s="55">
        <f t="shared" si="54"/>
        <v>0</v>
      </c>
      <c r="Z183" s="55">
        <f t="shared" si="54"/>
        <v>0</v>
      </c>
      <c r="AA183" s="55">
        <f t="shared" si="54"/>
        <v>0</v>
      </c>
      <c r="AB183" s="55">
        <f t="shared" si="54"/>
        <v>0</v>
      </c>
      <c r="AC183" s="55">
        <f t="shared" si="54"/>
        <v>0</v>
      </c>
      <c r="AD183" s="55">
        <f t="shared" si="32"/>
        <v>0</v>
      </c>
      <c r="AE183" s="55">
        <f t="shared" si="32"/>
        <v>0</v>
      </c>
      <c r="AF183" s="55">
        <f t="shared" si="32"/>
        <v>0</v>
      </c>
      <c r="AG183" s="55">
        <f t="shared" si="32"/>
        <v>0</v>
      </c>
      <c r="AH183" s="55">
        <f t="shared" si="32"/>
        <v>0</v>
      </c>
      <c r="AI183" s="56">
        <f t="shared" si="32"/>
        <v>0</v>
      </c>
      <c r="AJ183" s="74"/>
      <c r="AK183" s="74"/>
      <c r="AL183" s="75"/>
    </row>
    <row r="184" spans="1:38" s="30" customFormat="1" ht="56.5" hidden="1" customHeight="1" outlineLevel="2">
      <c r="A184" s="439"/>
      <c r="B184" s="73" t="s">
        <v>37</v>
      </c>
      <c r="C184" s="228"/>
      <c r="D184" s="229"/>
      <c r="E184" s="381" t="e">
        <f>IF((#REF!-C184)/(D184-C184)&lt;0,0,IF((#REF!-C184)/(D184-C184)&gt;100%,100%,(#REF!-C184)/(D184-C184)))</f>
        <v>#REF!</v>
      </c>
      <c r="F184" s="270"/>
      <c r="G184" s="272"/>
      <c r="H184" s="381" t="e">
        <f>IF((#REF!-F184)/(G184-F184)&lt;0,0,IF((#REF!-F184)/(G184-F184)&gt;100%,100%,(#REF!-F184)/(G184-F184)))</f>
        <v>#REF!</v>
      </c>
      <c r="I184" s="268" t="e">
        <f t="shared" si="50"/>
        <v>#REF!</v>
      </c>
      <c r="J184" s="55">
        <f t="shared" si="53"/>
        <v>0</v>
      </c>
      <c r="K184" s="56">
        <f t="shared" si="53"/>
        <v>0</v>
      </c>
      <c r="L184" s="55">
        <f t="shared" si="53"/>
        <v>0</v>
      </c>
      <c r="M184" s="55">
        <f t="shared" si="53"/>
        <v>0</v>
      </c>
      <c r="N184" s="55">
        <f t="shared" si="53"/>
        <v>0</v>
      </c>
      <c r="O184" s="55">
        <f t="shared" si="53"/>
        <v>0</v>
      </c>
      <c r="P184" s="55">
        <f t="shared" si="53"/>
        <v>0</v>
      </c>
      <c r="Q184" s="55">
        <f t="shared" si="53"/>
        <v>0</v>
      </c>
      <c r="R184" s="55">
        <f t="shared" si="53"/>
        <v>0</v>
      </c>
      <c r="S184" s="55">
        <f t="shared" si="53"/>
        <v>0</v>
      </c>
      <c r="T184" s="55">
        <f t="shared" si="54"/>
        <v>0</v>
      </c>
      <c r="U184" s="55">
        <f t="shared" si="54"/>
        <v>0</v>
      </c>
      <c r="V184" s="55">
        <f t="shared" si="54"/>
        <v>0</v>
      </c>
      <c r="W184" s="56">
        <f t="shared" si="54"/>
        <v>0</v>
      </c>
      <c r="X184" s="57">
        <f t="shared" si="54"/>
        <v>0</v>
      </c>
      <c r="Y184" s="55">
        <f t="shared" si="54"/>
        <v>0</v>
      </c>
      <c r="Z184" s="55">
        <f t="shared" si="54"/>
        <v>0</v>
      </c>
      <c r="AA184" s="55">
        <f t="shared" si="54"/>
        <v>0</v>
      </c>
      <c r="AB184" s="55">
        <f t="shared" si="54"/>
        <v>0</v>
      </c>
      <c r="AC184" s="55">
        <f t="shared" si="54"/>
        <v>0</v>
      </c>
      <c r="AD184" s="55">
        <f t="shared" si="32"/>
        <v>0</v>
      </c>
      <c r="AE184" s="55">
        <f t="shared" si="32"/>
        <v>0</v>
      </c>
      <c r="AF184" s="55">
        <f t="shared" si="32"/>
        <v>0</v>
      </c>
      <c r="AG184" s="55">
        <f t="shared" si="32"/>
        <v>0</v>
      </c>
      <c r="AH184" s="55">
        <f t="shared" si="32"/>
        <v>0</v>
      </c>
      <c r="AI184" s="56">
        <f t="shared" si="32"/>
        <v>0</v>
      </c>
      <c r="AJ184" s="74"/>
      <c r="AK184" s="74"/>
      <c r="AL184" s="75"/>
    </row>
    <row r="185" spans="1:38" s="30" customFormat="1" ht="27.5" hidden="1" customHeight="1" outlineLevel="1" collapsed="1">
      <c r="A185" s="109" t="s">
        <v>580</v>
      </c>
      <c r="B185" s="72" t="s">
        <v>38</v>
      </c>
      <c r="C185" s="228"/>
      <c r="D185" s="229"/>
      <c r="E185" s="381" t="e">
        <f>IF((#REF!-C185)/(D185-C185)&lt;0,0,IF((#REF!-C185)/(D185-C185)&gt;100%,100%,(#REF!-C185)/(D185-C185)))</f>
        <v>#REF!</v>
      </c>
      <c r="F185" s="270"/>
      <c r="G185" s="272"/>
      <c r="H185" s="381" t="e">
        <f>IF((#REF!-F185)/(G185-F185)&lt;0,0,IF((#REF!-F185)/(G185-F185)&gt;100%,100%,(#REF!-F185)/(G185-F185)))</f>
        <v>#REF!</v>
      </c>
      <c r="I185" s="268" t="e">
        <f t="shared" si="50"/>
        <v>#REF!</v>
      </c>
      <c r="J185" s="49">
        <f t="shared" si="53"/>
        <v>0</v>
      </c>
      <c r="K185" s="50">
        <f t="shared" si="53"/>
        <v>0</v>
      </c>
      <c r="L185" s="49">
        <f t="shared" si="53"/>
        <v>0</v>
      </c>
      <c r="M185" s="49">
        <f t="shared" si="53"/>
        <v>0</v>
      </c>
      <c r="N185" s="49">
        <f t="shared" si="53"/>
        <v>0</v>
      </c>
      <c r="O185" s="49">
        <f t="shared" si="53"/>
        <v>0</v>
      </c>
      <c r="P185" s="49">
        <f t="shared" si="53"/>
        <v>0</v>
      </c>
      <c r="Q185" s="49">
        <f t="shared" si="53"/>
        <v>0</v>
      </c>
      <c r="R185" s="49">
        <f t="shared" si="53"/>
        <v>0</v>
      </c>
      <c r="S185" s="49">
        <f t="shared" si="53"/>
        <v>0</v>
      </c>
      <c r="T185" s="49">
        <f t="shared" si="54"/>
        <v>0</v>
      </c>
      <c r="U185" s="49">
        <f t="shared" si="54"/>
        <v>0</v>
      </c>
      <c r="V185" s="49">
        <f t="shared" si="54"/>
        <v>0</v>
      </c>
      <c r="W185" s="50">
        <f t="shared" si="54"/>
        <v>0</v>
      </c>
      <c r="X185" s="51">
        <f t="shared" si="54"/>
        <v>0</v>
      </c>
      <c r="Y185" s="49">
        <f t="shared" si="54"/>
        <v>0</v>
      </c>
      <c r="Z185" s="49">
        <f t="shared" si="54"/>
        <v>0</v>
      </c>
      <c r="AA185" s="49">
        <f t="shared" si="54"/>
        <v>0</v>
      </c>
      <c r="AB185" s="49">
        <f t="shared" si="54"/>
        <v>0</v>
      </c>
      <c r="AC185" s="49">
        <f t="shared" si="54"/>
        <v>0</v>
      </c>
      <c r="AD185" s="49">
        <f t="shared" si="32"/>
        <v>0</v>
      </c>
      <c r="AE185" s="49">
        <f t="shared" si="32"/>
        <v>0</v>
      </c>
      <c r="AF185" s="49">
        <f t="shared" si="32"/>
        <v>0</v>
      </c>
      <c r="AG185" s="49">
        <f t="shared" si="32"/>
        <v>0</v>
      </c>
      <c r="AH185" s="49">
        <f t="shared" si="32"/>
        <v>0</v>
      </c>
      <c r="AI185" s="50">
        <f t="shared" si="32"/>
        <v>0</v>
      </c>
      <c r="AJ185" s="77"/>
      <c r="AK185" s="77"/>
      <c r="AL185" s="78"/>
    </row>
    <row r="186" spans="1:38" s="30" customFormat="1" ht="17.25" hidden="1" customHeight="1" outlineLevel="2">
      <c r="A186" s="108" t="s">
        <v>581</v>
      </c>
      <c r="B186" s="73" t="s">
        <v>33</v>
      </c>
      <c r="C186" s="228"/>
      <c r="D186" s="229"/>
      <c r="E186" s="381" t="e">
        <f>IF((#REF!-C186)/(D186-C186)&lt;0,0,IF((#REF!-C186)/(D186-C186)&gt;100%,100%,(#REF!-C186)/(D186-C186)))</f>
        <v>#REF!</v>
      </c>
      <c r="F186" s="270"/>
      <c r="G186" s="272"/>
      <c r="H186" s="381" t="e">
        <f>IF((#REF!-F186)/(G186-F186)&lt;0,0,IF((#REF!-F186)/(G186-F186)&gt;100%,100%,(#REF!-F186)/(G186-F186)))</f>
        <v>#REF!</v>
      </c>
      <c r="I186" s="268" t="e">
        <f t="shared" si="50"/>
        <v>#REF!</v>
      </c>
      <c r="J186" s="55">
        <f t="shared" si="53"/>
        <v>0</v>
      </c>
      <c r="K186" s="56">
        <f t="shared" si="53"/>
        <v>0</v>
      </c>
      <c r="L186" s="55">
        <f t="shared" si="53"/>
        <v>0</v>
      </c>
      <c r="M186" s="55">
        <f t="shared" si="53"/>
        <v>0</v>
      </c>
      <c r="N186" s="55">
        <f t="shared" si="53"/>
        <v>0</v>
      </c>
      <c r="O186" s="55">
        <f t="shared" si="53"/>
        <v>0</v>
      </c>
      <c r="P186" s="55">
        <f t="shared" si="53"/>
        <v>0</v>
      </c>
      <c r="Q186" s="55">
        <f t="shared" si="53"/>
        <v>0</v>
      </c>
      <c r="R186" s="55">
        <f t="shared" si="53"/>
        <v>0</v>
      </c>
      <c r="S186" s="55">
        <f t="shared" si="53"/>
        <v>0</v>
      </c>
      <c r="T186" s="55">
        <f t="shared" si="54"/>
        <v>0</v>
      </c>
      <c r="U186" s="55">
        <f t="shared" si="54"/>
        <v>0</v>
      </c>
      <c r="V186" s="55">
        <f t="shared" si="54"/>
        <v>0</v>
      </c>
      <c r="W186" s="56">
        <f t="shared" si="54"/>
        <v>0</v>
      </c>
      <c r="X186" s="57">
        <f t="shared" si="54"/>
        <v>0</v>
      </c>
      <c r="Y186" s="55">
        <f t="shared" si="54"/>
        <v>0</v>
      </c>
      <c r="Z186" s="55">
        <f t="shared" si="54"/>
        <v>0</v>
      </c>
      <c r="AA186" s="55">
        <f t="shared" si="54"/>
        <v>0</v>
      </c>
      <c r="AB186" s="55">
        <f t="shared" si="54"/>
        <v>0</v>
      </c>
      <c r="AC186" s="55">
        <f t="shared" si="54"/>
        <v>0</v>
      </c>
      <c r="AD186" s="55">
        <f t="shared" si="32"/>
        <v>0</v>
      </c>
      <c r="AE186" s="55">
        <f t="shared" si="32"/>
        <v>0</v>
      </c>
      <c r="AF186" s="55">
        <f t="shared" si="32"/>
        <v>0</v>
      </c>
      <c r="AG186" s="55">
        <f t="shared" si="32"/>
        <v>0</v>
      </c>
      <c r="AH186" s="55">
        <f t="shared" si="32"/>
        <v>0</v>
      </c>
      <c r="AI186" s="56">
        <f t="shared" si="32"/>
        <v>0</v>
      </c>
      <c r="AJ186" s="79"/>
      <c r="AK186" s="79"/>
      <c r="AL186" s="80"/>
    </row>
    <row r="187" spans="1:38" s="30" customFormat="1" ht="20.5" hidden="1" customHeight="1" outlineLevel="2">
      <c r="A187" s="437" t="s">
        <v>582</v>
      </c>
      <c r="B187" s="73" t="s">
        <v>34</v>
      </c>
      <c r="C187" s="228"/>
      <c r="D187" s="229"/>
      <c r="E187" s="381" t="e">
        <f>IF((#REF!-C187)/(D187-C187)&lt;0,0,IF((#REF!-C187)/(D187-C187)&gt;100%,100%,(#REF!-C187)/(D187-C187)))</f>
        <v>#REF!</v>
      </c>
      <c r="F187" s="270"/>
      <c r="G187" s="272"/>
      <c r="H187" s="381" t="e">
        <f>IF((#REF!-F187)/(G187-F187)&lt;0,0,IF((#REF!-F187)/(G187-F187)&gt;100%,100%,(#REF!-F187)/(G187-F187)))</f>
        <v>#REF!</v>
      </c>
      <c r="I187" s="268" t="e">
        <f t="shared" si="50"/>
        <v>#REF!</v>
      </c>
      <c r="J187" s="55">
        <f t="shared" ref="J187:S196" si="55">+IF(J$3&gt;=$C187,IF(J$3&lt;=$D187,1,0),0)</f>
        <v>0</v>
      </c>
      <c r="K187" s="56">
        <f t="shared" si="55"/>
        <v>0</v>
      </c>
      <c r="L187" s="55">
        <f t="shared" si="55"/>
        <v>0</v>
      </c>
      <c r="M187" s="55">
        <f t="shared" si="55"/>
        <v>0</v>
      </c>
      <c r="N187" s="55">
        <f t="shared" si="55"/>
        <v>0</v>
      </c>
      <c r="O187" s="55">
        <f t="shared" si="55"/>
        <v>0</v>
      </c>
      <c r="P187" s="55">
        <f t="shared" si="55"/>
        <v>0</v>
      </c>
      <c r="Q187" s="55">
        <f t="shared" si="55"/>
        <v>0</v>
      </c>
      <c r="R187" s="55">
        <f t="shared" si="55"/>
        <v>0</v>
      </c>
      <c r="S187" s="55">
        <f t="shared" si="55"/>
        <v>0</v>
      </c>
      <c r="T187" s="55">
        <f t="shared" ref="T187:AC196" si="56">+IF(T$3&gt;=$C187,IF(T$3&lt;=$D187,1,0),0)</f>
        <v>0</v>
      </c>
      <c r="U187" s="55">
        <f t="shared" si="56"/>
        <v>0</v>
      </c>
      <c r="V187" s="55">
        <f t="shared" si="56"/>
        <v>0</v>
      </c>
      <c r="W187" s="56">
        <f t="shared" si="56"/>
        <v>0</v>
      </c>
      <c r="X187" s="57">
        <f t="shared" si="56"/>
        <v>0</v>
      </c>
      <c r="Y187" s="55">
        <f t="shared" si="56"/>
        <v>0</v>
      </c>
      <c r="Z187" s="55">
        <f t="shared" si="56"/>
        <v>0</v>
      </c>
      <c r="AA187" s="55">
        <f t="shared" si="56"/>
        <v>0</v>
      </c>
      <c r="AB187" s="55">
        <f t="shared" si="56"/>
        <v>0</v>
      </c>
      <c r="AC187" s="55">
        <f t="shared" si="56"/>
        <v>0</v>
      </c>
      <c r="AD187" s="55">
        <f t="shared" si="32"/>
        <v>0</v>
      </c>
      <c r="AE187" s="55">
        <f t="shared" si="32"/>
        <v>0</v>
      </c>
      <c r="AF187" s="55">
        <f t="shared" si="32"/>
        <v>0</v>
      </c>
      <c r="AG187" s="55">
        <f t="shared" si="32"/>
        <v>0</v>
      </c>
      <c r="AH187" s="55">
        <f t="shared" si="32"/>
        <v>0</v>
      </c>
      <c r="AI187" s="56">
        <f t="shared" si="32"/>
        <v>0</v>
      </c>
      <c r="AJ187" s="74"/>
      <c r="AK187" s="74"/>
      <c r="AL187" s="75"/>
    </row>
    <row r="188" spans="1:38" s="30" customFormat="1" ht="31.25" hidden="1" customHeight="1" outlineLevel="2">
      <c r="A188" s="438"/>
      <c r="B188" s="73" t="s">
        <v>39</v>
      </c>
      <c r="C188" s="228"/>
      <c r="D188" s="229"/>
      <c r="E188" s="381" t="e">
        <f>IF((#REF!-C188)/(D188-C188)&lt;0,0,IF((#REF!-C188)/(D188-C188)&gt;100%,100%,(#REF!-C188)/(D188-C188)))</f>
        <v>#REF!</v>
      </c>
      <c r="F188" s="270"/>
      <c r="G188" s="272"/>
      <c r="H188" s="381" t="e">
        <f>IF((#REF!-F188)/(G188-F188)&lt;0,0,IF((#REF!-F188)/(G188-F188)&gt;100%,100%,(#REF!-F188)/(G188-F188)))</f>
        <v>#REF!</v>
      </c>
      <c r="I188" s="268" t="e">
        <f t="shared" si="50"/>
        <v>#REF!</v>
      </c>
      <c r="J188" s="55">
        <f t="shared" si="55"/>
        <v>0</v>
      </c>
      <c r="K188" s="56">
        <f t="shared" si="55"/>
        <v>0</v>
      </c>
      <c r="L188" s="55">
        <f t="shared" si="55"/>
        <v>0</v>
      </c>
      <c r="M188" s="55">
        <f t="shared" si="55"/>
        <v>0</v>
      </c>
      <c r="N188" s="55">
        <f t="shared" si="55"/>
        <v>0</v>
      </c>
      <c r="O188" s="55">
        <f t="shared" si="55"/>
        <v>0</v>
      </c>
      <c r="P188" s="55">
        <f t="shared" si="55"/>
        <v>0</v>
      </c>
      <c r="Q188" s="55">
        <f t="shared" si="55"/>
        <v>0</v>
      </c>
      <c r="R188" s="55">
        <f t="shared" si="55"/>
        <v>0</v>
      </c>
      <c r="S188" s="55">
        <f t="shared" si="55"/>
        <v>0</v>
      </c>
      <c r="T188" s="55">
        <f t="shared" si="56"/>
        <v>0</v>
      </c>
      <c r="U188" s="55">
        <f t="shared" si="56"/>
        <v>0</v>
      </c>
      <c r="V188" s="55">
        <f t="shared" si="56"/>
        <v>0</v>
      </c>
      <c r="W188" s="56">
        <f t="shared" si="56"/>
        <v>0</v>
      </c>
      <c r="X188" s="57">
        <f t="shared" si="56"/>
        <v>0</v>
      </c>
      <c r="Y188" s="55">
        <f t="shared" si="56"/>
        <v>0</v>
      </c>
      <c r="Z188" s="55">
        <f t="shared" si="56"/>
        <v>0</v>
      </c>
      <c r="AA188" s="55">
        <f t="shared" si="56"/>
        <v>0</v>
      </c>
      <c r="AB188" s="55">
        <f t="shared" si="56"/>
        <v>0</v>
      </c>
      <c r="AC188" s="55">
        <f t="shared" si="56"/>
        <v>0</v>
      </c>
      <c r="AD188" s="55">
        <f t="shared" si="32"/>
        <v>0</v>
      </c>
      <c r="AE188" s="55">
        <f t="shared" si="32"/>
        <v>0</v>
      </c>
      <c r="AF188" s="55">
        <f t="shared" si="32"/>
        <v>0</v>
      </c>
      <c r="AG188" s="55">
        <f t="shared" si="32"/>
        <v>0</v>
      </c>
      <c r="AH188" s="55">
        <f t="shared" si="32"/>
        <v>0</v>
      </c>
      <c r="AI188" s="56">
        <f t="shared" si="32"/>
        <v>0</v>
      </c>
      <c r="AJ188" s="74"/>
      <c r="AK188" s="74"/>
      <c r="AL188" s="75"/>
    </row>
    <row r="189" spans="1:38" s="30" customFormat="1" ht="30" hidden="1" outlineLevel="2">
      <c r="A189" s="438"/>
      <c r="B189" s="73" t="s">
        <v>40</v>
      </c>
      <c r="C189" s="228"/>
      <c r="D189" s="229"/>
      <c r="E189" s="381" t="e">
        <f>IF((#REF!-C189)/(D189-C189)&lt;0,0,IF((#REF!-C189)/(D189-C189)&gt;100%,100%,(#REF!-C189)/(D189-C189)))</f>
        <v>#REF!</v>
      </c>
      <c r="F189" s="270"/>
      <c r="G189" s="229"/>
      <c r="H189" s="381" t="e">
        <f>IF((#REF!-F189)/(G189-F189)&lt;0,0,IF((#REF!-F189)/(G189-F189)&gt;100%,100%,(#REF!-F189)/(G189-F189)))</f>
        <v>#REF!</v>
      </c>
      <c r="I189" s="268" t="e">
        <f t="shared" si="50"/>
        <v>#REF!</v>
      </c>
      <c r="J189" s="55">
        <f t="shared" si="55"/>
        <v>0</v>
      </c>
      <c r="K189" s="56">
        <f t="shared" si="55"/>
        <v>0</v>
      </c>
      <c r="L189" s="55">
        <f t="shared" si="55"/>
        <v>0</v>
      </c>
      <c r="M189" s="55">
        <f t="shared" si="55"/>
        <v>0</v>
      </c>
      <c r="N189" s="55">
        <f t="shared" si="55"/>
        <v>0</v>
      </c>
      <c r="O189" s="55">
        <f t="shared" si="55"/>
        <v>0</v>
      </c>
      <c r="P189" s="55">
        <f t="shared" si="55"/>
        <v>0</v>
      </c>
      <c r="Q189" s="55">
        <f t="shared" si="55"/>
        <v>0</v>
      </c>
      <c r="R189" s="55">
        <f t="shared" si="55"/>
        <v>0</v>
      </c>
      <c r="S189" s="55">
        <f t="shared" si="55"/>
        <v>0</v>
      </c>
      <c r="T189" s="55">
        <f t="shared" si="56"/>
        <v>0</v>
      </c>
      <c r="U189" s="55">
        <f t="shared" si="56"/>
        <v>0</v>
      </c>
      <c r="V189" s="55">
        <f t="shared" si="56"/>
        <v>0</v>
      </c>
      <c r="W189" s="56">
        <f t="shared" si="56"/>
        <v>0</v>
      </c>
      <c r="X189" s="57">
        <f t="shared" si="56"/>
        <v>0</v>
      </c>
      <c r="Y189" s="55">
        <f t="shared" si="56"/>
        <v>0</v>
      </c>
      <c r="Z189" s="55">
        <f t="shared" si="56"/>
        <v>0</v>
      </c>
      <c r="AA189" s="55">
        <f t="shared" si="56"/>
        <v>0</v>
      </c>
      <c r="AB189" s="55">
        <f t="shared" si="56"/>
        <v>0</v>
      </c>
      <c r="AC189" s="55">
        <f t="shared" si="56"/>
        <v>0</v>
      </c>
      <c r="AD189" s="55">
        <f t="shared" si="32"/>
        <v>0</v>
      </c>
      <c r="AE189" s="55">
        <f t="shared" si="32"/>
        <v>0</v>
      </c>
      <c r="AF189" s="55">
        <f t="shared" si="32"/>
        <v>0</v>
      </c>
      <c r="AG189" s="55">
        <f t="shared" si="32"/>
        <v>0</v>
      </c>
      <c r="AH189" s="55">
        <f t="shared" si="32"/>
        <v>0</v>
      </c>
      <c r="AI189" s="56">
        <f t="shared" si="32"/>
        <v>0</v>
      </c>
      <c r="AJ189" s="74"/>
      <c r="AK189" s="74"/>
      <c r="AL189" s="75"/>
    </row>
    <row r="190" spans="1:38" s="30" customFormat="1" ht="29.5" hidden="1" customHeight="1" outlineLevel="2">
      <c r="A190" s="438"/>
      <c r="B190" s="73" t="s">
        <v>41</v>
      </c>
      <c r="C190" s="228"/>
      <c r="D190" s="229"/>
      <c r="E190" s="381" t="e">
        <f>IF((#REF!-C190)/(D190-C190)&lt;0,0,IF((#REF!-C190)/(D190-C190)&gt;100%,100%,(#REF!-C190)/(D190-C190)))</f>
        <v>#REF!</v>
      </c>
      <c r="F190" s="270"/>
      <c r="G190" s="229"/>
      <c r="H190" s="381" t="e">
        <f>IF((#REF!-F190)/(G190-F190)&lt;0,0,IF((#REF!-F190)/(G190-F190)&gt;100%,100%,(#REF!-F190)/(G190-F190)))</f>
        <v>#REF!</v>
      </c>
      <c r="I190" s="268" t="e">
        <f t="shared" si="50"/>
        <v>#REF!</v>
      </c>
      <c r="J190" s="55">
        <f t="shared" si="55"/>
        <v>0</v>
      </c>
      <c r="K190" s="56">
        <f t="shared" si="55"/>
        <v>0</v>
      </c>
      <c r="L190" s="55">
        <f t="shared" si="55"/>
        <v>0</v>
      </c>
      <c r="M190" s="55">
        <f t="shared" si="55"/>
        <v>0</v>
      </c>
      <c r="N190" s="55">
        <f t="shared" si="55"/>
        <v>0</v>
      </c>
      <c r="O190" s="55">
        <f t="shared" si="55"/>
        <v>0</v>
      </c>
      <c r="P190" s="55">
        <f t="shared" si="55"/>
        <v>0</v>
      </c>
      <c r="Q190" s="55">
        <f t="shared" si="55"/>
        <v>0</v>
      </c>
      <c r="R190" s="55">
        <f t="shared" si="55"/>
        <v>0</v>
      </c>
      <c r="S190" s="55">
        <f t="shared" si="55"/>
        <v>0</v>
      </c>
      <c r="T190" s="55">
        <f t="shared" si="56"/>
        <v>0</v>
      </c>
      <c r="U190" s="55">
        <f t="shared" si="56"/>
        <v>0</v>
      </c>
      <c r="V190" s="55">
        <f t="shared" si="56"/>
        <v>0</v>
      </c>
      <c r="W190" s="56">
        <f t="shared" si="56"/>
        <v>0</v>
      </c>
      <c r="X190" s="57">
        <f t="shared" si="56"/>
        <v>0</v>
      </c>
      <c r="Y190" s="55">
        <f t="shared" si="56"/>
        <v>0</v>
      </c>
      <c r="Z190" s="55">
        <f t="shared" si="56"/>
        <v>0</v>
      </c>
      <c r="AA190" s="55">
        <f t="shared" si="56"/>
        <v>0</v>
      </c>
      <c r="AB190" s="55">
        <f t="shared" si="56"/>
        <v>0</v>
      </c>
      <c r="AC190" s="55">
        <f t="shared" si="56"/>
        <v>0</v>
      </c>
      <c r="AD190" s="55">
        <f t="shared" si="32"/>
        <v>0</v>
      </c>
      <c r="AE190" s="55">
        <f t="shared" si="32"/>
        <v>0</v>
      </c>
      <c r="AF190" s="55">
        <f t="shared" si="32"/>
        <v>0</v>
      </c>
      <c r="AG190" s="55">
        <f t="shared" si="32"/>
        <v>0</v>
      </c>
      <c r="AH190" s="55">
        <f t="shared" si="32"/>
        <v>0</v>
      </c>
      <c r="AI190" s="56">
        <f t="shared" si="32"/>
        <v>0</v>
      </c>
      <c r="AJ190" s="74"/>
      <c r="AK190" s="74"/>
      <c r="AL190" s="75"/>
    </row>
    <row r="191" spans="1:38" s="30" customFormat="1" ht="26.5" hidden="1" customHeight="1" outlineLevel="2">
      <c r="A191" s="438"/>
      <c r="B191" s="73" t="s">
        <v>42</v>
      </c>
      <c r="C191" s="228"/>
      <c r="D191" s="229"/>
      <c r="E191" s="381" t="e">
        <f>IF((#REF!-C191)/(D191-C191)&lt;0,0,IF((#REF!-C191)/(D191-C191)&gt;100%,100%,(#REF!-C191)/(D191-C191)))</f>
        <v>#REF!</v>
      </c>
      <c r="F191" s="270"/>
      <c r="G191" s="229"/>
      <c r="H191" s="381" t="e">
        <f>IF((#REF!-F191)/(G191-F191)&lt;0,0,IF((#REF!-F191)/(G191-F191)&gt;100%,100%,(#REF!-F191)/(G191-F191)))</f>
        <v>#REF!</v>
      </c>
      <c r="I191" s="268" t="e">
        <f t="shared" si="50"/>
        <v>#REF!</v>
      </c>
      <c r="J191" s="55">
        <f t="shared" si="55"/>
        <v>0</v>
      </c>
      <c r="K191" s="56">
        <f t="shared" si="55"/>
        <v>0</v>
      </c>
      <c r="L191" s="55">
        <f t="shared" si="55"/>
        <v>0</v>
      </c>
      <c r="M191" s="55">
        <f t="shared" si="55"/>
        <v>0</v>
      </c>
      <c r="N191" s="55">
        <f t="shared" si="55"/>
        <v>0</v>
      </c>
      <c r="O191" s="55">
        <f t="shared" si="55"/>
        <v>0</v>
      </c>
      <c r="P191" s="55">
        <f t="shared" si="55"/>
        <v>0</v>
      </c>
      <c r="Q191" s="55">
        <f t="shared" si="55"/>
        <v>0</v>
      </c>
      <c r="R191" s="55">
        <f t="shared" si="55"/>
        <v>0</v>
      </c>
      <c r="S191" s="55">
        <f t="shared" si="55"/>
        <v>0</v>
      </c>
      <c r="T191" s="55">
        <f t="shared" si="56"/>
        <v>0</v>
      </c>
      <c r="U191" s="55">
        <f t="shared" si="56"/>
        <v>0</v>
      </c>
      <c r="V191" s="55">
        <f t="shared" si="56"/>
        <v>0</v>
      </c>
      <c r="W191" s="56">
        <f t="shared" si="56"/>
        <v>0</v>
      </c>
      <c r="X191" s="57">
        <f t="shared" si="56"/>
        <v>0</v>
      </c>
      <c r="Y191" s="55">
        <f t="shared" si="56"/>
        <v>0</v>
      </c>
      <c r="Z191" s="55">
        <f t="shared" si="56"/>
        <v>0</v>
      </c>
      <c r="AA191" s="55">
        <f t="shared" si="56"/>
        <v>0</v>
      </c>
      <c r="AB191" s="55">
        <f t="shared" si="56"/>
        <v>0</v>
      </c>
      <c r="AC191" s="55">
        <f t="shared" si="56"/>
        <v>0</v>
      </c>
      <c r="AD191" s="55">
        <f t="shared" si="32"/>
        <v>0</v>
      </c>
      <c r="AE191" s="55">
        <f t="shared" si="32"/>
        <v>0</v>
      </c>
      <c r="AF191" s="55">
        <f t="shared" si="32"/>
        <v>0</v>
      </c>
      <c r="AG191" s="55">
        <f t="shared" si="32"/>
        <v>0</v>
      </c>
      <c r="AH191" s="55">
        <f t="shared" si="32"/>
        <v>0</v>
      </c>
      <c r="AI191" s="56">
        <f t="shared" si="32"/>
        <v>0</v>
      </c>
      <c r="AJ191" s="74"/>
      <c r="AK191" s="74"/>
      <c r="AL191" s="75"/>
    </row>
    <row r="192" spans="1:38" s="30" customFormat="1" ht="28.75" hidden="1" customHeight="1" outlineLevel="2">
      <c r="A192" s="438"/>
      <c r="B192" s="73" t="s">
        <v>43</v>
      </c>
      <c r="C192" s="228"/>
      <c r="D192" s="229"/>
      <c r="E192" s="381" t="e">
        <f>IF((#REF!-C192)/(D192-C192)&lt;0,0,IF((#REF!-C192)/(D192-C192)&gt;100%,100%,(#REF!-C192)/(D192-C192)))</f>
        <v>#REF!</v>
      </c>
      <c r="F192" s="270"/>
      <c r="G192" s="229"/>
      <c r="H192" s="381" t="e">
        <f>IF((#REF!-F192)/(G192-F192)&lt;0,0,IF((#REF!-F192)/(G192-F192)&gt;100%,100%,(#REF!-F192)/(G192-F192)))</f>
        <v>#REF!</v>
      </c>
      <c r="I192" s="268" t="e">
        <f t="shared" si="50"/>
        <v>#REF!</v>
      </c>
      <c r="J192" s="55">
        <f t="shared" si="55"/>
        <v>0</v>
      </c>
      <c r="K192" s="56">
        <f t="shared" si="55"/>
        <v>0</v>
      </c>
      <c r="L192" s="55">
        <f t="shared" si="55"/>
        <v>0</v>
      </c>
      <c r="M192" s="55">
        <f t="shared" si="55"/>
        <v>0</v>
      </c>
      <c r="N192" s="55">
        <f t="shared" si="55"/>
        <v>0</v>
      </c>
      <c r="O192" s="55">
        <f t="shared" si="55"/>
        <v>0</v>
      </c>
      <c r="P192" s="55">
        <f t="shared" si="55"/>
        <v>0</v>
      </c>
      <c r="Q192" s="55">
        <f t="shared" si="55"/>
        <v>0</v>
      </c>
      <c r="R192" s="55">
        <f t="shared" si="55"/>
        <v>0</v>
      </c>
      <c r="S192" s="55">
        <f t="shared" si="55"/>
        <v>0</v>
      </c>
      <c r="T192" s="55">
        <f t="shared" si="56"/>
        <v>0</v>
      </c>
      <c r="U192" s="55">
        <f t="shared" si="56"/>
        <v>0</v>
      </c>
      <c r="V192" s="55">
        <f t="shared" si="56"/>
        <v>0</v>
      </c>
      <c r="W192" s="56">
        <f t="shared" si="56"/>
        <v>0</v>
      </c>
      <c r="X192" s="57">
        <f t="shared" si="56"/>
        <v>0</v>
      </c>
      <c r="Y192" s="55">
        <f t="shared" si="56"/>
        <v>0</v>
      </c>
      <c r="Z192" s="55">
        <f t="shared" si="56"/>
        <v>0</v>
      </c>
      <c r="AA192" s="55">
        <f t="shared" si="56"/>
        <v>0</v>
      </c>
      <c r="AB192" s="55">
        <f t="shared" si="56"/>
        <v>0</v>
      </c>
      <c r="AC192" s="55">
        <f t="shared" si="56"/>
        <v>0</v>
      </c>
      <c r="AD192" s="55">
        <f t="shared" si="32"/>
        <v>0</v>
      </c>
      <c r="AE192" s="55">
        <f t="shared" si="32"/>
        <v>0</v>
      </c>
      <c r="AF192" s="55">
        <f t="shared" si="32"/>
        <v>0</v>
      </c>
      <c r="AG192" s="55">
        <f t="shared" si="32"/>
        <v>0</v>
      </c>
      <c r="AH192" s="55">
        <f t="shared" si="32"/>
        <v>0</v>
      </c>
      <c r="AI192" s="56">
        <f t="shared" si="32"/>
        <v>0</v>
      </c>
      <c r="AJ192" s="74"/>
      <c r="AK192" s="74"/>
      <c r="AL192" s="75"/>
    </row>
    <row r="193" spans="1:38" s="30" customFormat="1" ht="25.75" hidden="1" customHeight="1" outlineLevel="2">
      <c r="A193" s="438"/>
      <c r="B193" s="73" t="s">
        <v>44</v>
      </c>
      <c r="C193" s="228"/>
      <c r="D193" s="229"/>
      <c r="E193" s="381" t="e">
        <f>IF((#REF!-C193)/(D193-C193)&lt;0,0,IF((#REF!-C193)/(D193-C193)&gt;100%,100%,(#REF!-C193)/(D193-C193)))</f>
        <v>#REF!</v>
      </c>
      <c r="F193" s="270"/>
      <c r="G193" s="229"/>
      <c r="H193" s="381" t="e">
        <f>IF((#REF!-F193)/(G193-F193)&lt;0,0,IF((#REF!-F193)/(G193-F193)&gt;100%,100%,(#REF!-F193)/(G193-F193)))</f>
        <v>#REF!</v>
      </c>
      <c r="I193" s="268" t="e">
        <f t="shared" ref="I193:I224" si="57">(D193-C193)/100%*(H193-E193)</f>
        <v>#REF!</v>
      </c>
      <c r="J193" s="55">
        <f t="shared" si="55"/>
        <v>0</v>
      </c>
      <c r="K193" s="56">
        <f t="shared" si="55"/>
        <v>0</v>
      </c>
      <c r="L193" s="55">
        <f t="shared" si="55"/>
        <v>0</v>
      </c>
      <c r="M193" s="55">
        <f t="shared" si="55"/>
        <v>0</v>
      </c>
      <c r="N193" s="55">
        <f t="shared" si="55"/>
        <v>0</v>
      </c>
      <c r="O193" s="55">
        <f t="shared" si="55"/>
        <v>0</v>
      </c>
      <c r="P193" s="55">
        <f t="shared" si="55"/>
        <v>0</v>
      </c>
      <c r="Q193" s="55">
        <f t="shared" si="55"/>
        <v>0</v>
      </c>
      <c r="R193" s="55">
        <f t="shared" si="55"/>
        <v>0</v>
      </c>
      <c r="S193" s="55">
        <f t="shared" si="55"/>
        <v>0</v>
      </c>
      <c r="T193" s="55">
        <f t="shared" si="56"/>
        <v>0</v>
      </c>
      <c r="U193" s="55">
        <f t="shared" si="56"/>
        <v>0</v>
      </c>
      <c r="V193" s="55">
        <f t="shared" si="56"/>
        <v>0</v>
      </c>
      <c r="W193" s="56">
        <f t="shared" si="56"/>
        <v>0</v>
      </c>
      <c r="X193" s="57">
        <f t="shared" si="56"/>
        <v>0</v>
      </c>
      <c r="Y193" s="55">
        <f t="shared" si="56"/>
        <v>0</v>
      </c>
      <c r="Z193" s="55">
        <f t="shared" si="56"/>
        <v>0</v>
      </c>
      <c r="AA193" s="55">
        <f t="shared" si="56"/>
        <v>0</v>
      </c>
      <c r="AB193" s="55">
        <f t="shared" si="56"/>
        <v>0</v>
      </c>
      <c r="AC193" s="55">
        <f t="shared" si="56"/>
        <v>0</v>
      </c>
      <c r="AD193" s="55">
        <f t="shared" si="32"/>
        <v>0</v>
      </c>
      <c r="AE193" s="55">
        <f t="shared" si="32"/>
        <v>0</v>
      </c>
      <c r="AF193" s="55">
        <f t="shared" si="32"/>
        <v>0</v>
      </c>
      <c r="AG193" s="55">
        <f t="shared" si="32"/>
        <v>0</v>
      </c>
      <c r="AH193" s="55">
        <f t="shared" si="32"/>
        <v>0</v>
      </c>
      <c r="AI193" s="56">
        <f t="shared" si="32"/>
        <v>0</v>
      </c>
      <c r="AJ193" s="81"/>
      <c r="AK193" s="81"/>
      <c r="AL193" s="82"/>
    </row>
    <row r="194" spans="1:38" s="30" customFormat="1" ht="17.25" hidden="1" customHeight="1" outlineLevel="2">
      <c r="A194" s="438"/>
      <c r="B194" s="73" t="s">
        <v>45</v>
      </c>
      <c r="C194" s="228"/>
      <c r="D194" s="229"/>
      <c r="E194" s="381" t="e">
        <f>IF((#REF!-C194)/(D194-C194)&lt;0,0,IF((#REF!-C194)/(D194-C194)&gt;100%,100%,(#REF!-C194)/(D194-C194)))</f>
        <v>#REF!</v>
      </c>
      <c r="F194" s="270"/>
      <c r="G194" s="229"/>
      <c r="H194" s="381" t="e">
        <f>IF((#REF!-F194)/(G194-F194)&lt;0,0,IF((#REF!-F194)/(G194-F194)&gt;100%,100%,(#REF!-F194)/(G194-F194)))</f>
        <v>#REF!</v>
      </c>
      <c r="I194" s="268" t="e">
        <f t="shared" si="57"/>
        <v>#REF!</v>
      </c>
      <c r="J194" s="55">
        <f t="shared" si="55"/>
        <v>0</v>
      </c>
      <c r="K194" s="56">
        <f t="shared" si="55"/>
        <v>0</v>
      </c>
      <c r="L194" s="55">
        <f t="shared" si="55"/>
        <v>0</v>
      </c>
      <c r="M194" s="55">
        <f t="shared" si="55"/>
        <v>0</v>
      </c>
      <c r="N194" s="55">
        <f t="shared" si="55"/>
        <v>0</v>
      </c>
      <c r="O194" s="55">
        <f t="shared" si="55"/>
        <v>0</v>
      </c>
      <c r="P194" s="55">
        <f t="shared" si="55"/>
        <v>0</v>
      </c>
      <c r="Q194" s="55">
        <f t="shared" si="55"/>
        <v>0</v>
      </c>
      <c r="R194" s="55">
        <f t="shared" si="55"/>
        <v>0</v>
      </c>
      <c r="S194" s="55">
        <f t="shared" si="55"/>
        <v>0</v>
      </c>
      <c r="T194" s="55">
        <f t="shared" si="56"/>
        <v>0</v>
      </c>
      <c r="U194" s="55">
        <f t="shared" si="56"/>
        <v>0</v>
      </c>
      <c r="V194" s="55">
        <f t="shared" si="56"/>
        <v>0</v>
      </c>
      <c r="W194" s="56">
        <f t="shared" si="56"/>
        <v>0</v>
      </c>
      <c r="X194" s="57">
        <f t="shared" si="56"/>
        <v>0</v>
      </c>
      <c r="Y194" s="55">
        <f t="shared" si="56"/>
        <v>0</v>
      </c>
      <c r="Z194" s="55">
        <f t="shared" si="56"/>
        <v>0</v>
      </c>
      <c r="AA194" s="55">
        <f t="shared" si="56"/>
        <v>0</v>
      </c>
      <c r="AB194" s="55">
        <f t="shared" si="56"/>
        <v>0</v>
      </c>
      <c r="AC194" s="55">
        <f t="shared" si="56"/>
        <v>0</v>
      </c>
      <c r="AD194" s="55">
        <f t="shared" si="32"/>
        <v>0</v>
      </c>
      <c r="AE194" s="55">
        <f t="shared" si="32"/>
        <v>0</v>
      </c>
      <c r="AF194" s="55">
        <f t="shared" si="32"/>
        <v>0</v>
      </c>
      <c r="AG194" s="55">
        <f t="shared" si="32"/>
        <v>0</v>
      </c>
      <c r="AH194" s="55">
        <f t="shared" si="32"/>
        <v>0</v>
      </c>
      <c r="AI194" s="56">
        <f t="shared" si="32"/>
        <v>0</v>
      </c>
      <c r="AJ194" s="83"/>
      <c r="AK194" s="83"/>
      <c r="AL194" s="84"/>
    </row>
    <row r="195" spans="1:38" s="30" customFormat="1" ht="20" hidden="1" customHeight="1" outlineLevel="2">
      <c r="A195" s="438"/>
      <c r="B195" s="73" t="s">
        <v>46</v>
      </c>
      <c r="C195" s="228"/>
      <c r="D195" s="229"/>
      <c r="E195" s="381" t="e">
        <f>IF((#REF!-C195)/(D195-C195)&lt;0,0,IF((#REF!-C195)/(D195-C195)&gt;100%,100%,(#REF!-C195)/(D195-C195)))</f>
        <v>#REF!</v>
      </c>
      <c r="F195" s="270"/>
      <c r="G195" s="229"/>
      <c r="H195" s="381" t="e">
        <f>IF((#REF!-F195)/(G195-F195)&lt;0,0,IF((#REF!-F195)/(G195-F195)&gt;100%,100%,(#REF!-F195)/(G195-F195)))</f>
        <v>#REF!</v>
      </c>
      <c r="I195" s="268" t="e">
        <f t="shared" si="57"/>
        <v>#REF!</v>
      </c>
      <c r="J195" s="55">
        <f t="shared" si="55"/>
        <v>0</v>
      </c>
      <c r="K195" s="56">
        <f t="shared" si="55"/>
        <v>0</v>
      </c>
      <c r="L195" s="55">
        <f t="shared" si="55"/>
        <v>0</v>
      </c>
      <c r="M195" s="55">
        <f t="shared" si="55"/>
        <v>0</v>
      </c>
      <c r="N195" s="55">
        <f t="shared" si="55"/>
        <v>0</v>
      </c>
      <c r="O195" s="55">
        <f t="shared" si="55"/>
        <v>0</v>
      </c>
      <c r="P195" s="55">
        <f t="shared" si="55"/>
        <v>0</v>
      </c>
      <c r="Q195" s="55">
        <f t="shared" si="55"/>
        <v>0</v>
      </c>
      <c r="R195" s="55">
        <f t="shared" si="55"/>
        <v>0</v>
      </c>
      <c r="S195" s="55">
        <f t="shared" si="55"/>
        <v>0</v>
      </c>
      <c r="T195" s="55">
        <f t="shared" si="56"/>
        <v>0</v>
      </c>
      <c r="U195" s="55">
        <f t="shared" si="56"/>
        <v>0</v>
      </c>
      <c r="V195" s="55">
        <f t="shared" si="56"/>
        <v>0</v>
      </c>
      <c r="W195" s="56">
        <f t="shared" si="56"/>
        <v>0</v>
      </c>
      <c r="X195" s="57">
        <f t="shared" si="56"/>
        <v>0</v>
      </c>
      <c r="Y195" s="55">
        <f t="shared" si="56"/>
        <v>0</v>
      </c>
      <c r="Z195" s="55">
        <f t="shared" si="56"/>
        <v>0</v>
      </c>
      <c r="AA195" s="55">
        <f t="shared" si="56"/>
        <v>0</v>
      </c>
      <c r="AB195" s="55">
        <f t="shared" si="56"/>
        <v>0</v>
      </c>
      <c r="AC195" s="55">
        <f t="shared" si="56"/>
        <v>0</v>
      </c>
      <c r="AD195" s="55">
        <f t="shared" si="32"/>
        <v>0</v>
      </c>
      <c r="AE195" s="55">
        <f t="shared" si="32"/>
        <v>0</v>
      </c>
      <c r="AF195" s="55">
        <f t="shared" si="32"/>
        <v>0</v>
      </c>
      <c r="AG195" s="55">
        <f t="shared" si="32"/>
        <v>0</v>
      </c>
      <c r="AH195" s="55">
        <f t="shared" si="32"/>
        <v>0</v>
      </c>
      <c r="AI195" s="56">
        <f t="shared" si="32"/>
        <v>0</v>
      </c>
      <c r="AJ195" s="74"/>
      <c r="AK195" s="74"/>
      <c r="AL195" s="75"/>
    </row>
    <row r="196" spans="1:38" s="30" customFormat="1" ht="16" hidden="1" outlineLevel="2">
      <c r="A196" s="438"/>
      <c r="B196" s="73" t="s">
        <v>47</v>
      </c>
      <c r="C196" s="228"/>
      <c r="D196" s="229"/>
      <c r="E196" s="381" t="e">
        <f>IF((#REF!-C196)/(D196-C196)&lt;0,0,IF((#REF!-C196)/(D196-C196)&gt;100%,100%,(#REF!-C196)/(D196-C196)))</f>
        <v>#REF!</v>
      </c>
      <c r="F196" s="270"/>
      <c r="G196" s="229"/>
      <c r="H196" s="381" t="e">
        <f>IF((#REF!-F196)/(G196-F196)&lt;0,0,IF((#REF!-F196)/(G196-F196)&gt;100%,100%,(#REF!-F196)/(G196-F196)))</f>
        <v>#REF!</v>
      </c>
      <c r="I196" s="268" t="e">
        <f t="shared" si="57"/>
        <v>#REF!</v>
      </c>
      <c r="J196" s="55">
        <f t="shared" si="55"/>
        <v>0</v>
      </c>
      <c r="K196" s="56">
        <f t="shared" si="55"/>
        <v>0</v>
      </c>
      <c r="L196" s="55">
        <f t="shared" si="55"/>
        <v>0</v>
      </c>
      <c r="M196" s="55">
        <f t="shared" si="55"/>
        <v>0</v>
      </c>
      <c r="N196" s="55">
        <f t="shared" si="55"/>
        <v>0</v>
      </c>
      <c r="O196" s="55">
        <f t="shared" si="55"/>
        <v>0</v>
      </c>
      <c r="P196" s="55">
        <f t="shared" si="55"/>
        <v>0</v>
      </c>
      <c r="Q196" s="55">
        <f t="shared" si="55"/>
        <v>0</v>
      </c>
      <c r="R196" s="55">
        <f t="shared" si="55"/>
        <v>0</v>
      </c>
      <c r="S196" s="55">
        <f t="shared" si="55"/>
        <v>0</v>
      </c>
      <c r="T196" s="55">
        <f t="shared" si="56"/>
        <v>0</v>
      </c>
      <c r="U196" s="55">
        <f t="shared" si="56"/>
        <v>0</v>
      </c>
      <c r="V196" s="55">
        <f t="shared" si="56"/>
        <v>0</v>
      </c>
      <c r="W196" s="56">
        <f t="shared" si="56"/>
        <v>0</v>
      </c>
      <c r="X196" s="57">
        <f t="shared" si="56"/>
        <v>0</v>
      </c>
      <c r="Y196" s="55">
        <f t="shared" si="56"/>
        <v>0</v>
      </c>
      <c r="Z196" s="55">
        <f t="shared" si="56"/>
        <v>0</v>
      </c>
      <c r="AA196" s="55">
        <f t="shared" si="56"/>
        <v>0</v>
      </c>
      <c r="AB196" s="55">
        <f t="shared" si="56"/>
        <v>0</v>
      </c>
      <c r="AC196" s="55">
        <f t="shared" si="56"/>
        <v>0</v>
      </c>
      <c r="AD196" s="55">
        <f t="shared" si="32"/>
        <v>0</v>
      </c>
      <c r="AE196" s="55">
        <f t="shared" si="32"/>
        <v>0</v>
      </c>
      <c r="AF196" s="55">
        <f t="shared" si="32"/>
        <v>0</v>
      </c>
      <c r="AG196" s="55">
        <f t="shared" si="32"/>
        <v>0</v>
      </c>
      <c r="AH196" s="55">
        <f t="shared" si="32"/>
        <v>0</v>
      </c>
      <c r="AI196" s="56">
        <f t="shared" si="32"/>
        <v>0</v>
      </c>
      <c r="AJ196" s="74"/>
      <c r="AK196" s="74"/>
      <c r="AL196" s="75"/>
    </row>
    <row r="197" spans="1:38" s="30" customFormat="1" ht="16" hidden="1" outlineLevel="2">
      <c r="A197" s="439"/>
      <c r="B197" s="73" t="s">
        <v>48</v>
      </c>
      <c r="C197" s="228"/>
      <c r="D197" s="229"/>
      <c r="E197" s="381" t="e">
        <f>IF((#REF!-C197)/(D197-C197)&lt;0,0,IF((#REF!-C197)/(D197-C197)&gt;100%,100%,(#REF!-C197)/(D197-C197)))</f>
        <v>#REF!</v>
      </c>
      <c r="F197" s="270"/>
      <c r="G197" s="229"/>
      <c r="H197" s="381" t="e">
        <f>IF((#REF!-F197)/(G197-F197)&lt;0,0,IF((#REF!-F197)/(G197-F197)&gt;100%,100%,(#REF!-F197)/(G197-F197)))</f>
        <v>#REF!</v>
      </c>
      <c r="I197" s="268" t="e">
        <f t="shared" si="57"/>
        <v>#REF!</v>
      </c>
      <c r="J197" s="55">
        <f t="shared" ref="J197:S206" si="58">+IF(J$3&gt;=$C197,IF(J$3&lt;=$D197,1,0),0)</f>
        <v>0</v>
      </c>
      <c r="K197" s="56">
        <f t="shared" si="58"/>
        <v>0</v>
      </c>
      <c r="L197" s="55">
        <f t="shared" si="58"/>
        <v>0</v>
      </c>
      <c r="M197" s="55">
        <f t="shared" si="58"/>
        <v>0</v>
      </c>
      <c r="N197" s="55">
        <f t="shared" si="58"/>
        <v>0</v>
      </c>
      <c r="O197" s="55">
        <f t="shared" si="58"/>
        <v>0</v>
      </c>
      <c r="P197" s="55">
        <f t="shared" si="58"/>
        <v>0</v>
      </c>
      <c r="Q197" s="55">
        <f t="shared" si="58"/>
        <v>0</v>
      </c>
      <c r="R197" s="55">
        <f t="shared" si="58"/>
        <v>0</v>
      </c>
      <c r="S197" s="55">
        <f t="shared" si="58"/>
        <v>0</v>
      </c>
      <c r="T197" s="55">
        <f t="shared" ref="T197:AC206" si="59">+IF(T$3&gt;=$C197,IF(T$3&lt;=$D197,1,0),0)</f>
        <v>0</v>
      </c>
      <c r="U197" s="55">
        <f t="shared" si="59"/>
        <v>0</v>
      </c>
      <c r="V197" s="55">
        <f t="shared" si="59"/>
        <v>0</v>
      </c>
      <c r="W197" s="56">
        <f t="shared" si="59"/>
        <v>0</v>
      </c>
      <c r="X197" s="57">
        <f t="shared" si="59"/>
        <v>0</v>
      </c>
      <c r="Y197" s="55">
        <f t="shared" si="59"/>
        <v>0</v>
      </c>
      <c r="Z197" s="55">
        <f t="shared" si="59"/>
        <v>0</v>
      </c>
      <c r="AA197" s="55">
        <f t="shared" si="59"/>
        <v>0</v>
      </c>
      <c r="AB197" s="55">
        <f t="shared" si="59"/>
        <v>0</v>
      </c>
      <c r="AC197" s="55">
        <f t="shared" si="59"/>
        <v>0</v>
      </c>
      <c r="AD197" s="55">
        <f t="shared" si="32"/>
        <v>0</v>
      </c>
      <c r="AE197" s="55">
        <f t="shared" si="32"/>
        <v>0</v>
      </c>
      <c r="AF197" s="55">
        <f t="shared" si="32"/>
        <v>0</v>
      </c>
      <c r="AG197" s="55">
        <f t="shared" si="32"/>
        <v>0</v>
      </c>
      <c r="AH197" s="55">
        <f t="shared" si="32"/>
        <v>0</v>
      </c>
      <c r="AI197" s="56">
        <f t="shared" si="32"/>
        <v>0</v>
      </c>
      <c r="AJ197" s="74"/>
      <c r="AK197" s="74"/>
      <c r="AL197" s="75"/>
    </row>
    <row r="198" spans="1:38" s="30" customFormat="1" ht="30" hidden="1" outlineLevel="1" collapsed="1">
      <c r="A198" s="109" t="s">
        <v>583</v>
      </c>
      <c r="B198" s="48" t="s">
        <v>226</v>
      </c>
      <c r="C198" s="228"/>
      <c r="D198" s="229"/>
      <c r="E198" s="381" t="e">
        <f>IF((#REF!-C198)/(D198-C198)&lt;0,0,IF((#REF!-C198)/(D198-C198)&gt;100%,100%,(#REF!-C198)/(D198-C198)))</f>
        <v>#REF!</v>
      </c>
      <c r="F198" s="270"/>
      <c r="G198" s="229"/>
      <c r="H198" s="381" t="e">
        <f>IF((#REF!-F198)/(G198-F198)&lt;0,0,IF((#REF!-F198)/(G198-F198)&gt;100%,100%,(#REF!-F198)/(G198-F198)))</f>
        <v>#REF!</v>
      </c>
      <c r="I198" s="268" t="e">
        <f t="shared" si="57"/>
        <v>#REF!</v>
      </c>
      <c r="J198" s="49">
        <f t="shared" si="58"/>
        <v>0</v>
      </c>
      <c r="K198" s="50">
        <f t="shared" si="58"/>
        <v>0</v>
      </c>
      <c r="L198" s="49">
        <f t="shared" si="58"/>
        <v>0</v>
      </c>
      <c r="M198" s="49">
        <f t="shared" si="58"/>
        <v>0</v>
      </c>
      <c r="N198" s="49">
        <f t="shared" si="58"/>
        <v>0</v>
      </c>
      <c r="O198" s="49">
        <f t="shared" si="58"/>
        <v>0</v>
      </c>
      <c r="P198" s="49">
        <f t="shared" si="58"/>
        <v>0</v>
      </c>
      <c r="Q198" s="49">
        <f t="shared" si="58"/>
        <v>0</v>
      </c>
      <c r="R198" s="49">
        <f t="shared" si="58"/>
        <v>0</v>
      </c>
      <c r="S198" s="49">
        <f t="shared" si="58"/>
        <v>0</v>
      </c>
      <c r="T198" s="49">
        <f t="shared" si="59"/>
        <v>0</v>
      </c>
      <c r="U198" s="49">
        <f t="shared" si="59"/>
        <v>0</v>
      </c>
      <c r="V198" s="49">
        <f t="shared" si="59"/>
        <v>0</v>
      </c>
      <c r="W198" s="50">
        <f t="shared" si="59"/>
        <v>0</v>
      </c>
      <c r="X198" s="51">
        <f t="shared" si="59"/>
        <v>0</v>
      </c>
      <c r="Y198" s="49">
        <f t="shared" si="59"/>
        <v>0</v>
      </c>
      <c r="Z198" s="49">
        <f t="shared" si="59"/>
        <v>0</v>
      </c>
      <c r="AA198" s="49">
        <f t="shared" si="59"/>
        <v>0</v>
      </c>
      <c r="AB198" s="49">
        <f t="shared" si="59"/>
        <v>0</v>
      </c>
      <c r="AC198" s="49">
        <f t="shared" si="59"/>
        <v>0</v>
      </c>
      <c r="AD198" s="49">
        <f t="shared" si="32"/>
        <v>0</v>
      </c>
      <c r="AE198" s="49">
        <f t="shared" si="32"/>
        <v>0</v>
      </c>
      <c r="AF198" s="49">
        <f t="shared" si="32"/>
        <v>0</v>
      </c>
      <c r="AG198" s="49">
        <f t="shared" si="32"/>
        <v>0</v>
      </c>
      <c r="AH198" s="49">
        <f t="shared" si="32"/>
        <v>0</v>
      </c>
      <c r="AI198" s="50">
        <f t="shared" si="32"/>
        <v>0</v>
      </c>
      <c r="AJ198" s="85"/>
      <c r="AK198" s="85"/>
      <c r="AL198" s="86"/>
    </row>
    <row r="199" spans="1:38" s="30" customFormat="1" ht="28.25" hidden="1" customHeight="1" outlineLevel="2">
      <c r="A199" s="108" t="s">
        <v>280</v>
      </c>
      <c r="B199" s="73" t="s">
        <v>51</v>
      </c>
      <c r="C199" s="228"/>
      <c r="D199" s="229"/>
      <c r="E199" s="381" t="e">
        <f>IF((#REF!-C199)/(D199-C199)&lt;0,0,IF((#REF!-C199)/(D199-C199)&gt;100%,100%,(#REF!-C199)/(D199-C199)))</f>
        <v>#REF!</v>
      </c>
      <c r="F199" s="270"/>
      <c r="G199" s="229"/>
      <c r="H199" s="381" t="e">
        <f>IF((#REF!-F199)/(G199-F199)&lt;0,0,IF((#REF!-F199)/(G199-F199)&gt;100%,100%,(#REF!-F199)/(G199-F199)))</f>
        <v>#REF!</v>
      </c>
      <c r="I199" s="268" t="e">
        <f t="shared" si="57"/>
        <v>#REF!</v>
      </c>
      <c r="J199" s="55">
        <f t="shared" si="58"/>
        <v>0</v>
      </c>
      <c r="K199" s="56">
        <f t="shared" si="58"/>
        <v>0</v>
      </c>
      <c r="L199" s="55">
        <f t="shared" si="58"/>
        <v>0</v>
      </c>
      <c r="M199" s="55">
        <f t="shared" si="58"/>
        <v>0</v>
      </c>
      <c r="N199" s="55">
        <f t="shared" si="58"/>
        <v>0</v>
      </c>
      <c r="O199" s="55">
        <f t="shared" si="58"/>
        <v>0</v>
      </c>
      <c r="P199" s="55">
        <f t="shared" si="58"/>
        <v>0</v>
      </c>
      <c r="Q199" s="55">
        <f t="shared" si="58"/>
        <v>0</v>
      </c>
      <c r="R199" s="55">
        <f t="shared" si="58"/>
        <v>0</v>
      </c>
      <c r="S199" s="55">
        <f t="shared" si="58"/>
        <v>0</v>
      </c>
      <c r="T199" s="55">
        <f t="shared" si="59"/>
        <v>0</v>
      </c>
      <c r="U199" s="55">
        <f t="shared" si="59"/>
        <v>0</v>
      </c>
      <c r="V199" s="55">
        <f t="shared" si="59"/>
        <v>0</v>
      </c>
      <c r="W199" s="56">
        <f t="shared" si="59"/>
        <v>0</v>
      </c>
      <c r="X199" s="57">
        <f t="shared" si="59"/>
        <v>0</v>
      </c>
      <c r="Y199" s="55">
        <f t="shared" si="59"/>
        <v>0</v>
      </c>
      <c r="Z199" s="55">
        <f t="shared" si="59"/>
        <v>0</v>
      </c>
      <c r="AA199" s="55">
        <f t="shared" si="59"/>
        <v>0</v>
      </c>
      <c r="AB199" s="55">
        <f t="shared" si="59"/>
        <v>0</v>
      </c>
      <c r="AC199" s="55">
        <f t="shared" si="59"/>
        <v>0</v>
      </c>
      <c r="AD199" s="55">
        <f t="shared" si="32"/>
        <v>0</v>
      </c>
      <c r="AE199" s="55">
        <f t="shared" si="32"/>
        <v>0</v>
      </c>
      <c r="AF199" s="55">
        <f t="shared" si="32"/>
        <v>0</v>
      </c>
      <c r="AG199" s="55">
        <f t="shared" si="32"/>
        <v>0</v>
      </c>
      <c r="AH199" s="55">
        <f t="shared" si="32"/>
        <v>0</v>
      </c>
      <c r="AI199" s="56">
        <f t="shared" si="32"/>
        <v>0</v>
      </c>
      <c r="AJ199" s="87"/>
      <c r="AK199" s="87"/>
      <c r="AL199" s="88"/>
    </row>
    <row r="200" spans="1:38" s="30" customFormat="1" ht="16.5" hidden="1" customHeight="1" outlineLevel="2">
      <c r="A200" s="108" t="s">
        <v>281</v>
      </c>
      <c r="B200" s="73" t="s">
        <v>52</v>
      </c>
      <c r="C200" s="228"/>
      <c r="D200" s="229"/>
      <c r="E200" s="381" t="e">
        <f>IF((#REF!-C200)/(D200-C200)&lt;0,0,IF((#REF!-C200)/(D200-C200)&gt;100%,100%,(#REF!-C200)/(D200-C200)))</f>
        <v>#REF!</v>
      </c>
      <c r="F200" s="270"/>
      <c r="G200" s="229"/>
      <c r="H200" s="381" t="e">
        <f>IF((#REF!-F200)/(G200-F200)&lt;0,0,IF((#REF!-F200)/(G200-F200)&gt;100%,100%,(#REF!-F200)/(G200-F200)))</f>
        <v>#REF!</v>
      </c>
      <c r="I200" s="268" t="e">
        <f t="shared" si="57"/>
        <v>#REF!</v>
      </c>
      <c r="J200" s="55">
        <f t="shared" si="58"/>
        <v>0</v>
      </c>
      <c r="K200" s="56">
        <f t="shared" si="58"/>
        <v>0</v>
      </c>
      <c r="L200" s="55">
        <f t="shared" si="58"/>
        <v>0</v>
      </c>
      <c r="M200" s="55">
        <f t="shared" si="58"/>
        <v>0</v>
      </c>
      <c r="N200" s="55">
        <f t="shared" si="58"/>
        <v>0</v>
      </c>
      <c r="O200" s="55">
        <f t="shared" si="58"/>
        <v>0</v>
      </c>
      <c r="P200" s="55">
        <f t="shared" si="58"/>
        <v>0</v>
      </c>
      <c r="Q200" s="55">
        <f t="shared" si="58"/>
        <v>0</v>
      </c>
      <c r="R200" s="55">
        <f t="shared" si="58"/>
        <v>0</v>
      </c>
      <c r="S200" s="55">
        <f t="shared" si="58"/>
        <v>0</v>
      </c>
      <c r="T200" s="55">
        <f t="shared" si="59"/>
        <v>0</v>
      </c>
      <c r="U200" s="55">
        <f t="shared" si="59"/>
        <v>0</v>
      </c>
      <c r="V200" s="55">
        <f t="shared" si="59"/>
        <v>0</v>
      </c>
      <c r="W200" s="56">
        <f t="shared" si="59"/>
        <v>0</v>
      </c>
      <c r="X200" s="57">
        <f t="shared" si="59"/>
        <v>0</v>
      </c>
      <c r="Y200" s="55">
        <f t="shared" si="59"/>
        <v>0</v>
      </c>
      <c r="Z200" s="55">
        <f t="shared" si="59"/>
        <v>0</v>
      </c>
      <c r="AA200" s="55">
        <f t="shared" si="59"/>
        <v>0</v>
      </c>
      <c r="AB200" s="55">
        <f t="shared" si="59"/>
        <v>0</v>
      </c>
      <c r="AC200" s="55">
        <f t="shared" si="59"/>
        <v>0</v>
      </c>
      <c r="AD200" s="55">
        <f t="shared" si="32"/>
        <v>0</v>
      </c>
      <c r="AE200" s="55">
        <f t="shared" si="32"/>
        <v>0</v>
      </c>
      <c r="AF200" s="55">
        <f t="shared" si="32"/>
        <v>0</v>
      </c>
      <c r="AG200" s="55">
        <f t="shared" si="32"/>
        <v>0</v>
      </c>
      <c r="AH200" s="55">
        <f t="shared" si="32"/>
        <v>0</v>
      </c>
      <c r="AI200" s="56">
        <f t="shared" si="32"/>
        <v>0</v>
      </c>
      <c r="AJ200" s="79"/>
      <c r="AK200" s="79"/>
      <c r="AL200" s="80"/>
    </row>
    <row r="201" spans="1:38" s="30" customFormat="1" ht="16" hidden="1" customHeight="1" outlineLevel="2">
      <c r="A201" s="108" t="s">
        <v>282</v>
      </c>
      <c r="B201" s="73" t="s">
        <v>53</v>
      </c>
      <c r="C201" s="228"/>
      <c r="D201" s="229"/>
      <c r="E201" s="381" t="e">
        <f>IF((#REF!-C201)/(D201-C201)&lt;0,0,IF((#REF!-C201)/(D201-C201)&gt;100%,100%,(#REF!-C201)/(D201-C201)))</f>
        <v>#REF!</v>
      </c>
      <c r="F201" s="270"/>
      <c r="G201" s="229"/>
      <c r="H201" s="381" t="e">
        <f>IF((#REF!-F201)/(G201-F201)&lt;0,0,IF((#REF!-F201)/(G201-F201)&gt;100%,100%,(#REF!-F201)/(G201-F201)))</f>
        <v>#REF!</v>
      </c>
      <c r="I201" s="268" t="e">
        <f t="shared" si="57"/>
        <v>#REF!</v>
      </c>
      <c r="J201" s="55">
        <f t="shared" si="58"/>
        <v>0</v>
      </c>
      <c r="K201" s="56">
        <f t="shared" si="58"/>
        <v>0</v>
      </c>
      <c r="L201" s="55">
        <f t="shared" si="58"/>
        <v>0</v>
      </c>
      <c r="M201" s="55">
        <f t="shared" si="58"/>
        <v>0</v>
      </c>
      <c r="N201" s="55">
        <f t="shared" si="58"/>
        <v>0</v>
      </c>
      <c r="O201" s="55">
        <f t="shared" si="58"/>
        <v>0</v>
      </c>
      <c r="P201" s="55">
        <f t="shared" si="58"/>
        <v>0</v>
      </c>
      <c r="Q201" s="55">
        <f t="shared" si="58"/>
        <v>0</v>
      </c>
      <c r="R201" s="55">
        <f t="shared" si="58"/>
        <v>0</v>
      </c>
      <c r="S201" s="55">
        <f t="shared" si="58"/>
        <v>0</v>
      </c>
      <c r="T201" s="55">
        <f t="shared" si="59"/>
        <v>0</v>
      </c>
      <c r="U201" s="55">
        <f t="shared" si="59"/>
        <v>0</v>
      </c>
      <c r="V201" s="55">
        <f t="shared" si="59"/>
        <v>0</v>
      </c>
      <c r="W201" s="56">
        <f t="shared" si="59"/>
        <v>0</v>
      </c>
      <c r="X201" s="57">
        <f t="shared" si="59"/>
        <v>0</v>
      </c>
      <c r="Y201" s="55">
        <f t="shared" si="59"/>
        <v>0</v>
      </c>
      <c r="Z201" s="55">
        <f t="shared" si="59"/>
        <v>0</v>
      </c>
      <c r="AA201" s="55">
        <f t="shared" si="59"/>
        <v>0</v>
      </c>
      <c r="AB201" s="55">
        <f t="shared" si="59"/>
        <v>0</v>
      </c>
      <c r="AC201" s="55">
        <f t="shared" si="59"/>
        <v>0</v>
      </c>
      <c r="AD201" s="55">
        <f t="shared" si="32"/>
        <v>0</v>
      </c>
      <c r="AE201" s="55">
        <f t="shared" si="32"/>
        <v>0</v>
      </c>
      <c r="AF201" s="55">
        <f t="shared" si="32"/>
        <v>0</v>
      </c>
      <c r="AG201" s="55">
        <f t="shared" si="32"/>
        <v>0</v>
      </c>
      <c r="AH201" s="55">
        <f t="shared" si="32"/>
        <v>0</v>
      </c>
      <c r="AI201" s="56">
        <f t="shared" si="32"/>
        <v>0</v>
      </c>
      <c r="AJ201" s="87"/>
      <c r="AK201" s="87"/>
      <c r="AL201" s="88"/>
    </row>
    <row r="202" spans="1:38" s="30" customFormat="1" ht="16" hidden="1" customHeight="1" outlineLevel="2">
      <c r="A202" s="108" t="s">
        <v>584</v>
      </c>
      <c r="B202" s="73" t="s">
        <v>54</v>
      </c>
      <c r="C202" s="228"/>
      <c r="D202" s="229"/>
      <c r="E202" s="381" t="e">
        <f>IF((#REF!-C202)/(D202-C202)&lt;0,0,IF((#REF!-C202)/(D202-C202)&gt;100%,100%,(#REF!-C202)/(D202-C202)))</f>
        <v>#REF!</v>
      </c>
      <c r="F202" s="270"/>
      <c r="G202" s="229"/>
      <c r="H202" s="381" t="e">
        <f>IF((#REF!-F202)/(G202-F202)&lt;0,0,IF((#REF!-F202)/(G202-F202)&gt;100%,100%,(#REF!-F202)/(G202-F202)))</f>
        <v>#REF!</v>
      </c>
      <c r="I202" s="268" t="e">
        <f t="shared" si="57"/>
        <v>#REF!</v>
      </c>
      <c r="J202" s="55">
        <f t="shared" si="58"/>
        <v>0</v>
      </c>
      <c r="K202" s="56">
        <f t="shared" si="58"/>
        <v>0</v>
      </c>
      <c r="L202" s="55">
        <f t="shared" si="58"/>
        <v>0</v>
      </c>
      <c r="M202" s="55">
        <f t="shared" si="58"/>
        <v>0</v>
      </c>
      <c r="N202" s="55">
        <f t="shared" si="58"/>
        <v>0</v>
      </c>
      <c r="O202" s="55">
        <f t="shared" si="58"/>
        <v>0</v>
      </c>
      <c r="P202" s="55">
        <f t="shared" si="58"/>
        <v>0</v>
      </c>
      <c r="Q202" s="55">
        <f t="shared" si="58"/>
        <v>0</v>
      </c>
      <c r="R202" s="55">
        <f t="shared" si="58"/>
        <v>0</v>
      </c>
      <c r="S202" s="55">
        <f t="shared" si="58"/>
        <v>0</v>
      </c>
      <c r="T202" s="55">
        <f t="shared" si="59"/>
        <v>0</v>
      </c>
      <c r="U202" s="55">
        <f t="shared" si="59"/>
        <v>0</v>
      </c>
      <c r="V202" s="55">
        <f t="shared" si="59"/>
        <v>0</v>
      </c>
      <c r="W202" s="56">
        <f t="shared" si="59"/>
        <v>0</v>
      </c>
      <c r="X202" s="57">
        <f t="shared" si="59"/>
        <v>0</v>
      </c>
      <c r="Y202" s="55">
        <f t="shared" si="59"/>
        <v>0</v>
      </c>
      <c r="Z202" s="55">
        <f t="shared" si="59"/>
        <v>0</v>
      </c>
      <c r="AA202" s="55">
        <f t="shared" si="59"/>
        <v>0</v>
      </c>
      <c r="AB202" s="55">
        <f t="shared" si="59"/>
        <v>0</v>
      </c>
      <c r="AC202" s="55">
        <f t="shared" si="59"/>
        <v>0</v>
      </c>
      <c r="AD202" s="55">
        <f t="shared" si="32"/>
        <v>0</v>
      </c>
      <c r="AE202" s="55">
        <f t="shared" si="32"/>
        <v>0</v>
      </c>
      <c r="AF202" s="55">
        <f t="shared" si="32"/>
        <v>0</v>
      </c>
      <c r="AG202" s="55">
        <f t="shared" si="32"/>
        <v>0</v>
      </c>
      <c r="AH202" s="55">
        <f t="shared" si="32"/>
        <v>0</v>
      </c>
      <c r="AI202" s="56">
        <f t="shared" si="32"/>
        <v>0</v>
      </c>
      <c r="AJ202" s="79"/>
      <c r="AK202" s="79"/>
      <c r="AL202" s="80"/>
    </row>
    <row r="203" spans="1:38" s="30" customFormat="1" ht="19.25" hidden="1" customHeight="1" outlineLevel="2">
      <c r="A203" s="108" t="s">
        <v>585</v>
      </c>
      <c r="B203" s="73" t="s">
        <v>55</v>
      </c>
      <c r="C203" s="228"/>
      <c r="D203" s="229"/>
      <c r="E203" s="381" t="e">
        <f>IF((#REF!-C203)/(D203-C203)&lt;0,0,IF((#REF!-C203)/(D203-C203)&gt;100%,100%,(#REF!-C203)/(D203-C203)))</f>
        <v>#REF!</v>
      </c>
      <c r="F203" s="270"/>
      <c r="G203" s="229"/>
      <c r="H203" s="381" t="e">
        <f>IF((#REF!-F203)/(G203-F203)&lt;0,0,IF((#REF!-F203)/(G203-F203)&gt;100%,100%,(#REF!-F203)/(G203-F203)))</f>
        <v>#REF!</v>
      </c>
      <c r="I203" s="268" t="e">
        <f t="shared" si="57"/>
        <v>#REF!</v>
      </c>
      <c r="J203" s="55">
        <f t="shared" si="58"/>
        <v>0</v>
      </c>
      <c r="K203" s="56">
        <f t="shared" si="58"/>
        <v>0</v>
      </c>
      <c r="L203" s="55">
        <f t="shared" si="58"/>
        <v>0</v>
      </c>
      <c r="M203" s="55">
        <f t="shared" si="58"/>
        <v>0</v>
      </c>
      <c r="N203" s="55">
        <f t="shared" si="58"/>
        <v>0</v>
      </c>
      <c r="O203" s="55">
        <f t="shared" si="58"/>
        <v>0</v>
      </c>
      <c r="P203" s="55">
        <f t="shared" si="58"/>
        <v>0</v>
      </c>
      <c r="Q203" s="55">
        <f t="shared" si="58"/>
        <v>0</v>
      </c>
      <c r="R203" s="55">
        <f t="shared" si="58"/>
        <v>0</v>
      </c>
      <c r="S203" s="55">
        <f t="shared" si="58"/>
        <v>0</v>
      </c>
      <c r="T203" s="55">
        <f t="shared" si="59"/>
        <v>0</v>
      </c>
      <c r="U203" s="55">
        <f t="shared" si="59"/>
        <v>0</v>
      </c>
      <c r="V203" s="55">
        <f t="shared" si="59"/>
        <v>0</v>
      </c>
      <c r="W203" s="56">
        <f t="shared" si="59"/>
        <v>0</v>
      </c>
      <c r="X203" s="57">
        <f t="shared" si="59"/>
        <v>0</v>
      </c>
      <c r="Y203" s="55">
        <f t="shared" si="59"/>
        <v>0</v>
      </c>
      <c r="Z203" s="55">
        <f t="shared" si="59"/>
        <v>0</v>
      </c>
      <c r="AA203" s="55">
        <f t="shared" si="59"/>
        <v>0</v>
      </c>
      <c r="AB203" s="55">
        <f t="shared" si="59"/>
        <v>0</v>
      </c>
      <c r="AC203" s="55">
        <f t="shared" si="59"/>
        <v>0</v>
      </c>
      <c r="AD203" s="55">
        <f t="shared" si="32"/>
        <v>0</v>
      </c>
      <c r="AE203" s="55">
        <f t="shared" si="32"/>
        <v>0</v>
      </c>
      <c r="AF203" s="55">
        <f t="shared" si="32"/>
        <v>0</v>
      </c>
      <c r="AG203" s="55">
        <f t="shared" si="32"/>
        <v>0</v>
      </c>
      <c r="AH203" s="55">
        <f t="shared" si="32"/>
        <v>0</v>
      </c>
      <c r="AI203" s="56">
        <f t="shared" si="32"/>
        <v>0</v>
      </c>
      <c r="AJ203" s="89"/>
      <c r="AK203" s="89"/>
      <c r="AL203" s="90"/>
    </row>
    <row r="204" spans="1:38" s="30" customFormat="1" ht="16" hidden="1" customHeight="1" outlineLevel="2">
      <c r="A204" s="108" t="s">
        <v>586</v>
      </c>
      <c r="B204" s="73" t="s">
        <v>56</v>
      </c>
      <c r="C204" s="228"/>
      <c r="D204" s="229"/>
      <c r="E204" s="381" t="e">
        <f>IF((#REF!-C204)/(D204-C204)&lt;0,0,IF((#REF!-C204)/(D204-C204)&gt;100%,100%,(#REF!-C204)/(D204-C204)))</f>
        <v>#REF!</v>
      </c>
      <c r="F204" s="270"/>
      <c r="G204" s="229"/>
      <c r="H204" s="381" t="e">
        <f>IF((#REF!-F204)/(G204-F204)&lt;0,0,IF((#REF!-F204)/(G204-F204)&gt;100%,100%,(#REF!-F204)/(G204-F204)))</f>
        <v>#REF!</v>
      </c>
      <c r="I204" s="268" t="e">
        <f t="shared" si="57"/>
        <v>#REF!</v>
      </c>
      <c r="J204" s="55">
        <f t="shared" si="58"/>
        <v>0</v>
      </c>
      <c r="K204" s="56">
        <f t="shared" si="58"/>
        <v>0</v>
      </c>
      <c r="L204" s="55">
        <f t="shared" si="58"/>
        <v>0</v>
      </c>
      <c r="M204" s="55">
        <f t="shared" si="58"/>
        <v>0</v>
      </c>
      <c r="N204" s="55">
        <f t="shared" si="58"/>
        <v>0</v>
      </c>
      <c r="O204" s="55">
        <f t="shared" si="58"/>
        <v>0</v>
      </c>
      <c r="P204" s="55">
        <f t="shared" si="58"/>
        <v>0</v>
      </c>
      <c r="Q204" s="55">
        <f t="shared" si="58"/>
        <v>0</v>
      </c>
      <c r="R204" s="55">
        <f t="shared" si="58"/>
        <v>0</v>
      </c>
      <c r="S204" s="55">
        <f t="shared" si="58"/>
        <v>0</v>
      </c>
      <c r="T204" s="55">
        <f t="shared" si="59"/>
        <v>0</v>
      </c>
      <c r="U204" s="55">
        <f t="shared" si="59"/>
        <v>0</v>
      </c>
      <c r="V204" s="55">
        <f t="shared" si="59"/>
        <v>0</v>
      </c>
      <c r="W204" s="56">
        <f t="shared" si="59"/>
        <v>0</v>
      </c>
      <c r="X204" s="57">
        <f t="shared" si="59"/>
        <v>0</v>
      </c>
      <c r="Y204" s="55">
        <f t="shared" si="59"/>
        <v>0</v>
      </c>
      <c r="Z204" s="55">
        <f t="shared" si="59"/>
        <v>0</v>
      </c>
      <c r="AA204" s="55">
        <f t="shared" si="59"/>
        <v>0</v>
      </c>
      <c r="AB204" s="55">
        <f t="shared" si="59"/>
        <v>0</v>
      </c>
      <c r="AC204" s="55">
        <f t="shared" si="59"/>
        <v>0</v>
      </c>
      <c r="AD204" s="55">
        <f t="shared" si="32"/>
        <v>0</v>
      </c>
      <c r="AE204" s="55">
        <f t="shared" si="32"/>
        <v>0</v>
      </c>
      <c r="AF204" s="55">
        <f t="shared" si="32"/>
        <v>0</v>
      </c>
      <c r="AG204" s="55">
        <f t="shared" si="32"/>
        <v>0</v>
      </c>
      <c r="AH204" s="55">
        <f t="shared" si="32"/>
        <v>0</v>
      </c>
      <c r="AI204" s="56">
        <f t="shared" si="32"/>
        <v>0</v>
      </c>
      <c r="AJ204" s="81"/>
      <c r="AK204" s="81"/>
      <c r="AL204" s="82"/>
    </row>
    <row r="205" spans="1:38" s="30" customFormat="1" ht="16" hidden="1" customHeight="1" outlineLevel="2">
      <c r="A205" s="108" t="s">
        <v>587</v>
      </c>
      <c r="B205" s="73" t="s">
        <v>57</v>
      </c>
      <c r="C205" s="228"/>
      <c r="D205" s="229"/>
      <c r="E205" s="381" t="e">
        <f>IF((#REF!-C205)/(D205-C205)&lt;0,0,IF((#REF!-C205)/(D205-C205)&gt;100%,100%,(#REF!-C205)/(D205-C205)))</f>
        <v>#REF!</v>
      </c>
      <c r="F205" s="270"/>
      <c r="G205" s="229"/>
      <c r="H205" s="381" t="e">
        <f>IF((#REF!-F205)/(G205-F205)&lt;0,0,IF((#REF!-F205)/(G205-F205)&gt;100%,100%,(#REF!-F205)/(G205-F205)))</f>
        <v>#REF!</v>
      </c>
      <c r="I205" s="268" t="e">
        <f t="shared" si="57"/>
        <v>#REF!</v>
      </c>
      <c r="J205" s="55">
        <f t="shared" si="58"/>
        <v>0</v>
      </c>
      <c r="K205" s="56">
        <f t="shared" si="58"/>
        <v>0</v>
      </c>
      <c r="L205" s="55">
        <f t="shared" si="58"/>
        <v>0</v>
      </c>
      <c r="M205" s="55">
        <f t="shared" si="58"/>
        <v>0</v>
      </c>
      <c r="N205" s="55">
        <f t="shared" si="58"/>
        <v>0</v>
      </c>
      <c r="O205" s="55">
        <f t="shared" si="58"/>
        <v>0</v>
      </c>
      <c r="P205" s="55">
        <f t="shared" si="58"/>
        <v>0</v>
      </c>
      <c r="Q205" s="55">
        <f t="shared" si="58"/>
        <v>0</v>
      </c>
      <c r="R205" s="55">
        <f t="shared" si="58"/>
        <v>0</v>
      </c>
      <c r="S205" s="55">
        <f t="shared" si="58"/>
        <v>0</v>
      </c>
      <c r="T205" s="55">
        <f t="shared" si="59"/>
        <v>0</v>
      </c>
      <c r="U205" s="55">
        <f t="shared" si="59"/>
        <v>0</v>
      </c>
      <c r="V205" s="55">
        <f t="shared" si="59"/>
        <v>0</v>
      </c>
      <c r="W205" s="56">
        <f t="shared" si="59"/>
        <v>0</v>
      </c>
      <c r="X205" s="57">
        <f t="shared" si="59"/>
        <v>0</v>
      </c>
      <c r="Y205" s="55">
        <f t="shared" si="59"/>
        <v>0</v>
      </c>
      <c r="Z205" s="55">
        <f t="shared" si="59"/>
        <v>0</v>
      </c>
      <c r="AA205" s="55">
        <f t="shared" si="59"/>
        <v>0</v>
      </c>
      <c r="AB205" s="55">
        <f t="shared" si="59"/>
        <v>0</v>
      </c>
      <c r="AC205" s="55">
        <f t="shared" si="59"/>
        <v>0</v>
      </c>
      <c r="AD205" s="55">
        <f t="shared" si="32"/>
        <v>0</v>
      </c>
      <c r="AE205" s="55">
        <f t="shared" si="32"/>
        <v>0</v>
      </c>
      <c r="AF205" s="55">
        <f t="shared" si="32"/>
        <v>0</v>
      </c>
      <c r="AG205" s="55">
        <f t="shared" si="32"/>
        <v>0</v>
      </c>
      <c r="AH205" s="55">
        <f t="shared" si="32"/>
        <v>0</v>
      </c>
      <c r="AI205" s="56">
        <f t="shared" si="32"/>
        <v>0</v>
      </c>
      <c r="AJ205" s="83"/>
      <c r="AK205" s="83"/>
      <c r="AL205" s="84"/>
    </row>
    <row r="206" spans="1:38" s="30" customFormat="1" ht="20" hidden="1" customHeight="1" outlineLevel="2">
      <c r="A206" s="108" t="s">
        <v>588</v>
      </c>
      <c r="B206" s="73" t="s">
        <v>58</v>
      </c>
      <c r="C206" s="228"/>
      <c r="D206" s="229"/>
      <c r="E206" s="381" t="e">
        <f>IF((#REF!-C206)/(D206-C206)&lt;0,0,IF((#REF!-C206)/(D206-C206)&gt;100%,100%,(#REF!-C206)/(D206-C206)))</f>
        <v>#REF!</v>
      </c>
      <c r="F206" s="270"/>
      <c r="G206" s="229"/>
      <c r="H206" s="381" t="e">
        <f>IF((#REF!-F206)/(G206-F206)&lt;0,0,IF((#REF!-F206)/(G206-F206)&gt;100%,100%,(#REF!-F206)/(G206-F206)))</f>
        <v>#REF!</v>
      </c>
      <c r="I206" s="268" t="e">
        <f t="shared" si="57"/>
        <v>#REF!</v>
      </c>
      <c r="J206" s="55">
        <f t="shared" si="58"/>
        <v>0</v>
      </c>
      <c r="K206" s="56">
        <f t="shared" si="58"/>
        <v>0</v>
      </c>
      <c r="L206" s="55">
        <f t="shared" si="58"/>
        <v>0</v>
      </c>
      <c r="M206" s="55">
        <f t="shared" si="58"/>
        <v>0</v>
      </c>
      <c r="N206" s="55">
        <f t="shared" si="58"/>
        <v>0</v>
      </c>
      <c r="O206" s="55">
        <f t="shared" si="58"/>
        <v>0</v>
      </c>
      <c r="P206" s="55">
        <f t="shared" si="58"/>
        <v>0</v>
      </c>
      <c r="Q206" s="55">
        <f t="shared" si="58"/>
        <v>0</v>
      </c>
      <c r="R206" s="55">
        <f t="shared" si="58"/>
        <v>0</v>
      </c>
      <c r="S206" s="55">
        <f t="shared" si="58"/>
        <v>0</v>
      </c>
      <c r="T206" s="55">
        <f t="shared" si="59"/>
        <v>0</v>
      </c>
      <c r="U206" s="55">
        <f t="shared" si="59"/>
        <v>0</v>
      </c>
      <c r="V206" s="55">
        <f t="shared" si="59"/>
        <v>0</v>
      </c>
      <c r="W206" s="56">
        <f t="shared" si="59"/>
        <v>0</v>
      </c>
      <c r="X206" s="57">
        <f t="shared" si="59"/>
        <v>0</v>
      </c>
      <c r="Y206" s="55">
        <f t="shared" si="59"/>
        <v>0</v>
      </c>
      <c r="Z206" s="55">
        <f t="shared" si="59"/>
        <v>0</v>
      </c>
      <c r="AA206" s="55">
        <f t="shared" si="59"/>
        <v>0</v>
      </c>
      <c r="AB206" s="55">
        <f t="shared" si="59"/>
        <v>0</v>
      </c>
      <c r="AC206" s="55">
        <f t="shared" si="59"/>
        <v>0</v>
      </c>
      <c r="AD206" s="55">
        <f t="shared" si="32"/>
        <v>0</v>
      </c>
      <c r="AE206" s="55">
        <f t="shared" si="32"/>
        <v>0</v>
      </c>
      <c r="AF206" s="55">
        <f t="shared" si="32"/>
        <v>0</v>
      </c>
      <c r="AG206" s="55">
        <f t="shared" si="32"/>
        <v>0</v>
      </c>
      <c r="AH206" s="55">
        <f t="shared" si="32"/>
        <v>0</v>
      </c>
      <c r="AI206" s="56">
        <f t="shared" si="32"/>
        <v>0</v>
      </c>
      <c r="AJ206" s="62"/>
      <c r="AK206" s="62"/>
      <c r="AL206" s="63"/>
    </row>
    <row r="207" spans="1:38" s="30" customFormat="1" ht="14.25" hidden="1" customHeight="1" outlineLevel="2">
      <c r="A207" s="108" t="s">
        <v>589</v>
      </c>
      <c r="B207" s="73" t="s">
        <v>59</v>
      </c>
      <c r="C207" s="228"/>
      <c r="D207" s="229"/>
      <c r="E207" s="381" t="e">
        <f>IF((#REF!-C207)/(D207-C207)&lt;0,0,IF((#REF!-C207)/(D207-C207)&gt;100%,100%,(#REF!-C207)/(D207-C207)))</f>
        <v>#REF!</v>
      </c>
      <c r="F207" s="270"/>
      <c r="G207" s="229"/>
      <c r="H207" s="381" t="e">
        <f>IF((#REF!-F207)/(G207-F207)&lt;0,0,IF((#REF!-F207)/(G207-F207)&gt;100%,100%,(#REF!-F207)/(G207-F207)))</f>
        <v>#REF!</v>
      </c>
      <c r="I207" s="268" t="e">
        <f t="shared" si="57"/>
        <v>#REF!</v>
      </c>
      <c r="J207" s="55">
        <f t="shared" ref="J207:S216" si="60">+IF(J$3&gt;=$C207,IF(J$3&lt;=$D207,1,0),0)</f>
        <v>0</v>
      </c>
      <c r="K207" s="56">
        <f t="shared" si="60"/>
        <v>0</v>
      </c>
      <c r="L207" s="55">
        <f t="shared" si="60"/>
        <v>0</v>
      </c>
      <c r="M207" s="55">
        <f t="shared" si="60"/>
        <v>0</v>
      </c>
      <c r="N207" s="55">
        <f t="shared" si="60"/>
        <v>0</v>
      </c>
      <c r="O207" s="55">
        <f t="shared" si="60"/>
        <v>0</v>
      </c>
      <c r="P207" s="55">
        <f t="shared" si="60"/>
        <v>0</v>
      </c>
      <c r="Q207" s="55">
        <f t="shared" si="60"/>
        <v>0</v>
      </c>
      <c r="R207" s="55">
        <f t="shared" si="60"/>
        <v>0</v>
      </c>
      <c r="S207" s="55">
        <f t="shared" si="60"/>
        <v>0</v>
      </c>
      <c r="T207" s="55">
        <f t="shared" ref="T207:AC216" si="61">+IF(T$3&gt;=$C207,IF(T$3&lt;=$D207,1,0),0)</f>
        <v>0</v>
      </c>
      <c r="U207" s="55">
        <f t="shared" si="61"/>
        <v>0</v>
      </c>
      <c r="V207" s="55">
        <f t="shared" si="61"/>
        <v>0</v>
      </c>
      <c r="W207" s="56">
        <f t="shared" si="61"/>
        <v>0</v>
      </c>
      <c r="X207" s="57">
        <f t="shared" si="61"/>
        <v>0</v>
      </c>
      <c r="Y207" s="55">
        <f t="shared" si="61"/>
        <v>0</v>
      </c>
      <c r="Z207" s="55">
        <f t="shared" si="61"/>
        <v>0</v>
      </c>
      <c r="AA207" s="55">
        <f t="shared" si="61"/>
        <v>0</v>
      </c>
      <c r="AB207" s="55">
        <f t="shared" si="61"/>
        <v>0</v>
      </c>
      <c r="AC207" s="55">
        <f t="shared" si="61"/>
        <v>0</v>
      </c>
      <c r="AD207" s="55">
        <f t="shared" si="32"/>
        <v>0</v>
      </c>
      <c r="AE207" s="55">
        <f t="shared" si="32"/>
        <v>0</v>
      </c>
      <c r="AF207" s="55">
        <f t="shared" si="32"/>
        <v>0</v>
      </c>
      <c r="AG207" s="55">
        <f t="shared" si="32"/>
        <v>0</v>
      </c>
      <c r="AH207" s="55">
        <f t="shared" si="32"/>
        <v>0</v>
      </c>
      <c r="AI207" s="56">
        <f t="shared" si="32"/>
        <v>0</v>
      </c>
      <c r="AJ207" s="91"/>
      <c r="AK207" s="91"/>
      <c r="AL207" s="92"/>
    </row>
    <row r="208" spans="1:38" s="30" customFormat="1" ht="17" hidden="1" customHeight="1" outlineLevel="2">
      <c r="A208" s="108" t="s">
        <v>590</v>
      </c>
      <c r="B208" s="73" t="s">
        <v>60</v>
      </c>
      <c r="C208" s="228"/>
      <c r="D208" s="229"/>
      <c r="E208" s="381" t="e">
        <f>IF((#REF!-C208)/(D208-C208)&lt;0,0,IF((#REF!-C208)/(D208-C208)&gt;100%,100%,(#REF!-C208)/(D208-C208)))</f>
        <v>#REF!</v>
      </c>
      <c r="F208" s="270"/>
      <c r="G208" s="229"/>
      <c r="H208" s="381" t="e">
        <f>IF((#REF!-F208)/(G208-F208)&lt;0,0,IF((#REF!-F208)/(G208-F208)&gt;100%,100%,(#REF!-F208)/(G208-F208)))</f>
        <v>#REF!</v>
      </c>
      <c r="I208" s="268" t="e">
        <f t="shared" si="57"/>
        <v>#REF!</v>
      </c>
      <c r="J208" s="55">
        <f t="shared" si="60"/>
        <v>0</v>
      </c>
      <c r="K208" s="56">
        <f t="shared" si="60"/>
        <v>0</v>
      </c>
      <c r="L208" s="55">
        <f t="shared" si="60"/>
        <v>0</v>
      </c>
      <c r="M208" s="55">
        <f t="shared" si="60"/>
        <v>0</v>
      </c>
      <c r="N208" s="55">
        <f t="shared" si="60"/>
        <v>0</v>
      </c>
      <c r="O208" s="55">
        <f t="shared" si="60"/>
        <v>0</v>
      </c>
      <c r="P208" s="55">
        <f t="shared" si="60"/>
        <v>0</v>
      </c>
      <c r="Q208" s="55">
        <f t="shared" si="60"/>
        <v>0</v>
      </c>
      <c r="R208" s="55">
        <f t="shared" si="60"/>
        <v>0</v>
      </c>
      <c r="S208" s="55">
        <f t="shared" si="60"/>
        <v>0</v>
      </c>
      <c r="T208" s="55">
        <f t="shared" si="61"/>
        <v>0</v>
      </c>
      <c r="U208" s="55">
        <f t="shared" si="61"/>
        <v>0</v>
      </c>
      <c r="V208" s="55">
        <f t="shared" si="61"/>
        <v>0</v>
      </c>
      <c r="W208" s="56">
        <f t="shared" si="61"/>
        <v>0</v>
      </c>
      <c r="X208" s="57">
        <f t="shared" si="61"/>
        <v>0</v>
      </c>
      <c r="Y208" s="55">
        <f t="shared" si="61"/>
        <v>0</v>
      </c>
      <c r="Z208" s="55">
        <f t="shared" si="61"/>
        <v>0</v>
      </c>
      <c r="AA208" s="55">
        <f t="shared" si="61"/>
        <v>0</v>
      </c>
      <c r="AB208" s="55">
        <f t="shared" si="61"/>
        <v>0</v>
      </c>
      <c r="AC208" s="55">
        <f t="shared" si="61"/>
        <v>0</v>
      </c>
      <c r="AD208" s="55">
        <f t="shared" si="32"/>
        <v>0</v>
      </c>
      <c r="AE208" s="55">
        <f t="shared" si="32"/>
        <v>0</v>
      </c>
      <c r="AF208" s="55">
        <f t="shared" si="32"/>
        <v>0</v>
      </c>
      <c r="AG208" s="55">
        <f t="shared" si="32"/>
        <v>0</v>
      </c>
      <c r="AH208" s="55">
        <f t="shared" si="32"/>
        <v>0</v>
      </c>
      <c r="AI208" s="56">
        <f t="shared" si="32"/>
        <v>0</v>
      </c>
      <c r="AJ208" s="60"/>
      <c r="AK208" s="60"/>
      <c r="AL208" s="61"/>
    </row>
    <row r="209" spans="1:38" s="30" customFormat="1" ht="20" hidden="1" customHeight="1" outlineLevel="2">
      <c r="A209" s="108" t="s">
        <v>591</v>
      </c>
      <c r="B209" s="73" t="s">
        <v>61</v>
      </c>
      <c r="C209" s="228"/>
      <c r="D209" s="229"/>
      <c r="E209" s="381" t="e">
        <f>IF((#REF!-C209)/(D209-C209)&lt;0,0,IF((#REF!-C209)/(D209-C209)&gt;100%,100%,(#REF!-C209)/(D209-C209)))</f>
        <v>#REF!</v>
      </c>
      <c r="F209" s="270"/>
      <c r="G209" s="229"/>
      <c r="H209" s="381" t="e">
        <f>IF((#REF!-F209)/(G209-F209)&lt;0,0,IF((#REF!-F209)/(G209-F209)&gt;100%,100%,(#REF!-F209)/(G209-F209)))</f>
        <v>#REF!</v>
      </c>
      <c r="I209" s="268" t="e">
        <f t="shared" si="57"/>
        <v>#REF!</v>
      </c>
      <c r="J209" s="55">
        <f t="shared" si="60"/>
        <v>0</v>
      </c>
      <c r="K209" s="56">
        <f t="shared" si="60"/>
        <v>0</v>
      </c>
      <c r="L209" s="55">
        <f t="shared" si="60"/>
        <v>0</v>
      </c>
      <c r="M209" s="55">
        <f t="shared" si="60"/>
        <v>0</v>
      </c>
      <c r="N209" s="55">
        <f t="shared" si="60"/>
        <v>0</v>
      </c>
      <c r="O209" s="55">
        <f t="shared" si="60"/>
        <v>0</v>
      </c>
      <c r="P209" s="55">
        <f t="shared" si="60"/>
        <v>0</v>
      </c>
      <c r="Q209" s="55">
        <f t="shared" si="60"/>
        <v>0</v>
      </c>
      <c r="R209" s="55">
        <f t="shared" si="60"/>
        <v>0</v>
      </c>
      <c r="S209" s="55">
        <f t="shared" si="60"/>
        <v>0</v>
      </c>
      <c r="T209" s="55">
        <f t="shared" si="61"/>
        <v>0</v>
      </c>
      <c r="U209" s="55">
        <f t="shared" si="61"/>
        <v>0</v>
      </c>
      <c r="V209" s="55">
        <f t="shared" si="61"/>
        <v>0</v>
      </c>
      <c r="W209" s="56">
        <f t="shared" si="61"/>
        <v>0</v>
      </c>
      <c r="X209" s="57">
        <f t="shared" si="61"/>
        <v>0</v>
      </c>
      <c r="Y209" s="55">
        <f t="shared" si="61"/>
        <v>0</v>
      </c>
      <c r="Z209" s="55">
        <f t="shared" si="61"/>
        <v>0</v>
      </c>
      <c r="AA209" s="55">
        <f t="shared" si="61"/>
        <v>0</v>
      </c>
      <c r="AB209" s="55">
        <f t="shared" si="61"/>
        <v>0</v>
      </c>
      <c r="AC209" s="55">
        <f t="shared" si="61"/>
        <v>0</v>
      </c>
      <c r="AD209" s="55">
        <f t="shared" si="32"/>
        <v>0</v>
      </c>
      <c r="AE209" s="55">
        <f t="shared" si="32"/>
        <v>0</v>
      </c>
      <c r="AF209" s="55">
        <f t="shared" si="32"/>
        <v>0</v>
      </c>
      <c r="AG209" s="55">
        <f t="shared" si="32"/>
        <v>0</v>
      </c>
      <c r="AH209" s="55">
        <f t="shared" si="32"/>
        <v>0</v>
      </c>
      <c r="AI209" s="56">
        <f t="shared" si="32"/>
        <v>0</v>
      </c>
      <c r="AJ209" s="62"/>
      <c r="AK209" s="62"/>
      <c r="AL209" s="63"/>
    </row>
    <row r="210" spans="1:38" s="30" customFormat="1" ht="20" hidden="1" customHeight="1" outlineLevel="1" collapsed="1">
      <c r="A210" s="109" t="s">
        <v>592</v>
      </c>
      <c r="B210" s="48" t="s">
        <v>235</v>
      </c>
      <c r="C210" s="228"/>
      <c r="D210" s="229"/>
      <c r="E210" s="381" t="e">
        <f>IF((#REF!-C210)/(D210-C210)&lt;0,0,IF((#REF!-C210)/(D210-C210)&gt;100%,100%,(#REF!-C210)/(D210-C210)))</f>
        <v>#REF!</v>
      </c>
      <c r="F210" s="270"/>
      <c r="G210" s="229"/>
      <c r="H210" s="381" t="e">
        <f>IF((#REF!-F210)/(G210-F210)&lt;0,0,IF((#REF!-F210)/(G210-F210)&gt;100%,100%,(#REF!-F210)/(G210-F210)))</f>
        <v>#REF!</v>
      </c>
      <c r="I210" s="268" t="e">
        <f t="shared" si="57"/>
        <v>#REF!</v>
      </c>
      <c r="J210" s="49">
        <f t="shared" si="60"/>
        <v>0</v>
      </c>
      <c r="K210" s="50">
        <f t="shared" si="60"/>
        <v>0</v>
      </c>
      <c r="L210" s="49">
        <f t="shared" si="60"/>
        <v>0</v>
      </c>
      <c r="M210" s="49">
        <f t="shared" si="60"/>
        <v>0</v>
      </c>
      <c r="N210" s="49">
        <f t="shared" si="60"/>
        <v>0</v>
      </c>
      <c r="O210" s="49">
        <f t="shared" si="60"/>
        <v>0</v>
      </c>
      <c r="P210" s="49">
        <f t="shared" si="60"/>
        <v>0</v>
      </c>
      <c r="Q210" s="49">
        <f t="shared" si="60"/>
        <v>0</v>
      </c>
      <c r="R210" s="49">
        <f t="shared" si="60"/>
        <v>0</v>
      </c>
      <c r="S210" s="49">
        <f t="shared" si="60"/>
        <v>0</v>
      </c>
      <c r="T210" s="49">
        <f t="shared" si="61"/>
        <v>0</v>
      </c>
      <c r="U210" s="49">
        <f t="shared" si="61"/>
        <v>0</v>
      </c>
      <c r="V210" s="49">
        <f t="shared" si="61"/>
        <v>0</v>
      </c>
      <c r="W210" s="50">
        <f t="shared" si="61"/>
        <v>0</v>
      </c>
      <c r="X210" s="51">
        <f t="shared" si="61"/>
        <v>0</v>
      </c>
      <c r="Y210" s="49">
        <f t="shared" si="61"/>
        <v>0</v>
      </c>
      <c r="Z210" s="49">
        <f t="shared" si="61"/>
        <v>0</v>
      </c>
      <c r="AA210" s="49">
        <f t="shared" si="61"/>
        <v>0</v>
      </c>
      <c r="AB210" s="49">
        <f t="shared" si="61"/>
        <v>0</v>
      </c>
      <c r="AC210" s="49">
        <f t="shared" si="61"/>
        <v>0</v>
      </c>
      <c r="AD210" s="49">
        <f t="shared" si="32"/>
        <v>0</v>
      </c>
      <c r="AE210" s="49">
        <f t="shared" si="32"/>
        <v>0</v>
      </c>
      <c r="AF210" s="49">
        <f t="shared" si="32"/>
        <v>0</v>
      </c>
      <c r="AG210" s="49">
        <f t="shared" si="32"/>
        <v>0</v>
      </c>
      <c r="AH210" s="49">
        <f t="shared" si="32"/>
        <v>0</v>
      </c>
      <c r="AI210" s="50">
        <f t="shared" si="32"/>
        <v>0</v>
      </c>
      <c r="AJ210" s="70"/>
      <c r="AK210" s="70"/>
      <c r="AL210" s="71"/>
    </row>
    <row r="211" spans="1:38" s="30" customFormat="1" ht="16" hidden="1" outlineLevel="1">
      <c r="A211" s="108" t="s">
        <v>593</v>
      </c>
      <c r="B211" s="73" t="s">
        <v>49</v>
      </c>
      <c r="C211" s="220"/>
      <c r="D211" s="221"/>
      <c r="E211" s="378" t="e">
        <f>IF((#REF!-C211)/(D211-C211)&lt;0,0,IF((#REF!-C211)/(D211-C211)&gt;100%,100%,(#REF!-C211)/(D211-C211)))</f>
        <v>#REF!</v>
      </c>
      <c r="F211" s="271"/>
      <c r="G211" s="221"/>
      <c r="H211" s="378" t="e">
        <f>IF((#REF!-F211)/(G211-F211)&lt;0,0,IF((#REF!-F211)/(G211-F211)&gt;100%,100%,(#REF!-F211)/(G211-F211)))</f>
        <v>#REF!</v>
      </c>
      <c r="I211" s="268" t="e">
        <f t="shared" si="57"/>
        <v>#REF!</v>
      </c>
      <c r="J211" s="55">
        <f t="shared" si="60"/>
        <v>0</v>
      </c>
      <c r="K211" s="56">
        <f t="shared" si="60"/>
        <v>0</v>
      </c>
      <c r="L211" s="55">
        <f t="shared" si="60"/>
        <v>0</v>
      </c>
      <c r="M211" s="55">
        <f t="shared" si="60"/>
        <v>0</v>
      </c>
      <c r="N211" s="55">
        <f t="shared" si="60"/>
        <v>0</v>
      </c>
      <c r="O211" s="55">
        <f t="shared" si="60"/>
        <v>0</v>
      </c>
      <c r="P211" s="55">
        <f t="shared" si="60"/>
        <v>0</v>
      </c>
      <c r="Q211" s="55">
        <f t="shared" si="60"/>
        <v>0</v>
      </c>
      <c r="R211" s="55">
        <f t="shared" si="60"/>
        <v>0</v>
      </c>
      <c r="S211" s="55">
        <f t="shared" si="60"/>
        <v>0</v>
      </c>
      <c r="T211" s="55">
        <f t="shared" si="61"/>
        <v>0</v>
      </c>
      <c r="U211" s="55">
        <f t="shared" si="61"/>
        <v>0</v>
      </c>
      <c r="V211" s="55">
        <f t="shared" si="61"/>
        <v>0</v>
      </c>
      <c r="W211" s="56">
        <f t="shared" si="61"/>
        <v>0</v>
      </c>
      <c r="X211" s="57">
        <f t="shared" si="61"/>
        <v>0</v>
      </c>
      <c r="Y211" s="55">
        <f t="shared" si="61"/>
        <v>0</v>
      </c>
      <c r="Z211" s="55">
        <f t="shared" si="61"/>
        <v>0</v>
      </c>
      <c r="AA211" s="55">
        <f t="shared" si="61"/>
        <v>0</v>
      </c>
      <c r="AB211" s="55">
        <f t="shared" si="61"/>
        <v>0</v>
      </c>
      <c r="AC211" s="55">
        <f t="shared" si="61"/>
        <v>0</v>
      </c>
      <c r="AD211" s="55">
        <f t="shared" si="32"/>
        <v>0</v>
      </c>
      <c r="AE211" s="55">
        <f t="shared" si="32"/>
        <v>0</v>
      </c>
      <c r="AF211" s="55">
        <f t="shared" si="32"/>
        <v>0</v>
      </c>
      <c r="AG211" s="55">
        <f t="shared" si="32"/>
        <v>0</v>
      </c>
      <c r="AH211" s="55">
        <f t="shared" si="32"/>
        <v>0</v>
      </c>
      <c r="AI211" s="56">
        <f t="shared" si="32"/>
        <v>0</v>
      </c>
      <c r="AJ211" s="93"/>
      <c r="AK211" s="93"/>
      <c r="AL211" s="94"/>
    </row>
    <row r="212" spans="1:38" s="30" customFormat="1" ht="30" hidden="1" outlineLevel="1">
      <c r="A212" s="108" t="s">
        <v>594</v>
      </c>
      <c r="B212" s="73" t="s">
        <v>50</v>
      </c>
      <c r="C212" s="220"/>
      <c r="D212" s="221"/>
      <c r="E212" s="378" t="e">
        <f>IF((#REF!-C212)/(D212-C212)&lt;0,0,IF((#REF!-C212)/(D212-C212)&gt;100%,100%,(#REF!-C212)/(D212-C212)))</f>
        <v>#REF!</v>
      </c>
      <c r="F212" s="271"/>
      <c r="G212" s="221"/>
      <c r="H212" s="378" t="e">
        <f>IF((#REF!-F212)/(G212-F212)&lt;0,0,IF((#REF!-F212)/(G212-F212)&gt;100%,100%,(#REF!-F212)/(G212-F212)))</f>
        <v>#REF!</v>
      </c>
      <c r="I212" s="268" t="e">
        <f t="shared" si="57"/>
        <v>#REF!</v>
      </c>
      <c r="J212" s="55">
        <f t="shared" si="60"/>
        <v>0</v>
      </c>
      <c r="K212" s="56">
        <f t="shared" si="60"/>
        <v>0</v>
      </c>
      <c r="L212" s="55">
        <f t="shared" si="60"/>
        <v>0</v>
      </c>
      <c r="M212" s="55">
        <f t="shared" si="60"/>
        <v>0</v>
      </c>
      <c r="N212" s="55">
        <f t="shared" si="60"/>
        <v>0</v>
      </c>
      <c r="O212" s="55">
        <f t="shared" si="60"/>
        <v>0</v>
      </c>
      <c r="P212" s="55">
        <f t="shared" si="60"/>
        <v>0</v>
      </c>
      <c r="Q212" s="55">
        <f t="shared" si="60"/>
        <v>0</v>
      </c>
      <c r="R212" s="55">
        <f t="shared" si="60"/>
        <v>0</v>
      </c>
      <c r="S212" s="55">
        <f t="shared" si="60"/>
        <v>0</v>
      </c>
      <c r="T212" s="55">
        <f t="shared" si="61"/>
        <v>0</v>
      </c>
      <c r="U212" s="55">
        <f t="shared" si="61"/>
        <v>0</v>
      </c>
      <c r="V212" s="55">
        <f t="shared" si="61"/>
        <v>0</v>
      </c>
      <c r="W212" s="56">
        <f t="shared" si="61"/>
        <v>0</v>
      </c>
      <c r="X212" s="57">
        <f t="shared" si="61"/>
        <v>0</v>
      </c>
      <c r="Y212" s="55">
        <f t="shared" si="61"/>
        <v>0</v>
      </c>
      <c r="Z212" s="55">
        <f t="shared" si="61"/>
        <v>0</v>
      </c>
      <c r="AA212" s="55">
        <f t="shared" si="61"/>
        <v>0</v>
      </c>
      <c r="AB212" s="55">
        <f t="shared" si="61"/>
        <v>0</v>
      </c>
      <c r="AC212" s="55">
        <f t="shared" si="61"/>
        <v>0</v>
      </c>
      <c r="AD212" s="55">
        <f t="shared" si="32"/>
        <v>0</v>
      </c>
      <c r="AE212" s="55">
        <f t="shared" si="32"/>
        <v>0</v>
      </c>
      <c r="AF212" s="55">
        <f t="shared" si="32"/>
        <v>0</v>
      </c>
      <c r="AG212" s="55">
        <f t="shared" si="32"/>
        <v>0</v>
      </c>
      <c r="AH212" s="55">
        <f t="shared" si="32"/>
        <v>0</v>
      </c>
      <c r="AI212" s="56">
        <f t="shared" si="32"/>
        <v>0</v>
      </c>
      <c r="AJ212" s="95"/>
      <c r="AK212" s="95"/>
      <c r="AL212" s="96"/>
    </row>
    <row r="213" spans="1:38" s="30" customFormat="1" ht="16" collapsed="1">
      <c r="A213" s="148" t="s">
        <v>260</v>
      </c>
      <c r="B213" s="407" t="s">
        <v>240</v>
      </c>
      <c r="C213" s="243">
        <v>46096</v>
      </c>
      <c r="D213" s="244">
        <v>46127</v>
      </c>
      <c r="E213" s="380" t="e">
        <f>IF((#REF!-C213)/(D213-C213)&lt;0,0,IF((#REF!-C213)/(D213-C213)&gt;100%,100%,(#REF!-C213)/(D213-C213)))</f>
        <v>#REF!</v>
      </c>
      <c r="F213" s="273"/>
      <c r="G213" s="274"/>
      <c r="H213" s="380" t="e">
        <f>IF((#REF!-F213)/(G213-F213)&lt;0,0,IF((#REF!-F213)/(G213-F213)&gt;100%,100%,(#REF!-F213)/(G213-F213)))</f>
        <v>#REF!</v>
      </c>
      <c r="I213" s="268" t="e">
        <f t="shared" si="57"/>
        <v>#REF!</v>
      </c>
      <c r="J213" s="25">
        <f t="shared" si="60"/>
        <v>0</v>
      </c>
      <c r="K213" s="26">
        <f t="shared" si="60"/>
        <v>0</v>
      </c>
      <c r="L213" s="25">
        <f t="shared" si="60"/>
        <v>0</v>
      </c>
      <c r="M213" s="25">
        <f t="shared" si="60"/>
        <v>0</v>
      </c>
      <c r="N213" s="25">
        <f t="shared" si="60"/>
        <v>1</v>
      </c>
      <c r="O213" s="25">
        <f t="shared" si="60"/>
        <v>0</v>
      </c>
      <c r="P213" s="25">
        <f t="shared" si="60"/>
        <v>0</v>
      </c>
      <c r="Q213" s="25">
        <f t="shared" si="60"/>
        <v>0</v>
      </c>
      <c r="R213" s="25">
        <f t="shared" si="60"/>
        <v>0</v>
      </c>
      <c r="S213" s="25">
        <f t="shared" si="60"/>
        <v>0</v>
      </c>
      <c r="T213" s="25">
        <f t="shared" si="61"/>
        <v>0</v>
      </c>
      <c r="U213" s="25">
        <f t="shared" si="61"/>
        <v>0</v>
      </c>
      <c r="V213" s="25">
        <f t="shared" si="61"/>
        <v>0</v>
      </c>
      <c r="W213" s="26">
        <f t="shared" si="61"/>
        <v>0</v>
      </c>
      <c r="X213" s="27">
        <f t="shared" si="61"/>
        <v>0</v>
      </c>
      <c r="Y213" s="25">
        <f t="shared" si="61"/>
        <v>0</v>
      </c>
      <c r="Z213" s="25">
        <f t="shared" si="61"/>
        <v>0</v>
      </c>
      <c r="AA213" s="25">
        <f t="shared" si="61"/>
        <v>0</v>
      </c>
      <c r="AB213" s="25">
        <f t="shared" si="61"/>
        <v>0</v>
      </c>
      <c r="AC213" s="25">
        <f t="shared" si="61"/>
        <v>0</v>
      </c>
      <c r="AD213" s="25">
        <f t="shared" si="32"/>
        <v>0</v>
      </c>
      <c r="AE213" s="25">
        <f t="shared" si="32"/>
        <v>0</v>
      </c>
      <c r="AF213" s="25">
        <f t="shared" si="32"/>
        <v>0</v>
      </c>
      <c r="AG213" s="25">
        <f t="shared" si="32"/>
        <v>0</v>
      </c>
      <c r="AH213" s="25">
        <f t="shared" si="32"/>
        <v>0</v>
      </c>
      <c r="AI213" s="26">
        <f t="shared" si="32"/>
        <v>0</v>
      </c>
      <c r="AJ213" s="28"/>
      <c r="AK213" s="28"/>
      <c r="AL213" s="29"/>
    </row>
    <row r="214" spans="1:38" s="100" customFormat="1" ht="27.5" hidden="1" customHeight="1" outlineLevel="1">
      <c r="A214" s="164" t="s">
        <v>261</v>
      </c>
      <c r="B214" s="409" t="s">
        <v>78</v>
      </c>
      <c r="C214" s="235"/>
      <c r="D214" s="236"/>
      <c r="E214" s="378" t="e">
        <f>IF((#REF!-C214)/(D214-C214)&lt;0,0,IF((#REF!-C214)/(D214-C214)&gt;100%,100%,(#REF!-C214)/(D214-C214)))</f>
        <v>#REF!</v>
      </c>
      <c r="F214" s="275"/>
      <c r="G214" s="276"/>
      <c r="H214" s="378" t="e">
        <f>IF((#REF!-F214)/(G214-F214)&lt;0,0,IF((#REF!-F214)/(G214-F214)&gt;100%,100%,(#REF!-F214)/(G214-F214)))</f>
        <v>#REF!</v>
      </c>
      <c r="I214" s="268" t="e">
        <f t="shared" si="57"/>
        <v>#REF!</v>
      </c>
      <c r="J214" s="97">
        <f t="shared" si="60"/>
        <v>0</v>
      </c>
      <c r="K214" s="98">
        <f t="shared" si="60"/>
        <v>0</v>
      </c>
      <c r="L214" s="97">
        <f t="shared" si="60"/>
        <v>0</v>
      </c>
      <c r="M214" s="97">
        <f t="shared" si="60"/>
        <v>0</v>
      </c>
      <c r="N214" s="97">
        <f t="shared" si="60"/>
        <v>0</v>
      </c>
      <c r="O214" s="97">
        <f t="shared" si="60"/>
        <v>0</v>
      </c>
      <c r="P214" s="97">
        <f t="shared" si="60"/>
        <v>0</v>
      </c>
      <c r="Q214" s="97">
        <f t="shared" si="60"/>
        <v>0</v>
      </c>
      <c r="R214" s="97">
        <f t="shared" si="60"/>
        <v>0</v>
      </c>
      <c r="S214" s="97">
        <f t="shared" si="60"/>
        <v>0</v>
      </c>
      <c r="T214" s="97">
        <f t="shared" si="61"/>
        <v>0</v>
      </c>
      <c r="U214" s="97">
        <f t="shared" si="61"/>
        <v>0</v>
      </c>
      <c r="V214" s="97">
        <f t="shared" si="61"/>
        <v>0</v>
      </c>
      <c r="W214" s="98">
        <f t="shared" si="61"/>
        <v>0</v>
      </c>
      <c r="X214" s="99">
        <f t="shared" si="61"/>
        <v>0</v>
      </c>
      <c r="Y214" s="97">
        <f t="shared" si="61"/>
        <v>0</v>
      </c>
      <c r="Z214" s="97">
        <f t="shared" si="61"/>
        <v>0</v>
      </c>
      <c r="AA214" s="97">
        <f t="shared" si="61"/>
        <v>0</v>
      </c>
      <c r="AB214" s="97">
        <f t="shared" si="61"/>
        <v>0</v>
      </c>
      <c r="AC214" s="97">
        <f t="shared" si="61"/>
        <v>0</v>
      </c>
      <c r="AD214" s="97">
        <f t="shared" si="32"/>
        <v>0</v>
      </c>
      <c r="AE214" s="97">
        <f t="shared" si="32"/>
        <v>0</v>
      </c>
      <c r="AF214" s="97">
        <f t="shared" si="32"/>
        <v>0</v>
      </c>
      <c r="AG214" s="97">
        <f t="shared" si="32"/>
        <v>0</v>
      </c>
      <c r="AH214" s="97">
        <f t="shared" si="32"/>
        <v>0</v>
      </c>
      <c r="AI214" s="98">
        <f t="shared" si="32"/>
        <v>0</v>
      </c>
      <c r="AJ214" s="91"/>
      <c r="AK214" s="91"/>
      <c r="AL214" s="92"/>
    </row>
    <row r="215" spans="1:38" s="100" customFormat="1" ht="21" hidden="1" customHeight="1" outlineLevel="1">
      <c r="A215" s="164" t="s">
        <v>262</v>
      </c>
      <c r="B215" s="409" t="s">
        <v>79</v>
      </c>
      <c r="C215" s="235"/>
      <c r="D215" s="236"/>
      <c r="E215" s="378" t="e">
        <f>IF((#REF!-C215)/(D215-C215)&lt;0,0,IF((#REF!-C215)/(D215-C215)&gt;100%,100%,(#REF!-C215)/(D215-C215)))</f>
        <v>#REF!</v>
      </c>
      <c r="F215" s="275"/>
      <c r="G215" s="276"/>
      <c r="H215" s="378" t="e">
        <f>IF((#REF!-F215)/(G215-F215)&lt;0,0,IF((#REF!-F215)/(G215-F215)&gt;100%,100%,(#REF!-F215)/(G215-F215)))</f>
        <v>#REF!</v>
      </c>
      <c r="I215" s="268" t="e">
        <f t="shared" si="57"/>
        <v>#REF!</v>
      </c>
      <c r="J215" s="97">
        <f t="shared" si="60"/>
        <v>0</v>
      </c>
      <c r="K215" s="98">
        <f t="shared" si="60"/>
        <v>0</v>
      </c>
      <c r="L215" s="97">
        <f t="shared" si="60"/>
        <v>0</v>
      </c>
      <c r="M215" s="97">
        <f t="shared" si="60"/>
        <v>0</v>
      </c>
      <c r="N215" s="97">
        <f t="shared" si="60"/>
        <v>0</v>
      </c>
      <c r="O215" s="97">
        <f t="shared" si="60"/>
        <v>0</v>
      </c>
      <c r="P215" s="97">
        <f t="shared" si="60"/>
        <v>0</v>
      </c>
      <c r="Q215" s="97">
        <f t="shared" si="60"/>
        <v>0</v>
      </c>
      <c r="R215" s="97">
        <f t="shared" si="60"/>
        <v>0</v>
      </c>
      <c r="S215" s="97">
        <f t="shared" si="60"/>
        <v>0</v>
      </c>
      <c r="T215" s="97">
        <f t="shared" si="61"/>
        <v>0</v>
      </c>
      <c r="U215" s="97">
        <f t="shared" si="61"/>
        <v>0</v>
      </c>
      <c r="V215" s="97">
        <f t="shared" si="61"/>
        <v>0</v>
      </c>
      <c r="W215" s="98">
        <f t="shared" si="61"/>
        <v>0</v>
      </c>
      <c r="X215" s="99">
        <f t="shared" si="61"/>
        <v>0</v>
      </c>
      <c r="Y215" s="97">
        <f t="shared" si="61"/>
        <v>0</v>
      </c>
      <c r="Z215" s="97">
        <f t="shared" si="61"/>
        <v>0</v>
      </c>
      <c r="AA215" s="97">
        <f t="shared" si="61"/>
        <v>0</v>
      </c>
      <c r="AB215" s="97">
        <f t="shared" si="61"/>
        <v>0</v>
      </c>
      <c r="AC215" s="97">
        <f t="shared" si="61"/>
        <v>0</v>
      </c>
      <c r="AD215" s="97">
        <f t="shared" si="32"/>
        <v>0</v>
      </c>
      <c r="AE215" s="97">
        <f t="shared" si="32"/>
        <v>0</v>
      </c>
      <c r="AF215" s="97">
        <f t="shared" si="32"/>
        <v>0</v>
      </c>
      <c r="AG215" s="97">
        <f t="shared" si="32"/>
        <v>0</v>
      </c>
      <c r="AH215" s="97">
        <f t="shared" si="32"/>
        <v>0</v>
      </c>
      <c r="AI215" s="98">
        <f t="shared" si="32"/>
        <v>0</v>
      </c>
      <c r="AJ215" s="91"/>
      <c r="AK215" s="91"/>
      <c r="AL215" s="92"/>
    </row>
    <row r="216" spans="1:38" s="100" customFormat="1" ht="20.5" hidden="1" customHeight="1" outlineLevel="1">
      <c r="A216" s="164" t="s">
        <v>263</v>
      </c>
      <c r="B216" s="409" t="s">
        <v>77</v>
      </c>
      <c r="C216" s="235"/>
      <c r="D216" s="236"/>
      <c r="E216" s="378" t="e">
        <f>IF((#REF!-C216)/(D216-C216)&lt;0,0,IF((#REF!-C216)/(D216-C216)&gt;100%,100%,(#REF!-C216)/(D216-C216)))</f>
        <v>#REF!</v>
      </c>
      <c r="F216" s="275"/>
      <c r="G216" s="276"/>
      <c r="H216" s="378"/>
      <c r="I216" s="268"/>
      <c r="J216" s="97">
        <f t="shared" si="60"/>
        <v>0</v>
      </c>
      <c r="K216" s="98">
        <f t="shared" si="60"/>
        <v>0</v>
      </c>
      <c r="L216" s="97">
        <f t="shared" si="60"/>
        <v>0</v>
      </c>
      <c r="M216" s="97">
        <f t="shared" si="60"/>
        <v>0</v>
      </c>
      <c r="N216" s="97">
        <f t="shared" si="60"/>
        <v>0</v>
      </c>
      <c r="O216" s="97">
        <f t="shared" si="60"/>
        <v>0</v>
      </c>
      <c r="P216" s="97">
        <f t="shared" si="60"/>
        <v>0</v>
      </c>
      <c r="Q216" s="97">
        <f t="shared" si="60"/>
        <v>0</v>
      </c>
      <c r="R216" s="97">
        <f t="shared" si="60"/>
        <v>0</v>
      </c>
      <c r="S216" s="97">
        <f t="shared" si="60"/>
        <v>0</v>
      </c>
      <c r="T216" s="97">
        <f t="shared" si="61"/>
        <v>0</v>
      </c>
      <c r="U216" s="97">
        <f t="shared" si="61"/>
        <v>0</v>
      </c>
      <c r="V216" s="97">
        <f t="shared" si="61"/>
        <v>0</v>
      </c>
      <c r="W216" s="98">
        <f t="shared" si="61"/>
        <v>0</v>
      </c>
      <c r="X216" s="99">
        <f t="shared" si="61"/>
        <v>0</v>
      </c>
      <c r="Y216" s="97">
        <f t="shared" si="61"/>
        <v>0</v>
      </c>
      <c r="Z216" s="97">
        <f t="shared" si="61"/>
        <v>0</v>
      </c>
      <c r="AA216" s="97">
        <f t="shared" si="61"/>
        <v>0</v>
      </c>
      <c r="AB216" s="97">
        <f t="shared" si="61"/>
        <v>0</v>
      </c>
      <c r="AC216" s="97">
        <f t="shared" si="61"/>
        <v>0</v>
      </c>
      <c r="AD216" s="97">
        <f t="shared" si="32"/>
        <v>0</v>
      </c>
      <c r="AE216" s="97">
        <f t="shared" si="32"/>
        <v>0</v>
      </c>
      <c r="AF216" s="97">
        <f t="shared" si="32"/>
        <v>0</v>
      </c>
      <c r="AG216" s="97">
        <f t="shared" si="32"/>
        <v>0</v>
      </c>
      <c r="AH216" s="97">
        <f t="shared" si="32"/>
        <v>0</v>
      </c>
      <c r="AI216" s="98">
        <f t="shared" si="32"/>
        <v>0</v>
      </c>
      <c r="AJ216" s="91"/>
      <c r="AK216" s="91"/>
      <c r="AL216" s="92"/>
    </row>
    <row r="217" spans="1:38" s="30" customFormat="1" ht="19.25" customHeight="1" collapsed="1">
      <c r="A217" s="148" t="s">
        <v>264</v>
      </c>
      <c r="B217" s="67" t="s">
        <v>239</v>
      </c>
      <c r="C217" s="237" t="s">
        <v>284</v>
      </c>
      <c r="D217" s="238" t="s">
        <v>284</v>
      </c>
      <c r="E217" s="380"/>
      <c r="F217" s="269" t="s">
        <v>284</v>
      </c>
      <c r="G217" s="238" t="s">
        <v>284</v>
      </c>
      <c r="H217" s="380"/>
      <c r="I217" s="268"/>
      <c r="J217" s="25">
        <f t="shared" ref="J217:S230" si="62">+IF(J$3&gt;=$C217,IF(J$3&lt;=$D217,1,0),0)</f>
        <v>0</v>
      </c>
      <c r="K217" s="26">
        <f t="shared" si="62"/>
        <v>0</v>
      </c>
      <c r="L217" s="25">
        <f t="shared" si="62"/>
        <v>0</v>
      </c>
      <c r="M217" s="25">
        <f t="shared" si="62"/>
        <v>0</v>
      </c>
      <c r="N217" s="25">
        <f t="shared" si="62"/>
        <v>0</v>
      </c>
      <c r="O217" s="25">
        <f t="shared" si="62"/>
        <v>0</v>
      </c>
      <c r="P217" s="25">
        <f t="shared" si="62"/>
        <v>0</v>
      </c>
      <c r="Q217" s="25">
        <f t="shared" si="62"/>
        <v>0</v>
      </c>
      <c r="R217" s="25">
        <f t="shared" si="62"/>
        <v>0</v>
      </c>
      <c r="S217" s="25">
        <f t="shared" si="62"/>
        <v>0</v>
      </c>
      <c r="T217" s="25">
        <f t="shared" ref="T217:AC230" si="63">+IF(T$3&gt;=$C217,IF(T$3&lt;=$D217,1,0),0)</f>
        <v>0</v>
      </c>
      <c r="U217" s="25">
        <f t="shared" si="63"/>
        <v>0</v>
      </c>
      <c r="V217" s="25">
        <f t="shared" si="63"/>
        <v>0</v>
      </c>
      <c r="W217" s="26">
        <f t="shared" si="63"/>
        <v>0</v>
      </c>
      <c r="X217" s="27">
        <f t="shared" si="63"/>
        <v>0</v>
      </c>
      <c r="Y217" s="25">
        <f t="shared" si="63"/>
        <v>0</v>
      </c>
      <c r="Z217" s="25">
        <f t="shared" si="63"/>
        <v>0</v>
      </c>
      <c r="AA217" s="25">
        <f t="shared" si="63"/>
        <v>0</v>
      </c>
      <c r="AB217" s="25">
        <f t="shared" si="63"/>
        <v>0</v>
      </c>
      <c r="AC217" s="25">
        <f t="shared" si="63"/>
        <v>0</v>
      </c>
      <c r="AD217" s="25">
        <f t="shared" si="32"/>
        <v>0</v>
      </c>
      <c r="AE217" s="25">
        <f t="shared" si="32"/>
        <v>0</v>
      </c>
      <c r="AF217" s="25">
        <f t="shared" si="32"/>
        <v>0</v>
      </c>
      <c r="AG217" s="25">
        <f t="shared" si="32"/>
        <v>0</v>
      </c>
      <c r="AH217" s="25">
        <f t="shared" si="32"/>
        <v>0</v>
      </c>
      <c r="AI217" s="26">
        <f t="shared" si="32"/>
        <v>0</v>
      </c>
      <c r="AJ217" s="101"/>
      <c r="AK217" s="101"/>
      <c r="AL217" s="102"/>
    </row>
    <row r="218" spans="1:38" s="30" customFormat="1" ht="21" hidden="1" customHeight="1" outlineLevel="1">
      <c r="A218" s="108" t="s">
        <v>265</v>
      </c>
      <c r="B218" s="54" t="s">
        <v>227</v>
      </c>
      <c r="C218" s="239"/>
      <c r="D218" s="240"/>
      <c r="E218" s="378" t="e">
        <f>IF((#REF!-C218)/(D218-C218)&lt;0,0,IF((#REF!-C218)/(D218-C218)&gt;100%,100%,(#REF!-C218)/(D218-C218)))</f>
        <v>#REF!</v>
      </c>
      <c r="F218" s="271"/>
      <c r="G218" s="221"/>
      <c r="H218" s="378" t="e">
        <f>IF((#REF!-F218)/(G218-F218)&lt;0,0,IF((#REF!-F218)/(G218-F218)&gt;100%,100%,(#REF!-F218)/(G218-F218)))</f>
        <v>#REF!</v>
      </c>
      <c r="I218" s="268" t="e">
        <f>(D218-C218)/100%*(H218-E218)</f>
        <v>#REF!</v>
      </c>
      <c r="J218" s="55">
        <f t="shared" si="62"/>
        <v>0</v>
      </c>
      <c r="K218" s="56">
        <f t="shared" si="62"/>
        <v>0</v>
      </c>
      <c r="L218" s="55">
        <f t="shared" si="62"/>
        <v>0</v>
      </c>
      <c r="M218" s="55">
        <f t="shared" si="62"/>
        <v>0</v>
      </c>
      <c r="N218" s="55">
        <f t="shared" si="62"/>
        <v>0</v>
      </c>
      <c r="O218" s="55">
        <f t="shared" si="62"/>
        <v>0</v>
      </c>
      <c r="P218" s="55">
        <f t="shared" si="62"/>
        <v>0</v>
      </c>
      <c r="Q218" s="55">
        <f t="shared" si="62"/>
        <v>0</v>
      </c>
      <c r="R218" s="55">
        <f t="shared" si="62"/>
        <v>0</v>
      </c>
      <c r="S218" s="55">
        <f t="shared" si="62"/>
        <v>0</v>
      </c>
      <c r="T218" s="55">
        <f t="shared" si="63"/>
        <v>0</v>
      </c>
      <c r="U218" s="55">
        <f t="shared" si="63"/>
        <v>0</v>
      </c>
      <c r="V218" s="55">
        <f t="shared" si="63"/>
        <v>0</v>
      </c>
      <c r="W218" s="56">
        <f t="shared" si="63"/>
        <v>0</v>
      </c>
      <c r="X218" s="57">
        <f t="shared" si="63"/>
        <v>0</v>
      </c>
      <c r="Y218" s="55">
        <f t="shared" si="63"/>
        <v>0</v>
      </c>
      <c r="Z218" s="55">
        <f t="shared" si="63"/>
        <v>0</v>
      </c>
      <c r="AA218" s="55">
        <f t="shared" si="63"/>
        <v>0</v>
      </c>
      <c r="AB218" s="55">
        <f t="shared" si="63"/>
        <v>0</v>
      </c>
      <c r="AC218" s="55">
        <f t="shared" si="63"/>
        <v>0</v>
      </c>
      <c r="AD218" s="55">
        <f t="shared" si="32"/>
        <v>0</v>
      </c>
      <c r="AE218" s="55">
        <f t="shared" si="32"/>
        <v>0</v>
      </c>
      <c r="AF218" s="55">
        <f t="shared" si="32"/>
        <v>0</v>
      </c>
      <c r="AG218" s="55">
        <f t="shared" si="32"/>
        <v>0</v>
      </c>
      <c r="AH218" s="55">
        <f t="shared" si="32"/>
        <v>0</v>
      </c>
      <c r="AI218" s="56">
        <f t="shared" si="32"/>
        <v>0</v>
      </c>
      <c r="AJ218" s="58"/>
      <c r="AK218" s="58"/>
      <c r="AL218" s="59"/>
    </row>
    <row r="219" spans="1:38" s="30" customFormat="1" ht="27.5" hidden="1" customHeight="1" outlineLevel="1">
      <c r="A219" s="108" t="s">
        <v>595</v>
      </c>
      <c r="B219" s="54" t="s">
        <v>69</v>
      </c>
      <c r="C219" s="239"/>
      <c r="D219" s="240"/>
      <c r="E219" s="378" t="e">
        <f>IF((#REF!-C219)/(D219-C219)&lt;0,0,IF((#REF!-C219)/(D219-C219)&gt;100%,100%,(#REF!-C219)/(D219-C219)))</f>
        <v>#REF!</v>
      </c>
      <c r="F219" s="271"/>
      <c r="G219" s="221"/>
      <c r="H219" s="378" t="e">
        <f>IF((#REF!-F219)/(G219-F219)&lt;0,0,IF((#REF!-F219)/(G219-F219)&gt;100%,100%,(#REF!-F219)/(G219-F219)))</f>
        <v>#REF!</v>
      </c>
      <c r="I219" s="268" t="e">
        <f t="shared" ref="I219:I230" si="64">(D219-C219)/100%*(H219-E219)</f>
        <v>#REF!</v>
      </c>
      <c r="J219" s="55">
        <f t="shared" si="62"/>
        <v>0</v>
      </c>
      <c r="K219" s="56">
        <f t="shared" si="62"/>
        <v>0</v>
      </c>
      <c r="L219" s="55">
        <f t="shared" si="62"/>
        <v>0</v>
      </c>
      <c r="M219" s="55">
        <f t="shared" si="62"/>
        <v>0</v>
      </c>
      <c r="N219" s="55">
        <f t="shared" si="62"/>
        <v>0</v>
      </c>
      <c r="O219" s="55">
        <f t="shared" si="62"/>
        <v>0</v>
      </c>
      <c r="P219" s="55">
        <f t="shared" si="62"/>
        <v>0</v>
      </c>
      <c r="Q219" s="55">
        <f t="shared" si="62"/>
        <v>0</v>
      </c>
      <c r="R219" s="55">
        <f t="shared" si="62"/>
        <v>0</v>
      </c>
      <c r="S219" s="55">
        <f t="shared" si="62"/>
        <v>0</v>
      </c>
      <c r="T219" s="55">
        <f t="shared" si="63"/>
        <v>0</v>
      </c>
      <c r="U219" s="55">
        <f t="shared" si="63"/>
        <v>0</v>
      </c>
      <c r="V219" s="55">
        <f t="shared" si="63"/>
        <v>0</v>
      </c>
      <c r="W219" s="56">
        <f t="shared" si="63"/>
        <v>0</v>
      </c>
      <c r="X219" s="57">
        <f t="shared" si="63"/>
        <v>0</v>
      </c>
      <c r="Y219" s="55">
        <f t="shared" si="63"/>
        <v>0</v>
      </c>
      <c r="Z219" s="55">
        <f t="shared" si="63"/>
        <v>0</v>
      </c>
      <c r="AA219" s="55">
        <f t="shared" si="63"/>
        <v>0</v>
      </c>
      <c r="AB219" s="55">
        <f t="shared" si="63"/>
        <v>0</v>
      </c>
      <c r="AC219" s="55">
        <f t="shared" si="63"/>
        <v>0</v>
      </c>
      <c r="AD219" s="55">
        <f t="shared" si="32"/>
        <v>0</v>
      </c>
      <c r="AE219" s="55">
        <f t="shared" si="32"/>
        <v>0</v>
      </c>
      <c r="AF219" s="55">
        <f t="shared" si="32"/>
        <v>0</v>
      </c>
      <c r="AG219" s="55">
        <f t="shared" si="32"/>
        <v>0</v>
      </c>
      <c r="AH219" s="55">
        <f t="shared" si="32"/>
        <v>0</v>
      </c>
      <c r="AI219" s="56">
        <f t="shared" si="32"/>
        <v>0</v>
      </c>
      <c r="AJ219" s="58"/>
      <c r="AK219" s="58"/>
      <c r="AL219" s="59"/>
    </row>
    <row r="220" spans="1:38" s="30" customFormat="1" ht="24" hidden="1" customHeight="1" outlineLevel="1">
      <c r="A220" s="108" t="s">
        <v>596</v>
      </c>
      <c r="B220" s="54" t="s">
        <v>70</v>
      </c>
      <c r="C220" s="239"/>
      <c r="D220" s="240"/>
      <c r="E220" s="378" t="e">
        <f>IF((#REF!-C220)/(D220-C220)&lt;0,0,IF((#REF!-C220)/(D220-C220)&gt;100%,100%,(#REF!-C220)/(D220-C220)))</f>
        <v>#REF!</v>
      </c>
      <c r="F220" s="271"/>
      <c r="G220" s="221"/>
      <c r="H220" s="378" t="e">
        <f>IF((#REF!-F220)/(G220-F220)&lt;0,0,IF((#REF!-F220)/(G220-F220)&gt;100%,100%,(#REF!-F220)/(G220-F220)))</f>
        <v>#REF!</v>
      </c>
      <c r="I220" s="268" t="e">
        <f t="shared" si="64"/>
        <v>#REF!</v>
      </c>
      <c r="J220" s="55">
        <f t="shared" si="62"/>
        <v>0</v>
      </c>
      <c r="K220" s="56">
        <f t="shared" si="62"/>
        <v>0</v>
      </c>
      <c r="L220" s="55">
        <f t="shared" si="62"/>
        <v>0</v>
      </c>
      <c r="M220" s="55">
        <f t="shared" si="62"/>
        <v>0</v>
      </c>
      <c r="N220" s="55">
        <f t="shared" si="62"/>
        <v>0</v>
      </c>
      <c r="O220" s="55">
        <f t="shared" si="62"/>
        <v>0</v>
      </c>
      <c r="P220" s="55">
        <f t="shared" si="62"/>
        <v>0</v>
      </c>
      <c r="Q220" s="55">
        <f t="shared" si="62"/>
        <v>0</v>
      </c>
      <c r="R220" s="55">
        <f t="shared" si="62"/>
        <v>0</v>
      </c>
      <c r="S220" s="55">
        <f t="shared" si="62"/>
        <v>0</v>
      </c>
      <c r="T220" s="55">
        <f t="shared" si="63"/>
        <v>0</v>
      </c>
      <c r="U220" s="55">
        <f t="shared" si="63"/>
        <v>0</v>
      </c>
      <c r="V220" s="55">
        <f t="shared" si="63"/>
        <v>0</v>
      </c>
      <c r="W220" s="56">
        <f t="shared" si="63"/>
        <v>0</v>
      </c>
      <c r="X220" s="57">
        <f t="shared" si="63"/>
        <v>0</v>
      </c>
      <c r="Y220" s="55">
        <f t="shared" si="63"/>
        <v>0</v>
      </c>
      <c r="Z220" s="55">
        <f t="shared" si="63"/>
        <v>0</v>
      </c>
      <c r="AA220" s="55">
        <f t="shared" si="63"/>
        <v>0</v>
      </c>
      <c r="AB220" s="55">
        <f t="shared" si="63"/>
        <v>0</v>
      </c>
      <c r="AC220" s="55">
        <f t="shared" si="63"/>
        <v>0</v>
      </c>
      <c r="AD220" s="55">
        <f t="shared" si="32"/>
        <v>0</v>
      </c>
      <c r="AE220" s="55">
        <f t="shared" si="32"/>
        <v>0</v>
      </c>
      <c r="AF220" s="55">
        <f t="shared" si="32"/>
        <v>0</v>
      </c>
      <c r="AG220" s="55">
        <f t="shared" si="32"/>
        <v>0</v>
      </c>
      <c r="AH220" s="55">
        <f t="shared" si="32"/>
        <v>0</v>
      </c>
      <c r="AI220" s="56">
        <f t="shared" si="32"/>
        <v>0</v>
      </c>
      <c r="AJ220" s="103"/>
      <c r="AK220" s="103"/>
      <c r="AL220" s="104"/>
    </row>
    <row r="221" spans="1:38" s="30" customFormat="1" ht="25.75" hidden="1" customHeight="1" outlineLevel="1">
      <c r="A221" s="108" t="s">
        <v>597</v>
      </c>
      <c r="B221" s="54" t="s">
        <v>71</v>
      </c>
      <c r="C221" s="220"/>
      <c r="D221" s="221"/>
      <c r="E221" s="378" t="e">
        <f>IF((#REF!-C221)/(D221-C221)&lt;0,0,IF((#REF!-C221)/(D221-C221)&gt;100%,100%,(#REF!-C221)/(D221-C221)))</f>
        <v>#REF!</v>
      </c>
      <c r="F221" s="271"/>
      <c r="G221" s="221"/>
      <c r="H221" s="378" t="e">
        <f>IF((#REF!-F221)/(G221-F221)&lt;0,0,IF((#REF!-F221)/(G221-F221)&gt;100%,100%,(#REF!-F221)/(G221-F221)))</f>
        <v>#REF!</v>
      </c>
      <c r="I221" s="268" t="e">
        <f t="shared" si="64"/>
        <v>#REF!</v>
      </c>
      <c r="J221" s="55">
        <f t="shared" si="62"/>
        <v>0</v>
      </c>
      <c r="K221" s="56">
        <f t="shared" si="62"/>
        <v>0</v>
      </c>
      <c r="L221" s="55">
        <f t="shared" si="62"/>
        <v>0</v>
      </c>
      <c r="M221" s="55">
        <f t="shared" si="62"/>
        <v>0</v>
      </c>
      <c r="N221" s="55">
        <f t="shared" si="62"/>
        <v>0</v>
      </c>
      <c r="O221" s="55">
        <f t="shared" si="62"/>
        <v>0</v>
      </c>
      <c r="P221" s="55">
        <f t="shared" si="62"/>
        <v>0</v>
      </c>
      <c r="Q221" s="55">
        <f t="shared" si="62"/>
        <v>0</v>
      </c>
      <c r="R221" s="55">
        <f t="shared" si="62"/>
        <v>0</v>
      </c>
      <c r="S221" s="55">
        <f t="shared" si="62"/>
        <v>0</v>
      </c>
      <c r="T221" s="55">
        <f t="shared" si="63"/>
        <v>0</v>
      </c>
      <c r="U221" s="55">
        <f t="shared" si="63"/>
        <v>0</v>
      </c>
      <c r="V221" s="55">
        <f t="shared" si="63"/>
        <v>0</v>
      </c>
      <c r="W221" s="56">
        <f t="shared" si="63"/>
        <v>0</v>
      </c>
      <c r="X221" s="57">
        <f t="shared" si="63"/>
        <v>0</v>
      </c>
      <c r="Y221" s="55">
        <f t="shared" si="63"/>
        <v>0</v>
      </c>
      <c r="Z221" s="55">
        <f t="shared" si="63"/>
        <v>0</v>
      </c>
      <c r="AA221" s="55">
        <f t="shared" si="63"/>
        <v>0</v>
      </c>
      <c r="AB221" s="55">
        <f t="shared" si="63"/>
        <v>0</v>
      </c>
      <c r="AC221" s="55">
        <f t="shared" si="63"/>
        <v>0</v>
      </c>
      <c r="AD221" s="55">
        <f t="shared" si="32"/>
        <v>0</v>
      </c>
      <c r="AE221" s="55">
        <f t="shared" si="32"/>
        <v>0</v>
      </c>
      <c r="AF221" s="55">
        <f t="shared" si="32"/>
        <v>0</v>
      </c>
      <c r="AG221" s="55">
        <f t="shared" si="32"/>
        <v>0</v>
      </c>
      <c r="AH221" s="55">
        <f t="shared" si="32"/>
        <v>0</v>
      </c>
      <c r="AI221" s="56">
        <f t="shared" si="32"/>
        <v>0</v>
      </c>
      <c r="AJ221" s="89"/>
      <c r="AK221" s="89"/>
      <c r="AL221" s="90"/>
    </row>
    <row r="222" spans="1:38" s="30" customFormat="1" ht="18" hidden="1" customHeight="1" outlineLevel="1">
      <c r="A222" s="108" t="s">
        <v>598</v>
      </c>
      <c r="B222" s="54" t="s">
        <v>228</v>
      </c>
      <c r="C222" s="241"/>
      <c r="D222" s="242"/>
      <c r="E222" s="378" t="e">
        <f>IF((#REF!-C222)/(D222-C222)&lt;0,0,IF((#REF!-C222)/(D222-C222)&gt;100%,100%,(#REF!-C222)/(D222-C222)))</f>
        <v>#REF!</v>
      </c>
      <c r="F222" s="277"/>
      <c r="G222" s="278"/>
      <c r="H222" s="378" t="e">
        <f>IF((#REF!-F222)/(G222-F222)&lt;0,0,IF((#REF!-F222)/(G222-F222)&gt;100%,100%,(#REF!-F222)/(G222-F222)))</f>
        <v>#REF!</v>
      </c>
      <c r="I222" s="268" t="e">
        <f t="shared" si="64"/>
        <v>#REF!</v>
      </c>
      <c r="J222" s="55">
        <f t="shared" si="62"/>
        <v>0</v>
      </c>
      <c r="K222" s="56">
        <f t="shared" si="62"/>
        <v>0</v>
      </c>
      <c r="L222" s="55">
        <f t="shared" si="62"/>
        <v>0</v>
      </c>
      <c r="M222" s="55">
        <f t="shared" si="62"/>
        <v>0</v>
      </c>
      <c r="N222" s="55">
        <f t="shared" si="62"/>
        <v>0</v>
      </c>
      <c r="O222" s="55">
        <f t="shared" si="62"/>
        <v>0</v>
      </c>
      <c r="P222" s="55">
        <f t="shared" si="62"/>
        <v>0</v>
      </c>
      <c r="Q222" s="55">
        <f t="shared" si="62"/>
        <v>0</v>
      </c>
      <c r="R222" s="55">
        <f t="shared" si="62"/>
        <v>0</v>
      </c>
      <c r="S222" s="55">
        <f t="shared" si="62"/>
        <v>0</v>
      </c>
      <c r="T222" s="55">
        <f t="shared" si="63"/>
        <v>0</v>
      </c>
      <c r="U222" s="55">
        <f t="shared" si="63"/>
        <v>0</v>
      </c>
      <c r="V222" s="55">
        <f t="shared" si="63"/>
        <v>0</v>
      </c>
      <c r="W222" s="56">
        <f t="shared" si="63"/>
        <v>0</v>
      </c>
      <c r="X222" s="57">
        <f t="shared" si="63"/>
        <v>0</v>
      </c>
      <c r="Y222" s="55">
        <f t="shared" si="63"/>
        <v>0</v>
      </c>
      <c r="Z222" s="55">
        <f t="shared" si="63"/>
        <v>0</v>
      </c>
      <c r="AA222" s="55">
        <f t="shared" si="63"/>
        <v>0</v>
      </c>
      <c r="AB222" s="55">
        <f t="shared" si="63"/>
        <v>0</v>
      </c>
      <c r="AC222" s="55">
        <f t="shared" si="63"/>
        <v>0</v>
      </c>
      <c r="AD222" s="55">
        <f t="shared" si="32"/>
        <v>0</v>
      </c>
      <c r="AE222" s="55">
        <f t="shared" si="32"/>
        <v>0</v>
      </c>
      <c r="AF222" s="55">
        <f t="shared" si="32"/>
        <v>0</v>
      </c>
      <c r="AG222" s="55">
        <f t="shared" si="32"/>
        <v>0</v>
      </c>
      <c r="AH222" s="55">
        <f t="shared" si="32"/>
        <v>0</v>
      </c>
      <c r="AI222" s="56">
        <f t="shared" si="32"/>
        <v>0</v>
      </c>
      <c r="AJ222" s="103"/>
      <c r="AK222" s="103"/>
      <c r="AL222" s="104"/>
    </row>
    <row r="223" spans="1:38" s="30" customFormat="1" ht="19.75" hidden="1" customHeight="1" outlineLevel="1">
      <c r="A223" s="108" t="s">
        <v>599</v>
      </c>
      <c r="B223" s="54" t="s">
        <v>229</v>
      </c>
      <c r="C223" s="239"/>
      <c r="D223" s="240"/>
      <c r="E223" s="378" t="e">
        <f>IF((#REF!-C223)/(D223-C223)&lt;0,0,IF((#REF!-C223)/(D223-C223)&gt;100%,100%,(#REF!-C223)/(D223-C223)))</f>
        <v>#REF!</v>
      </c>
      <c r="F223" s="271"/>
      <c r="G223" s="221"/>
      <c r="H223" s="378" t="e">
        <f>IF((#REF!-F223)/(G223-F223)&lt;0,0,IF((#REF!-F223)/(G223-F223)&gt;100%,100%,(#REF!-F223)/(G223-F223)))</f>
        <v>#REF!</v>
      </c>
      <c r="I223" s="268" t="e">
        <f t="shared" si="64"/>
        <v>#REF!</v>
      </c>
      <c r="J223" s="55">
        <f t="shared" si="62"/>
        <v>0</v>
      </c>
      <c r="K223" s="56">
        <f t="shared" si="62"/>
        <v>0</v>
      </c>
      <c r="L223" s="55">
        <f t="shared" si="62"/>
        <v>0</v>
      </c>
      <c r="M223" s="55">
        <f t="shared" si="62"/>
        <v>0</v>
      </c>
      <c r="N223" s="55">
        <f t="shared" si="62"/>
        <v>0</v>
      </c>
      <c r="O223" s="55">
        <f t="shared" si="62"/>
        <v>0</v>
      </c>
      <c r="P223" s="55">
        <f t="shared" si="62"/>
        <v>0</v>
      </c>
      <c r="Q223" s="55">
        <f t="shared" si="62"/>
        <v>0</v>
      </c>
      <c r="R223" s="55">
        <f t="shared" si="62"/>
        <v>0</v>
      </c>
      <c r="S223" s="55">
        <f t="shared" si="62"/>
        <v>0</v>
      </c>
      <c r="T223" s="55">
        <f t="shared" si="63"/>
        <v>0</v>
      </c>
      <c r="U223" s="55">
        <f t="shared" si="63"/>
        <v>0</v>
      </c>
      <c r="V223" s="55">
        <f t="shared" si="63"/>
        <v>0</v>
      </c>
      <c r="W223" s="56">
        <f t="shared" si="63"/>
        <v>0</v>
      </c>
      <c r="X223" s="57">
        <f t="shared" si="63"/>
        <v>0</v>
      </c>
      <c r="Y223" s="55">
        <f t="shared" si="63"/>
        <v>0</v>
      </c>
      <c r="Z223" s="55">
        <f t="shared" si="63"/>
        <v>0</v>
      </c>
      <c r="AA223" s="55">
        <f t="shared" si="63"/>
        <v>0</v>
      </c>
      <c r="AB223" s="55">
        <f t="shared" si="63"/>
        <v>0</v>
      </c>
      <c r="AC223" s="55">
        <f t="shared" si="63"/>
        <v>0</v>
      </c>
      <c r="AD223" s="55">
        <f t="shared" si="32"/>
        <v>0</v>
      </c>
      <c r="AE223" s="55">
        <f t="shared" si="32"/>
        <v>0</v>
      </c>
      <c r="AF223" s="55">
        <f t="shared" si="32"/>
        <v>0</v>
      </c>
      <c r="AG223" s="55">
        <f t="shared" si="32"/>
        <v>0</v>
      </c>
      <c r="AH223" s="55">
        <f t="shared" si="32"/>
        <v>0</v>
      </c>
      <c r="AI223" s="56">
        <f t="shared" si="32"/>
        <v>0</v>
      </c>
      <c r="AJ223" s="91"/>
      <c r="AK223" s="91"/>
      <c r="AL223" s="92"/>
    </row>
    <row r="224" spans="1:38" s="30" customFormat="1" ht="18" hidden="1" customHeight="1" outlineLevel="1">
      <c r="A224" s="108" t="s">
        <v>600</v>
      </c>
      <c r="B224" s="54" t="s">
        <v>230</v>
      </c>
      <c r="C224" s="239"/>
      <c r="D224" s="240"/>
      <c r="E224" s="378" t="e">
        <f>IF((#REF!-C224)/(D224-C224)&lt;0,0,IF((#REF!-C224)/(D224-C224)&gt;100%,100%,(#REF!-C224)/(D224-C224)))</f>
        <v>#REF!</v>
      </c>
      <c r="F224" s="271"/>
      <c r="G224" s="221"/>
      <c r="H224" s="378" t="e">
        <f>IF((#REF!-F224)/(G224-F224)&lt;0,0,IF((#REF!-F224)/(G224-F224)&gt;100%,100%,(#REF!-F224)/(G224-F224)))</f>
        <v>#REF!</v>
      </c>
      <c r="I224" s="268" t="e">
        <f t="shared" si="64"/>
        <v>#REF!</v>
      </c>
      <c r="J224" s="55">
        <f t="shared" si="62"/>
        <v>0</v>
      </c>
      <c r="K224" s="56">
        <f t="shared" si="62"/>
        <v>0</v>
      </c>
      <c r="L224" s="55">
        <f t="shared" si="62"/>
        <v>0</v>
      </c>
      <c r="M224" s="55">
        <f t="shared" si="62"/>
        <v>0</v>
      </c>
      <c r="N224" s="55">
        <f t="shared" si="62"/>
        <v>0</v>
      </c>
      <c r="O224" s="55">
        <f t="shared" si="62"/>
        <v>0</v>
      </c>
      <c r="P224" s="55">
        <f t="shared" si="62"/>
        <v>0</v>
      </c>
      <c r="Q224" s="55">
        <f t="shared" si="62"/>
        <v>0</v>
      </c>
      <c r="R224" s="55">
        <f t="shared" si="62"/>
        <v>0</v>
      </c>
      <c r="S224" s="55">
        <f t="shared" si="62"/>
        <v>0</v>
      </c>
      <c r="T224" s="55">
        <f t="shared" si="63"/>
        <v>0</v>
      </c>
      <c r="U224" s="55">
        <f t="shared" si="63"/>
        <v>0</v>
      </c>
      <c r="V224" s="55">
        <f t="shared" si="63"/>
        <v>0</v>
      </c>
      <c r="W224" s="56">
        <f t="shared" si="63"/>
        <v>0</v>
      </c>
      <c r="X224" s="57">
        <f t="shared" si="63"/>
        <v>0</v>
      </c>
      <c r="Y224" s="55">
        <f t="shared" si="63"/>
        <v>0</v>
      </c>
      <c r="Z224" s="55">
        <f t="shared" si="63"/>
        <v>0</v>
      </c>
      <c r="AA224" s="55">
        <f t="shared" si="63"/>
        <v>0</v>
      </c>
      <c r="AB224" s="55">
        <f t="shared" si="63"/>
        <v>0</v>
      </c>
      <c r="AC224" s="55">
        <f t="shared" si="63"/>
        <v>0</v>
      </c>
      <c r="AD224" s="55">
        <f t="shared" si="32"/>
        <v>0</v>
      </c>
      <c r="AE224" s="55">
        <f t="shared" si="32"/>
        <v>0</v>
      </c>
      <c r="AF224" s="55">
        <f t="shared" si="32"/>
        <v>0</v>
      </c>
      <c r="AG224" s="55">
        <f t="shared" si="32"/>
        <v>0</v>
      </c>
      <c r="AH224" s="55">
        <f t="shared" si="32"/>
        <v>0</v>
      </c>
      <c r="AI224" s="56">
        <f t="shared" si="32"/>
        <v>0</v>
      </c>
      <c r="AJ224" s="91"/>
      <c r="AK224" s="91"/>
      <c r="AL224" s="92"/>
    </row>
    <row r="225" spans="1:38" s="30" customFormat="1" ht="19.25" hidden="1" customHeight="1" outlineLevel="1">
      <c r="A225" s="108" t="s">
        <v>601</v>
      </c>
      <c r="B225" s="414" t="s">
        <v>267</v>
      </c>
      <c r="C225" s="239"/>
      <c r="D225" s="240"/>
      <c r="E225" s="378" t="e">
        <f>IF((#REF!-C225)/(D225-C225)&lt;0,0,IF((#REF!-C225)/(D225-C225)&gt;100%,100%,(#REF!-C225)/(D225-C225)))</f>
        <v>#REF!</v>
      </c>
      <c r="F225" s="271"/>
      <c r="G225" s="221"/>
      <c r="H225" s="378" t="e">
        <f>IF((#REF!-F225)/(G225-F225)&lt;0,0,IF((#REF!-F225)/(G225-F225)&gt;100%,100%,(#REF!-F225)/(G225-F225)))</f>
        <v>#REF!</v>
      </c>
      <c r="I225" s="268" t="e">
        <f t="shared" si="64"/>
        <v>#REF!</v>
      </c>
      <c r="J225" s="55">
        <f t="shared" si="62"/>
        <v>0</v>
      </c>
      <c r="K225" s="56">
        <f t="shared" si="62"/>
        <v>0</v>
      </c>
      <c r="L225" s="55">
        <f t="shared" si="62"/>
        <v>0</v>
      </c>
      <c r="M225" s="55">
        <f t="shared" si="62"/>
        <v>0</v>
      </c>
      <c r="N225" s="55">
        <f t="shared" si="62"/>
        <v>0</v>
      </c>
      <c r="O225" s="55">
        <f t="shared" si="62"/>
        <v>0</v>
      </c>
      <c r="P225" s="55">
        <f t="shared" si="62"/>
        <v>0</v>
      </c>
      <c r="Q225" s="55">
        <f t="shared" si="62"/>
        <v>0</v>
      </c>
      <c r="R225" s="55">
        <f t="shared" si="62"/>
        <v>0</v>
      </c>
      <c r="S225" s="55">
        <f t="shared" si="62"/>
        <v>0</v>
      </c>
      <c r="T225" s="55">
        <f t="shared" si="63"/>
        <v>0</v>
      </c>
      <c r="U225" s="55">
        <f t="shared" si="63"/>
        <v>0</v>
      </c>
      <c r="V225" s="55">
        <f t="shared" si="63"/>
        <v>0</v>
      </c>
      <c r="W225" s="56">
        <f t="shared" si="63"/>
        <v>0</v>
      </c>
      <c r="X225" s="57">
        <f t="shared" si="63"/>
        <v>0</v>
      </c>
      <c r="Y225" s="55">
        <f t="shared" si="63"/>
        <v>0</v>
      </c>
      <c r="Z225" s="55">
        <f t="shared" si="63"/>
        <v>0</v>
      </c>
      <c r="AA225" s="55">
        <f t="shared" si="63"/>
        <v>0</v>
      </c>
      <c r="AB225" s="55">
        <f t="shared" si="63"/>
        <v>0</v>
      </c>
      <c r="AC225" s="55">
        <f t="shared" si="63"/>
        <v>0</v>
      </c>
      <c r="AD225" s="55">
        <f t="shared" si="32"/>
        <v>0</v>
      </c>
      <c r="AE225" s="55">
        <f t="shared" si="32"/>
        <v>0</v>
      </c>
      <c r="AF225" s="55">
        <f t="shared" si="32"/>
        <v>0</v>
      </c>
      <c r="AG225" s="55">
        <f t="shared" si="32"/>
        <v>0</v>
      </c>
      <c r="AH225" s="55">
        <f t="shared" si="32"/>
        <v>0</v>
      </c>
      <c r="AI225" s="56">
        <f t="shared" si="32"/>
        <v>0</v>
      </c>
      <c r="AJ225" s="91"/>
      <c r="AK225" s="91"/>
      <c r="AL225" s="92"/>
    </row>
    <row r="226" spans="1:38" s="30" customFormat="1" ht="21" customHeight="1" collapsed="1">
      <c r="A226" s="148" t="s">
        <v>323</v>
      </c>
      <c r="B226" s="411" t="s">
        <v>72</v>
      </c>
      <c r="C226" s="243">
        <v>46137</v>
      </c>
      <c r="D226" s="244">
        <v>46172</v>
      </c>
      <c r="E226" s="380" t="e">
        <f>IF((#REF!-C226)/(D226-C226)&lt;0,0,IF((#REF!-C226)/(D226-C226)&gt;100%,100%,(#REF!-C226)/(D226-C226)))</f>
        <v>#REF!</v>
      </c>
      <c r="F226" s="273"/>
      <c r="G226" s="274"/>
      <c r="H226" s="380" t="e">
        <f>IF((#REF!-F226)/(G226-F226)&lt;0,0,IF((#REF!-F226)/(G226-F226)&gt;100%,100%,(#REF!-F226)/(G226-F226)))</f>
        <v>#REF!</v>
      </c>
      <c r="I226" s="268" t="e">
        <f t="shared" si="64"/>
        <v>#REF!</v>
      </c>
      <c r="J226" s="25">
        <f t="shared" si="62"/>
        <v>0</v>
      </c>
      <c r="K226" s="26">
        <f t="shared" si="62"/>
        <v>0</v>
      </c>
      <c r="L226" s="25">
        <f t="shared" si="62"/>
        <v>0</v>
      </c>
      <c r="M226" s="25">
        <f t="shared" si="62"/>
        <v>0</v>
      </c>
      <c r="N226" s="25">
        <f t="shared" si="62"/>
        <v>0</v>
      </c>
      <c r="O226" s="25">
        <f t="shared" si="62"/>
        <v>1</v>
      </c>
      <c r="P226" s="25">
        <f t="shared" si="62"/>
        <v>0</v>
      </c>
      <c r="Q226" s="25">
        <f t="shared" si="62"/>
        <v>0</v>
      </c>
      <c r="R226" s="25">
        <f t="shared" si="62"/>
        <v>0</v>
      </c>
      <c r="S226" s="25">
        <f t="shared" si="62"/>
        <v>0</v>
      </c>
      <c r="T226" s="25">
        <f t="shared" si="63"/>
        <v>0</v>
      </c>
      <c r="U226" s="25">
        <f t="shared" si="63"/>
        <v>0</v>
      </c>
      <c r="V226" s="25">
        <f t="shared" si="63"/>
        <v>0</v>
      </c>
      <c r="W226" s="26">
        <f t="shared" si="63"/>
        <v>0</v>
      </c>
      <c r="X226" s="27">
        <f t="shared" si="63"/>
        <v>0</v>
      </c>
      <c r="Y226" s="25">
        <f t="shared" si="63"/>
        <v>0</v>
      </c>
      <c r="Z226" s="25">
        <f t="shared" si="63"/>
        <v>0</v>
      </c>
      <c r="AA226" s="25">
        <f t="shared" si="63"/>
        <v>0</v>
      </c>
      <c r="AB226" s="25">
        <f t="shared" si="63"/>
        <v>0</v>
      </c>
      <c r="AC226" s="25">
        <f t="shared" si="63"/>
        <v>0</v>
      </c>
      <c r="AD226" s="25">
        <f t="shared" si="32"/>
        <v>0</v>
      </c>
      <c r="AE226" s="25">
        <f t="shared" si="32"/>
        <v>0</v>
      </c>
      <c r="AF226" s="25">
        <f t="shared" si="32"/>
        <v>0</v>
      </c>
      <c r="AG226" s="25">
        <f t="shared" si="32"/>
        <v>0</v>
      </c>
      <c r="AH226" s="25">
        <f t="shared" si="32"/>
        <v>0</v>
      </c>
      <c r="AI226" s="26">
        <f t="shared" si="32"/>
        <v>0</v>
      </c>
      <c r="AJ226" s="28"/>
      <c r="AK226" s="28"/>
      <c r="AL226" s="29"/>
    </row>
    <row r="227" spans="1:38" s="30" customFormat="1" ht="16" outlineLevel="1">
      <c r="A227" s="108" t="s">
        <v>324</v>
      </c>
      <c r="B227" s="409" t="s">
        <v>73</v>
      </c>
      <c r="C227" s="235">
        <v>46137</v>
      </c>
      <c r="D227" s="236">
        <v>45777</v>
      </c>
      <c r="E227" s="378" t="e">
        <f>IF((#REF!-C227)/(D227-C227)&lt;0,0,IF((#REF!-C227)/(D227-C227)&gt;100%,100%,(#REF!-C227)/(D227-C227)))</f>
        <v>#REF!</v>
      </c>
      <c r="F227" s="279"/>
      <c r="G227" s="280"/>
      <c r="H227" s="378" t="e">
        <f>IF((#REF!-F227)/(G227-F227)&lt;0,0,IF((#REF!-F227)/(G227-F227)&gt;100%,100%,(#REF!-F227)/(G227-F227)))</f>
        <v>#REF!</v>
      </c>
      <c r="I227" s="268" t="e">
        <f t="shared" si="64"/>
        <v>#REF!</v>
      </c>
      <c r="J227" s="25">
        <f t="shared" si="62"/>
        <v>0</v>
      </c>
      <c r="K227" s="26">
        <f t="shared" si="62"/>
        <v>0</v>
      </c>
      <c r="L227" s="25">
        <f t="shared" si="62"/>
        <v>0</v>
      </c>
      <c r="M227" s="25">
        <f t="shared" si="62"/>
        <v>0</v>
      </c>
      <c r="N227" s="25">
        <f t="shared" si="62"/>
        <v>0</v>
      </c>
      <c r="O227" s="25">
        <f t="shared" si="62"/>
        <v>0</v>
      </c>
      <c r="P227" s="25">
        <f t="shared" si="62"/>
        <v>0</v>
      </c>
      <c r="Q227" s="25">
        <f t="shared" si="62"/>
        <v>0</v>
      </c>
      <c r="R227" s="25">
        <f t="shared" si="62"/>
        <v>0</v>
      </c>
      <c r="S227" s="25">
        <f t="shared" si="62"/>
        <v>0</v>
      </c>
      <c r="T227" s="25">
        <f t="shared" si="63"/>
        <v>0</v>
      </c>
      <c r="U227" s="25">
        <f t="shared" si="63"/>
        <v>0</v>
      </c>
      <c r="V227" s="25">
        <f t="shared" si="63"/>
        <v>0</v>
      </c>
      <c r="W227" s="26">
        <f t="shared" si="63"/>
        <v>0</v>
      </c>
      <c r="X227" s="27">
        <f t="shared" si="63"/>
        <v>0</v>
      </c>
      <c r="Y227" s="25">
        <f t="shared" si="63"/>
        <v>0</v>
      </c>
      <c r="Z227" s="25">
        <f t="shared" si="63"/>
        <v>0</v>
      </c>
      <c r="AA227" s="25">
        <f t="shared" si="63"/>
        <v>0</v>
      </c>
      <c r="AB227" s="25">
        <f t="shared" si="63"/>
        <v>0</v>
      </c>
      <c r="AC227" s="25">
        <f t="shared" si="63"/>
        <v>0</v>
      </c>
      <c r="AD227" s="25">
        <f t="shared" si="32"/>
        <v>0</v>
      </c>
      <c r="AE227" s="25">
        <f t="shared" si="32"/>
        <v>0</v>
      </c>
      <c r="AF227" s="25">
        <f t="shared" si="32"/>
        <v>0</v>
      </c>
      <c r="AG227" s="25">
        <f t="shared" si="32"/>
        <v>0</v>
      </c>
      <c r="AH227" s="25">
        <f t="shared" si="32"/>
        <v>0</v>
      </c>
      <c r="AI227" s="26">
        <f t="shared" si="32"/>
        <v>0</v>
      </c>
      <c r="AJ227" s="91"/>
      <c r="AK227" s="91"/>
      <c r="AL227" s="92"/>
    </row>
    <row r="228" spans="1:38" s="30" customFormat="1" ht="16" outlineLevel="1">
      <c r="A228" s="108" t="s">
        <v>325</v>
      </c>
      <c r="B228" s="409" t="s">
        <v>74</v>
      </c>
      <c r="C228" s="235">
        <v>46137</v>
      </c>
      <c r="D228" s="236">
        <v>45777</v>
      </c>
      <c r="E228" s="378" t="e">
        <f>IF((#REF!-C228)/(D228-C228)&lt;0,0,IF((#REF!-C228)/(D228-C228)&gt;100%,100%,(#REF!-C228)/(D228-C228)))</f>
        <v>#REF!</v>
      </c>
      <c r="F228" s="279"/>
      <c r="G228" s="280"/>
      <c r="H228" s="378" t="e">
        <f>IF((#REF!-F228)/(G228-F228)&lt;0,0,IF((#REF!-F228)/(G228-F228)&gt;100%,100%,(#REF!-F228)/(G228-F228)))</f>
        <v>#REF!</v>
      </c>
      <c r="I228" s="268" t="e">
        <f t="shared" si="64"/>
        <v>#REF!</v>
      </c>
      <c r="J228" s="25">
        <f t="shared" si="62"/>
        <v>0</v>
      </c>
      <c r="K228" s="26">
        <f t="shared" si="62"/>
        <v>0</v>
      </c>
      <c r="L228" s="25">
        <f t="shared" si="62"/>
        <v>0</v>
      </c>
      <c r="M228" s="25">
        <f t="shared" si="62"/>
        <v>0</v>
      </c>
      <c r="N228" s="25">
        <f t="shared" si="62"/>
        <v>0</v>
      </c>
      <c r="O228" s="25">
        <f t="shared" si="62"/>
        <v>0</v>
      </c>
      <c r="P228" s="25">
        <f t="shared" si="62"/>
        <v>0</v>
      </c>
      <c r="Q228" s="25">
        <f t="shared" si="62"/>
        <v>0</v>
      </c>
      <c r="R228" s="25">
        <f t="shared" si="62"/>
        <v>0</v>
      </c>
      <c r="S228" s="25">
        <f t="shared" si="62"/>
        <v>0</v>
      </c>
      <c r="T228" s="25">
        <f t="shared" si="63"/>
        <v>0</v>
      </c>
      <c r="U228" s="25">
        <f t="shared" si="63"/>
        <v>0</v>
      </c>
      <c r="V228" s="25">
        <f t="shared" si="63"/>
        <v>0</v>
      </c>
      <c r="W228" s="26">
        <f t="shared" si="63"/>
        <v>0</v>
      </c>
      <c r="X228" s="27">
        <f t="shared" si="63"/>
        <v>0</v>
      </c>
      <c r="Y228" s="25">
        <f t="shared" si="63"/>
        <v>0</v>
      </c>
      <c r="Z228" s="25">
        <f t="shared" si="63"/>
        <v>0</v>
      </c>
      <c r="AA228" s="25">
        <f t="shared" si="63"/>
        <v>0</v>
      </c>
      <c r="AB228" s="25">
        <f t="shared" si="63"/>
        <v>0</v>
      </c>
      <c r="AC228" s="25">
        <f t="shared" si="63"/>
        <v>0</v>
      </c>
      <c r="AD228" s="25">
        <f t="shared" si="32"/>
        <v>0</v>
      </c>
      <c r="AE228" s="25">
        <f t="shared" si="32"/>
        <v>0</v>
      </c>
      <c r="AF228" s="25">
        <f t="shared" si="32"/>
        <v>0</v>
      </c>
      <c r="AG228" s="25">
        <f t="shared" si="32"/>
        <v>0</v>
      </c>
      <c r="AH228" s="25">
        <f t="shared" si="32"/>
        <v>0</v>
      </c>
      <c r="AI228" s="26">
        <f t="shared" si="32"/>
        <v>0</v>
      </c>
      <c r="AJ228" s="91"/>
      <c r="AK228" s="91"/>
      <c r="AL228" s="92"/>
    </row>
    <row r="229" spans="1:38" s="30" customFormat="1" ht="16" outlineLevel="1">
      <c r="A229" s="108" t="s">
        <v>326</v>
      </c>
      <c r="B229" s="409" t="s">
        <v>75</v>
      </c>
      <c r="C229" s="235">
        <v>46137</v>
      </c>
      <c r="D229" s="236">
        <v>45777</v>
      </c>
      <c r="E229" s="378" t="e">
        <f>IF((#REF!-C229)/(D229-C229)&lt;0,0,IF((#REF!-C229)/(D229-C229)&gt;100%,100%,(#REF!-C229)/(D229-C229)))</f>
        <v>#REF!</v>
      </c>
      <c r="F229" s="279"/>
      <c r="G229" s="280"/>
      <c r="H229" s="378" t="e">
        <f>IF((#REF!-F229)/(G229-F229)&lt;0,0,IF((#REF!-F229)/(G229-F229)&gt;100%,100%,(#REF!-F229)/(G229-F229)))</f>
        <v>#REF!</v>
      </c>
      <c r="I229" s="268" t="e">
        <f t="shared" si="64"/>
        <v>#REF!</v>
      </c>
      <c r="J229" s="25">
        <f t="shared" si="62"/>
        <v>0</v>
      </c>
      <c r="K229" s="26">
        <f t="shared" si="62"/>
        <v>0</v>
      </c>
      <c r="L229" s="25">
        <f t="shared" si="62"/>
        <v>0</v>
      </c>
      <c r="M229" s="25">
        <f t="shared" si="62"/>
        <v>0</v>
      </c>
      <c r="N229" s="25">
        <f t="shared" si="62"/>
        <v>0</v>
      </c>
      <c r="O229" s="25">
        <f t="shared" si="62"/>
        <v>0</v>
      </c>
      <c r="P229" s="25">
        <f t="shared" si="62"/>
        <v>0</v>
      </c>
      <c r="Q229" s="25">
        <f t="shared" si="62"/>
        <v>0</v>
      </c>
      <c r="R229" s="25">
        <f t="shared" si="62"/>
        <v>0</v>
      </c>
      <c r="S229" s="25">
        <f t="shared" si="62"/>
        <v>0</v>
      </c>
      <c r="T229" s="25">
        <f t="shared" si="63"/>
        <v>0</v>
      </c>
      <c r="U229" s="25">
        <f t="shared" si="63"/>
        <v>0</v>
      </c>
      <c r="V229" s="25">
        <f t="shared" si="63"/>
        <v>0</v>
      </c>
      <c r="W229" s="26">
        <f t="shared" si="63"/>
        <v>0</v>
      </c>
      <c r="X229" s="27">
        <f t="shared" si="63"/>
        <v>0</v>
      </c>
      <c r="Y229" s="25">
        <f t="shared" si="63"/>
        <v>0</v>
      </c>
      <c r="Z229" s="25">
        <f t="shared" si="63"/>
        <v>0</v>
      </c>
      <c r="AA229" s="25">
        <f t="shared" si="63"/>
        <v>0</v>
      </c>
      <c r="AB229" s="25">
        <f t="shared" si="63"/>
        <v>0</v>
      </c>
      <c r="AC229" s="25">
        <f t="shared" si="63"/>
        <v>0</v>
      </c>
      <c r="AD229" s="25">
        <f t="shared" si="32"/>
        <v>0</v>
      </c>
      <c r="AE229" s="25">
        <f t="shared" si="32"/>
        <v>0</v>
      </c>
      <c r="AF229" s="25">
        <f t="shared" si="32"/>
        <v>0</v>
      </c>
      <c r="AG229" s="25">
        <f t="shared" si="32"/>
        <v>0</v>
      </c>
      <c r="AH229" s="25">
        <f t="shared" si="32"/>
        <v>0</v>
      </c>
      <c r="AI229" s="26">
        <f t="shared" si="32"/>
        <v>0</v>
      </c>
      <c r="AJ229" s="91"/>
      <c r="AK229" s="91"/>
      <c r="AL229" s="92"/>
    </row>
    <row r="230" spans="1:38" s="30" customFormat="1" ht="16" outlineLevel="1">
      <c r="A230" s="108" t="s">
        <v>327</v>
      </c>
      <c r="B230" s="409" t="s">
        <v>76</v>
      </c>
      <c r="C230" s="235">
        <v>46142</v>
      </c>
      <c r="D230" s="236">
        <v>46172</v>
      </c>
      <c r="E230" s="378" t="e">
        <f>IF((#REF!-C230)/(D230-C230)&lt;0,0,IF((#REF!-C230)/(D230-C230)&gt;100%,100%,(#REF!-C230)/(D230-C230)))</f>
        <v>#REF!</v>
      </c>
      <c r="F230" s="279"/>
      <c r="G230" s="280"/>
      <c r="H230" s="378" t="e">
        <f>IF((#REF!-F230)/(G230-F230)&lt;0,0,IF((#REF!-F230)/(G230-F230)&gt;100%,100%,(#REF!-F230)/(G230-F230)))</f>
        <v>#REF!</v>
      </c>
      <c r="I230" s="268" t="e">
        <f t="shared" si="64"/>
        <v>#REF!</v>
      </c>
      <c r="J230" s="25">
        <f t="shared" si="62"/>
        <v>0</v>
      </c>
      <c r="K230" s="26">
        <f t="shared" si="62"/>
        <v>0</v>
      </c>
      <c r="L230" s="25">
        <f t="shared" si="62"/>
        <v>0</v>
      </c>
      <c r="M230" s="25">
        <f t="shared" si="62"/>
        <v>0</v>
      </c>
      <c r="N230" s="25">
        <f t="shared" si="62"/>
        <v>0</v>
      </c>
      <c r="O230" s="25">
        <f t="shared" si="62"/>
        <v>1</v>
      </c>
      <c r="P230" s="25">
        <f t="shared" si="62"/>
        <v>0</v>
      </c>
      <c r="Q230" s="25">
        <f t="shared" si="62"/>
        <v>0</v>
      </c>
      <c r="R230" s="25">
        <f t="shared" si="62"/>
        <v>0</v>
      </c>
      <c r="S230" s="25">
        <f t="shared" si="62"/>
        <v>0</v>
      </c>
      <c r="T230" s="25">
        <f t="shared" si="63"/>
        <v>0</v>
      </c>
      <c r="U230" s="25">
        <f t="shared" si="63"/>
        <v>0</v>
      </c>
      <c r="V230" s="25">
        <f t="shared" si="63"/>
        <v>0</v>
      </c>
      <c r="W230" s="26">
        <f t="shared" si="63"/>
        <v>0</v>
      </c>
      <c r="X230" s="27">
        <f t="shared" si="63"/>
        <v>0</v>
      </c>
      <c r="Y230" s="25">
        <f t="shared" si="63"/>
        <v>0</v>
      </c>
      <c r="Z230" s="25">
        <f t="shared" si="63"/>
        <v>0</v>
      </c>
      <c r="AA230" s="25">
        <f t="shared" si="63"/>
        <v>0</v>
      </c>
      <c r="AB230" s="25">
        <f t="shared" si="63"/>
        <v>0</v>
      </c>
      <c r="AC230" s="25">
        <f t="shared" si="63"/>
        <v>0</v>
      </c>
      <c r="AD230" s="25">
        <f t="shared" si="32"/>
        <v>0</v>
      </c>
      <c r="AE230" s="25">
        <f t="shared" si="32"/>
        <v>0</v>
      </c>
      <c r="AF230" s="25">
        <f t="shared" si="32"/>
        <v>0</v>
      </c>
      <c r="AG230" s="25">
        <f t="shared" si="32"/>
        <v>0</v>
      </c>
      <c r="AH230" s="25">
        <f t="shared" si="32"/>
        <v>0</v>
      </c>
      <c r="AI230" s="26">
        <f t="shared" si="32"/>
        <v>0</v>
      </c>
      <c r="AJ230" s="91"/>
      <c r="AK230" s="91"/>
      <c r="AL230" s="92"/>
    </row>
    <row r="231" spans="1:38" ht="20.5" customHeight="1">
      <c r="A231" s="122" t="s">
        <v>328</v>
      </c>
      <c r="B231" s="411" t="s">
        <v>406</v>
      </c>
      <c r="C231" s="251">
        <v>46072</v>
      </c>
      <c r="D231" s="252">
        <v>46203</v>
      </c>
      <c r="E231" s="400" t="e">
        <f>IF((#REF!-C231)/(D231-C231)&lt;0,0,IF((#REF!-C231)/(D231-C231)&gt;100%,100%,(#REF!-C231)/(D231-C231)))</f>
        <v>#REF!</v>
      </c>
      <c r="F231" s="402"/>
      <c r="G231" s="403"/>
      <c r="H231" s="400" t="e">
        <f>IF((#REF!-F231)/(G231-F231)&lt;0,0,IF((#REF!-F231)/(G231-F231)&gt;100%,100%,(#REF!-F231)/(G231-F231)))</f>
        <v>#REF!</v>
      </c>
      <c r="I231" s="283" t="e">
        <f t="shared" si="27"/>
        <v>#REF!</v>
      </c>
      <c r="J231" s="25">
        <f t="shared" si="33"/>
        <v>0</v>
      </c>
      <c r="K231" s="26">
        <f t="shared" si="33"/>
        <v>0</v>
      </c>
      <c r="L231" s="25">
        <f t="shared" si="28"/>
        <v>0</v>
      </c>
      <c r="M231" s="25">
        <f t="shared" ref="M231:W240" si="65">+IF(M$3&gt;=$C231,IF(M$3&lt;=$D231,1,0),0)</f>
        <v>1</v>
      </c>
      <c r="N231" s="25">
        <f t="shared" si="65"/>
        <v>1</v>
      </c>
      <c r="O231" s="25">
        <f t="shared" si="65"/>
        <v>1</v>
      </c>
      <c r="P231" s="25">
        <f t="shared" si="65"/>
        <v>1</v>
      </c>
      <c r="Q231" s="25">
        <f t="shared" si="65"/>
        <v>1</v>
      </c>
      <c r="R231" s="25">
        <f t="shared" si="65"/>
        <v>0</v>
      </c>
      <c r="S231" s="25">
        <f t="shared" si="65"/>
        <v>0</v>
      </c>
      <c r="T231" s="25">
        <f t="shared" si="65"/>
        <v>0</v>
      </c>
      <c r="U231" s="25">
        <f t="shared" si="65"/>
        <v>0</v>
      </c>
      <c r="V231" s="25">
        <f t="shared" si="65"/>
        <v>0</v>
      </c>
      <c r="W231" s="26">
        <f t="shared" si="65"/>
        <v>0</v>
      </c>
      <c r="X231" s="27">
        <f t="shared" si="32"/>
        <v>0</v>
      </c>
      <c r="Y231" s="25">
        <f t="shared" si="32"/>
        <v>0</v>
      </c>
      <c r="Z231" s="25">
        <f t="shared" si="32"/>
        <v>0</v>
      </c>
      <c r="AA231" s="25">
        <f t="shared" si="32"/>
        <v>0</v>
      </c>
      <c r="AB231" s="25">
        <f t="shared" si="32"/>
        <v>0</v>
      </c>
      <c r="AC231" s="25">
        <f t="shared" si="32"/>
        <v>0</v>
      </c>
      <c r="AD231" s="25">
        <f t="shared" si="32"/>
        <v>0</v>
      </c>
      <c r="AE231" s="25">
        <f t="shared" si="32"/>
        <v>0</v>
      </c>
      <c r="AF231" s="25">
        <f t="shared" si="32"/>
        <v>0</v>
      </c>
      <c r="AG231" s="25">
        <f t="shared" si="32"/>
        <v>0</v>
      </c>
      <c r="AH231" s="25">
        <f t="shared" si="32"/>
        <v>0</v>
      </c>
      <c r="AI231" s="26">
        <f t="shared" si="32"/>
        <v>0</v>
      </c>
      <c r="AJ231" s="123"/>
      <c r="AK231" s="123"/>
      <c r="AL231" s="124"/>
    </row>
    <row r="232" spans="1:38" s="30" customFormat="1" ht="30" collapsed="1">
      <c r="A232" s="109" t="s">
        <v>329</v>
      </c>
      <c r="B232" s="415" t="s">
        <v>396</v>
      </c>
      <c r="C232" s="256">
        <v>46072</v>
      </c>
      <c r="D232" s="257">
        <v>46142</v>
      </c>
      <c r="E232" s="381" t="e">
        <f>IF((#REF!-C232)/(D232-C232)&lt;0,0,IF((#REF!-C232)/(D232-C232)&gt;100%,100%,(#REF!-C232)/(D232-C232)))</f>
        <v>#REF!</v>
      </c>
      <c r="F232" s="266"/>
      <c r="G232" s="216"/>
      <c r="H232" s="381" t="e">
        <f>IF((#REF!-F232)/(G232-F232)&lt;0,0,IF((#REF!-F232)/(G232-F232)&gt;100%,100%,(#REF!-F232)/(G232-F232)))</f>
        <v>#REF!</v>
      </c>
      <c r="I232" s="267" t="e">
        <f t="shared" si="27"/>
        <v>#REF!</v>
      </c>
      <c r="J232" s="49">
        <f t="shared" si="33"/>
        <v>0</v>
      </c>
      <c r="K232" s="50">
        <f t="shared" si="33"/>
        <v>0</v>
      </c>
      <c r="L232" s="49">
        <f t="shared" si="28"/>
        <v>0</v>
      </c>
      <c r="M232" s="49">
        <f t="shared" si="65"/>
        <v>1</v>
      </c>
      <c r="N232" s="49">
        <f t="shared" si="65"/>
        <v>1</v>
      </c>
      <c r="O232" s="49">
        <f t="shared" si="65"/>
        <v>1</v>
      </c>
      <c r="P232" s="49">
        <f t="shared" si="65"/>
        <v>0</v>
      </c>
      <c r="Q232" s="49">
        <f t="shared" si="65"/>
        <v>0</v>
      </c>
      <c r="R232" s="49">
        <f t="shared" si="65"/>
        <v>0</v>
      </c>
      <c r="S232" s="49">
        <f t="shared" si="65"/>
        <v>0</v>
      </c>
      <c r="T232" s="49">
        <f t="shared" si="65"/>
        <v>0</v>
      </c>
      <c r="U232" s="49">
        <f t="shared" si="65"/>
        <v>0</v>
      </c>
      <c r="V232" s="49">
        <f t="shared" si="65"/>
        <v>0</v>
      </c>
      <c r="W232" s="50">
        <f t="shared" si="65"/>
        <v>0</v>
      </c>
      <c r="X232" s="51">
        <f t="shared" ref="X232:AI241" si="66">+IF(X$3&gt;=$C232,IF(X$3&lt;=$D232,1,0),0)</f>
        <v>0</v>
      </c>
      <c r="Y232" s="49">
        <f t="shared" si="66"/>
        <v>0</v>
      </c>
      <c r="Z232" s="49">
        <f t="shared" si="66"/>
        <v>0</v>
      </c>
      <c r="AA232" s="49">
        <f t="shared" si="66"/>
        <v>0</v>
      </c>
      <c r="AB232" s="49">
        <f t="shared" si="66"/>
        <v>0</v>
      </c>
      <c r="AC232" s="49">
        <f t="shared" si="66"/>
        <v>0</v>
      </c>
      <c r="AD232" s="49">
        <f t="shared" si="66"/>
        <v>0</v>
      </c>
      <c r="AE232" s="49">
        <f t="shared" si="66"/>
        <v>0</v>
      </c>
      <c r="AF232" s="49">
        <f t="shared" si="66"/>
        <v>0</v>
      </c>
      <c r="AG232" s="49">
        <f t="shared" si="66"/>
        <v>0</v>
      </c>
      <c r="AH232" s="49">
        <f t="shared" si="66"/>
        <v>0</v>
      </c>
      <c r="AI232" s="50">
        <f t="shared" si="66"/>
        <v>0</v>
      </c>
      <c r="AJ232" s="106"/>
      <c r="AK232" s="106"/>
      <c r="AL232" s="107"/>
    </row>
    <row r="233" spans="1:38" s="30" customFormat="1" ht="28" hidden="1" outlineLevel="1">
      <c r="A233" s="108" t="s">
        <v>602</v>
      </c>
      <c r="B233" s="409" t="s">
        <v>397</v>
      </c>
      <c r="C233" s="239">
        <v>46072</v>
      </c>
      <c r="D233" s="240">
        <v>46083</v>
      </c>
      <c r="E233" s="378" t="e">
        <f>IF((#REF!-C233)/(D233-C233)&lt;0,0,IF((#REF!-C233)/(D233-C233)&gt;100%,100%,(#REF!-C233)/(D233-C233)))</f>
        <v>#REF!</v>
      </c>
      <c r="F233" s="279"/>
      <c r="G233" s="280"/>
      <c r="H233" s="378" t="e">
        <f>IF((#REF!-F233)/(G233-F233)&lt;0,0,IF((#REF!-F233)/(G233-F233)&gt;100%,100%,(#REF!-F233)/(G233-F233)))</f>
        <v>#REF!</v>
      </c>
      <c r="I233" s="268" t="e">
        <f t="shared" si="27"/>
        <v>#REF!</v>
      </c>
      <c r="J233" s="25">
        <f t="shared" si="33"/>
        <v>0</v>
      </c>
      <c r="K233" s="26">
        <f t="shared" si="33"/>
        <v>0</v>
      </c>
      <c r="L233" s="25">
        <f t="shared" si="28"/>
        <v>0</v>
      </c>
      <c r="M233" s="25">
        <f t="shared" si="65"/>
        <v>1</v>
      </c>
      <c r="N233" s="25">
        <f t="shared" si="65"/>
        <v>0</v>
      </c>
      <c r="O233" s="25">
        <f t="shared" si="65"/>
        <v>0</v>
      </c>
      <c r="P233" s="25">
        <f t="shared" si="65"/>
        <v>0</v>
      </c>
      <c r="Q233" s="25">
        <f t="shared" si="65"/>
        <v>0</v>
      </c>
      <c r="R233" s="25">
        <f t="shared" si="65"/>
        <v>0</v>
      </c>
      <c r="S233" s="25">
        <f t="shared" si="65"/>
        <v>0</v>
      </c>
      <c r="T233" s="25">
        <f t="shared" si="65"/>
        <v>0</v>
      </c>
      <c r="U233" s="25">
        <f t="shared" si="65"/>
        <v>0</v>
      </c>
      <c r="V233" s="25">
        <f t="shared" si="65"/>
        <v>0</v>
      </c>
      <c r="W233" s="26">
        <f t="shared" si="65"/>
        <v>0</v>
      </c>
      <c r="X233" s="27">
        <f t="shared" si="66"/>
        <v>0</v>
      </c>
      <c r="Y233" s="25">
        <f t="shared" si="66"/>
        <v>0</v>
      </c>
      <c r="Z233" s="25">
        <f t="shared" si="66"/>
        <v>0</v>
      </c>
      <c r="AA233" s="25">
        <f t="shared" si="66"/>
        <v>0</v>
      </c>
      <c r="AB233" s="25">
        <f t="shared" si="66"/>
        <v>0</v>
      </c>
      <c r="AC233" s="25">
        <f t="shared" si="66"/>
        <v>0</v>
      </c>
      <c r="AD233" s="25">
        <f t="shared" si="66"/>
        <v>0</v>
      </c>
      <c r="AE233" s="25">
        <f t="shared" si="66"/>
        <v>0</v>
      </c>
      <c r="AF233" s="25">
        <f t="shared" si="66"/>
        <v>0</v>
      </c>
      <c r="AG233" s="25">
        <f t="shared" si="66"/>
        <v>0</v>
      </c>
      <c r="AH233" s="25">
        <f t="shared" si="66"/>
        <v>0</v>
      </c>
      <c r="AI233" s="26">
        <f t="shared" si="66"/>
        <v>0</v>
      </c>
      <c r="AJ233" s="91"/>
      <c r="AK233" s="91"/>
      <c r="AL233" s="92"/>
    </row>
    <row r="234" spans="1:38" s="30" customFormat="1" ht="16" hidden="1" outlineLevel="1">
      <c r="A234" s="108" t="s">
        <v>603</v>
      </c>
      <c r="B234" s="409" t="s">
        <v>398</v>
      </c>
      <c r="C234" s="239">
        <v>46083</v>
      </c>
      <c r="D234" s="240">
        <v>46142</v>
      </c>
      <c r="E234" s="378" t="e">
        <f>IF((#REF!-C234)/(D234-C234)&lt;0,0,IF((#REF!-C234)/(D234-C234)&gt;100%,100%,(#REF!-C234)/(D234-C234)))</f>
        <v>#REF!</v>
      </c>
      <c r="F234" s="279"/>
      <c r="G234" s="280"/>
      <c r="H234" s="378" t="e">
        <f>IF((#REF!-F234)/(G234-F234)&lt;0,0,IF((#REF!-F234)/(G234-F234)&gt;100%,100%,(#REF!-F234)/(G234-F234)))</f>
        <v>#REF!</v>
      </c>
      <c r="I234" s="268" t="e">
        <f t="shared" si="27"/>
        <v>#REF!</v>
      </c>
      <c r="J234" s="25">
        <f t="shared" si="33"/>
        <v>0</v>
      </c>
      <c r="K234" s="26">
        <f t="shared" si="33"/>
        <v>0</v>
      </c>
      <c r="L234" s="25">
        <f t="shared" si="28"/>
        <v>0</v>
      </c>
      <c r="M234" s="25">
        <f t="shared" si="65"/>
        <v>0</v>
      </c>
      <c r="N234" s="25">
        <f t="shared" si="65"/>
        <v>1</v>
      </c>
      <c r="O234" s="25">
        <f t="shared" si="65"/>
        <v>1</v>
      </c>
      <c r="P234" s="25">
        <f t="shared" si="65"/>
        <v>0</v>
      </c>
      <c r="Q234" s="25">
        <f t="shared" si="65"/>
        <v>0</v>
      </c>
      <c r="R234" s="25">
        <f t="shared" si="65"/>
        <v>0</v>
      </c>
      <c r="S234" s="25">
        <f t="shared" si="65"/>
        <v>0</v>
      </c>
      <c r="T234" s="25">
        <f t="shared" si="65"/>
        <v>0</v>
      </c>
      <c r="U234" s="25">
        <f t="shared" si="65"/>
        <v>0</v>
      </c>
      <c r="V234" s="25">
        <f t="shared" si="65"/>
        <v>0</v>
      </c>
      <c r="W234" s="26">
        <f t="shared" si="65"/>
        <v>0</v>
      </c>
      <c r="X234" s="27">
        <f t="shared" si="66"/>
        <v>0</v>
      </c>
      <c r="Y234" s="25">
        <f t="shared" si="66"/>
        <v>0</v>
      </c>
      <c r="Z234" s="25">
        <f t="shared" si="66"/>
        <v>0</v>
      </c>
      <c r="AA234" s="25">
        <f t="shared" si="66"/>
        <v>0</v>
      </c>
      <c r="AB234" s="25">
        <f t="shared" si="66"/>
        <v>0</v>
      </c>
      <c r="AC234" s="25">
        <f t="shared" si="66"/>
        <v>0</v>
      </c>
      <c r="AD234" s="25">
        <f t="shared" si="66"/>
        <v>0</v>
      </c>
      <c r="AE234" s="25">
        <f t="shared" si="66"/>
        <v>0</v>
      </c>
      <c r="AF234" s="25">
        <f t="shared" si="66"/>
        <v>0</v>
      </c>
      <c r="AG234" s="25">
        <f t="shared" si="66"/>
        <v>0</v>
      </c>
      <c r="AH234" s="25">
        <f t="shared" si="66"/>
        <v>0</v>
      </c>
      <c r="AI234" s="26">
        <f t="shared" si="66"/>
        <v>0</v>
      </c>
      <c r="AJ234" s="91"/>
      <c r="AK234" s="91"/>
      <c r="AL234" s="92"/>
    </row>
    <row r="235" spans="1:38" s="30" customFormat="1" ht="16" hidden="1" outlineLevel="1">
      <c r="A235" s="108" t="s">
        <v>604</v>
      </c>
      <c r="B235" s="409" t="s">
        <v>399</v>
      </c>
      <c r="C235" s="235"/>
      <c r="D235" s="236"/>
      <c r="E235" s="378" t="e">
        <f>IF((#REF!-C235)/(D235-C235)&lt;0,0,IF((#REF!-C235)/(D235-C235)&gt;100%,100%,(#REF!-C235)/(D235-C235)))</f>
        <v>#REF!</v>
      </c>
      <c r="F235" s="279"/>
      <c r="G235" s="280"/>
      <c r="H235" s="378" t="e">
        <f>IF((#REF!-F235)/(G235-F235)&lt;0,0,IF((#REF!-F235)/(G235-F235)&gt;100%,100%,(#REF!-F235)/(G235-F235)))</f>
        <v>#REF!</v>
      </c>
      <c r="I235" s="268" t="e">
        <f t="shared" si="27"/>
        <v>#REF!</v>
      </c>
      <c r="J235" s="25">
        <f t="shared" si="33"/>
        <v>0</v>
      </c>
      <c r="K235" s="26">
        <f t="shared" si="33"/>
        <v>0</v>
      </c>
      <c r="L235" s="25">
        <f t="shared" si="28"/>
        <v>0</v>
      </c>
      <c r="M235" s="25">
        <f t="shared" si="65"/>
        <v>0</v>
      </c>
      <c r="N235" s="25">
        <f t="shared" si="65"/>
        <v>0</v>
      </c>
      <c r="O235" s="25">
        <f t="shared" si="65"/>
        <v>0</v>
      </c>
      <c r="P235" s="25">
        <f t="shared" si="65"/>
        <v>0</v>
      </c>
      <c r="Q235" s="25">
        <f t="shared" si="65"/>
        <v>0</v>
      </c>
      <c r="R235" s="25">
        <f t="shared" si="65"/>
        <v>0</v>
      </c>
      <c r="S235" s="25">
        <f t="shared" si="65"/>
        <v>0</v>
      </c>
      <c r="T235" s="25">
        <f t="shared" si="65"/>
        <v>0</v>
      </c>
      <c r="U235" s="25">
        <f t="shared" si="65"/>
        <v>0</v>
      </c>
      <c r="V235" s="25">
        <f t="shared" si="65"/>
        <v>0</v>
      </c>
      <c r="W235" s="26">
        <f t="shared" si="65"/>
        <v>0</v>
      </c>
      <c r="X235" s="27">
        <f t="shared" si="66"/>
        <v>0</v>
      </c>
      <c r="Y235" s="25">
        <f t="shared" si="66"/>
        <v>0</v>
      </c>
      <c r="Z235" s="25">
        <f t="shared" si="66"/>
        <v>0</v>
      </c>
      <c r="AA235" s="25">
        <f t="shared" si="66"/>
        <v>0</v>
      </c>
      <c r="AB235" s="25">
        <f t="shared" si="66"/>
        <v>0</v>
      </c>
      <c r="AC235" s="25">
        <f t="shared" si="66"/>
        <v>0</v>
      </c>
      <c r="AD235" s="25">
        <f t="shared" si="66"/>
        <v>0</v>
      </c>
      <c r="AE235" s="25">
        <f t="shared" si="66"/>
        <v>0</v>
      </c>
      <c r="AF235" s="25">
        <f t="shared" si="66"/>
        <v>0</v>
      </c>
      <c r="AG235" s="25">
        <f t="shared" si="66"/>
        <v>0</v>
      </c>
      <c r="AH235" s="25">
        <f t="shared" si="66"/>
        <v>0</v>
      </c>
      <c r="AI235" s="26">
        <f t="shared" si="66"/>
        <v>0</v>
      </c>
      <c r="AJ235" s="91"/>
      <c r="AK235" s="91"/>
      <c r="AL235" s="92"/>
    </row>
    <row r="236" spans="1:38" s="30" customFormat="1" ht="16" collapsed="1">
      <c r="A236" s="109" t="s">
        <v>330</v>
      </c>
      <c r="B236" s="66" t="s">
        <v>290</v>
      </c>
      <c r="C236" s="256">
        <v>46127</v>
      </c>
      <c r="D236" s="257">
        <v>46142</v>
      </c>
      <c r="E236" s="381" t="e">
        <f>IF((#REF!-C236)/(D236-C236)&lt;0,0,IF((#REF!-C236)/(D236-C236)&gt;100%,100%,(#REF!-C236)/(D236-C236)))</f>
        <v>#REF!</v>
      </c>
      <c r="F236" s="284"/>
      <c r="G236" s="255"/>
      <c r="H236" s="381" t="e">
        <f>IF((#REF!-F236)/(G236-F236)&lt;0,0,IF((#REF!-F236)/(G236-F236)&gt;100%,100%,(#REF!-F236)/(G236-F236)))</f>
        <v>#REF!</v>
      </c>
      <c r="I236" s="267" t="e">
        <f t="shared" si="27"/>
        <v>#REF!</v>
      </c>
      <c r="J236" s="49">
        <f t="shared" si="33"/>
        <v>0</v>
      </c>
      <c r="K236" s="50">
        <f t="shared" si="33"/>
        <v>0</v>
      </c>
      <c r="L236" s="49">
        <f t="shared" si="28"/>
        <v>0</v>
      </c>
      <c r="M236" s="49">
        <f t="shared" si="65"/>
        <v>0</v>
      </c>
      <c r="N236" s="49">
        <f t="shared" si="65"/>
        <v>0</v>
      </c>
      <c r="O236" s="49">
        <f t="shared" si="65"/>
        <v>1</v>
      </c>
      <c r="P236" s="49">
        <f t="shared" si="65"/>
        <v>0</v>
      </c>
      <c r="Q236" s="49">
        <f t="shared" si="65"/>
        <v>0</v>
      </c>
      <c r="R236" s="49">
        <f t="shared" si="65"/>
        <v>0</v>
      </c>
      <c r="S236" s="49">
        <f t="shared" si="65"/>
        <v>0</v>
      </c>
      <c r="T236" s="49">
        <f t="shared" si="65"/>
        <v>0</v>
      </c>
      <c r="U236" s="49">
        <f t="shared" si="65"/>
        <v>0</v>
      </c>
      <c r="V236" s="49">
        <f t="shared" si="65"/>
        <v>0</v>
      </c>
      <c r="W236" s="50">
        <f t="shared" si="65"/>
        <v>0</v>
      </c>
      <c r="X236" s="51">
        <f t="shared" si="66"/>
        <v>0</v>
      </c>
      <c r="Y236" s="49">
        <f t="shared" si="66"/>
        <v>0</v>
      </c>
      <c r="Z236" s="49">
        <f t="shared" si="66"/>
        <v>0</v>
      </c>
      <c r="AA236" s="49">
        <f t="shared" si="66"/>
        <v>0</v>
      </c>
      <c r="AB236" s="49">
        <f t="shared" si="66"/>
        <v>0</v>
      </c>
      <c r="AC236" s="49">
        <f t="shared" si="66"/>
        <v>0</v>
      </c>
      <c r="AD236" s="49">
        <f t="shared" si="66"/>
        <v>0</v>
      </c>
      <c r="AE236" s="49">
        <f t="shared" si="66"/>
        <v>0</v>
      </c>
      <c r="AF236" s="49">
        <f t="shared" si="66"/>
        <v>0</v>
      </c>
      <c r="AG236" s="49">
        <f t="shared" si="66"/>
        <v>0</v>
      </c>
      <c r="AH236" s="49">
        <f t="shared" si="66"/>
        <v>0</v>
      </c>
      <c r="AI236" s="50">
        <f t="shared" si="66"/>
        <v>0</v>
      </c>
      <c r="AJ236" s="106"/>
      <c r="AK236" s="106"/>
      <c r="AL236" s="107"/>
    </row>
    <row r="237" spans="1:38" s="149" customFormat="1" ht="16" hidden="1" outlineLevel="1">
      <c r="A237" s="339" t="s">
        <v>605</v>
      </c>
      <c r="B237" s="413" t="s">
        <v>401</v>
      </c>
      <c r="C237" s="239">
        <v>46072</v>
      </c>
      <c r="D237" s="240">
        <v>46083</v>
      </c>
      <c r="E237" s="378" t="e">
        <f>IF((#REF!-C237)/(D237-C237)&lt;0,0,IF((#REF!-C237)/(D237-C237)&gt;100%,100%,(#REF!-C237)/(D237-C237)))</f>
        <v>#REF!</v>
      </c>
      <c r="F237" s="285"/>
      <c r="G237" s="286"/>
      <c r="H237" s="378" t="e">
        <f>IF((#REF!-F237)/(G237-F237)&lt;0,0,IF((#REF!-F237)/(G237-F237)&gt;100%,100%,(#REF!-F237)/(G237-F237)))</f>
        <v>#REF!</v>
      </c>
      <c r="I237" s="268" t="e">
        <f t="shared" si="27"/>
        <v>#REF!</v>
      </c>
      <c r="J237" s="25">
        <f t="shared" si="33"/>
        <v>0</v>
      </c>
      <c r="K237" s="26">
        <f t="shared" si="33"/>
        <v>0</v>
      </c>
      <c r="L237" s="25">
        <f t="shared" si="28"/>
        <v>0</v>
      </c>
      <c r="M237" s="25">
        <f t="shared" si="65"/>
        <v>1</v>
      </c>
      <c r="N237" s="25">
        <f t="shared" si="65"/>
        <v>0</v>
      </c>
      <c r="O237" s="25">
        <f t="shared" si="65"/>
        <v>0</v>
      </c>
      <c r="P237" s="25">
        <f t="shared" si="65"/>
        <v>0</v>
      </c>
      <c r="Q237" s="25">
        <f t="shared" si="65"/>
        <v>0</v>
      </c>
      <c r="R237" s="25">
        <f t="shared" si="65"/>
        <v>0</v>
      </c>
      <c r="S237" s="25">
        <f t="shared" si="65"/>
        <v>0</v>
      </c>
      <c r="T237" s="25">
        <f t="shared" si="65"/>
        <v>0</v>
      </c>
      <c r="U237" s="25">
        <f t="shared" si="65"/>
        <v>0</v>
      </c>
      <c r="V237" s="25">
        <f t="shared" si="65"/>
        <v>0</v>
      </c>
      <c r="W237" s="26">
        <f t="shared" si="65"/>
        <v>0</v>
      </c>
      <c r="X237" s="27">
        <f t="shared" si="66"/>
        <v>0</v>
      </c>
      <c r="Y237" s="25">
        <f t="shared" si="66"/>
        <v>0</v>
      </c>
      <c r="Z237" s="25">
        <f t="shared" si="66"/>
        <v>0</v>
      </c>
      <c r="AA237" s="25">
        <f t="shared" si="66"/>
        <v>0</v>
      </c>
      <c r="AB237" s="25">
        <f t="shared" si="66"/>
        <v>0</v>
      </c>
      <c r="AC237" s="25">
        <f t="shared" si="66"/>
        <v>0</v>
      </c>
      <c r="AD237" s="25">
        <f t="shared" si="66"/>
        <v>0</v>
      </c>
      <c r="AE237" s="25">
        <f t="shared" si="66"/>
        <v>0</v>
      </c>
      <c r="AF237" s="25">
        <f t="shared" si="66"/>
        <v>0</v>
      </c>
      <c r="AG237" s="25">
        <f t="shared" si="66"/>
        <v>0</v>
      </c>
      <c r="AH237" s="25">
        <f t="shared" si="66"/>
        <v>0</v>
      </c>
      <c r="AI237" s="26">
        <f t="shared" si="66"/>
        <v>0</v>
      </c>
      <c r="AJ237" s="91"/>
      <c r="AK237" s="91"/>
      <c r="AL237" s="92"/>
    </row>
    <row r="238" spans="1:38" s="149" customFormat="1" ht="16" hidden="1" outlineLevel="1">
      <c r="A238" s="339" t="s">
        <v>606</v>
      </c>
      <c r="B238" s="413" t="s">
        <v>400</v>
      </c>
      <c r="C238" s="239">
        <v>46083</v>
      </c>
      <c r="D238" s="240">
        <v>46142</v>
      </c>
      <c r="E238" s="378" t="e">
        <f>IF((#REF!-C238)/(D238-C238)&lt;0,0,IF((#REF!-C238)/(D238-C238)&gt;100%,100%,(#REF!-C238)/(D238-C238)))</f>
        <v>#REF!</v>
      </c>
      <c r="F238" s="285"/>
      <c r="G238" s="286"/>
      <c r="H238" s="378" t="e">
        <f>IF((#REF!-F238)/(G238-F238)&lt;0,0,IF((#REF!-F238)/(G238-F238)&gt;100%,100%,(#REF!-F238)/(G238-F238)))</f>
        <v>#REF!</v>
      </c>
      <c r="I238" s="268" t="e">
        <f t="shared" si="27"/>
        <v>#REF!</v>
      </c>
      <c r="J238" s="25">
        <f t="shared" si="33"/>
        <v>0</v>
      </c>
      <c r="K238" s="26">
        <f t="shared" si="33"/>
        <v>0</v>
      </c>
      <c r="L238" s="25">
        <f t="shared" ref="L238:L250" si="67">+IF(L$3&gt;=$C238,IF(L$3&lt;=$D238,1,0),0)</f>
        <v>0</v>
      </c>
      <c r="M238" s="25">
        <f t="shared" si="65"/>
        <v>0</v>
      </c>
      <c r="N238" s="25">
        <f t="shared" si="65"/>
        <v>1</v>
      </c>
      <c r="O238" s="25">
        <f t="shared" si="65"/>
        <v>1</v>
      </c>
      <c r="P238" s="25">
        <f t="shared" si="65"/>
        <v>0</v>
      </c>
      <c r="Q238" s="25">
        <f t="shared" si="65"/>
        <v>0</v>
      </c>
      <c r="R238" s="25">
        <f t="shared" si="65"/>
        <v>0</v>
      </c>
      <c r="S238" s="25">
        <f t="shared" si="65"/>
        <v>0</v>
      </c>
      <c r="T238" s="25">
        <f t="shared" si="65"/>
        <v>0</v>
      </c>
      <c r="U238" s="25">
        <f t="shared" si="65"/>
        <v>0</v>
      </c>
      <c r="V238" s="25">
        <f t="shared" si="65"/>
        <v>0</v>
      </c>
      <c r="W238" s="26">
        <f t="shared" si="65"/>
        <v>0</v>
      </c>
      <c r="X238" s="27">
        <f t="shared" si="66"/>
        <v>0</v>
      </c>
      <c r="Y238" s="25">
        <f t="shared" si="66"/>
        <v>0</v>
      </c>
      <c r="Z238" s="25">
        <f t="shared" si="66"/>
        <v>0</v>
      </c>
      <c r="AA238" s="25">
        <f t="shared" si="66"/>
        <v>0</v>
      </c>
      <c r="AB238" s="25">
        <f t="shared" si="66"/>
        <v>0</v>
      </c>
      <c r="AC238" s="25">
        <f t="shared" si="66"/>
        <v>0</v>
      </c>
      <c r="AD238" s="25">
        <f t="shared" si="66"/>
        <v>0</v>
      </c>
      <c r="AE238" s="25">
        <f t="shared" si="66"/>
        <v>0</v>
      </c>
      <c r="AF238" s="25">
        <f t="shared" si="66"/>
        <v>0</v>
      </c>
      <c r="AG238" s="25">
        <f t="shared" si="66"/>
        <v>0</v>
      </c>
      <c r="AH238" s="25">
        <f t="shared" si="66"/>
        <v>0</v>
      </c>
      <c r="AI238" s="26">
        <f t="shared" si="66"/>
        <v>0</v>
      </c>
      <c r="AJ238" s="91"/>
      <c r="AK238" s="91"/>
      <c r="AL238" s="92"/>
    </row>
    <row r="239" spans="1:38" s="149" customFormat="1" ht="16" hidden="1" outlineLevel="1">
      <c r="A239" s="339" t="s">
        <v>607</v>
      </c>
      <c r="B239" s="413" t="s">
        <v>402</v>
      </c>
      <c r="C239" s="260"/>
      <c r="D239" s="261"/>
      <c r="E239" s="378" t="e">
        <f>IF((#REF!-C239)/(D239-C239)&lt;0,0,IF((#REF!-C239)/(D239-C239)&gt;100%,100%,(#REF!-C239)/(D239-C239)))</f>
        <v>#REF!</v>
      </c>
      <c r="F239" s="285"/>
      <c r="G239" s="286"/>
      <c r="H239" s="378" t="e">
        <f>IF((#REF!-F239)/(G239-F239)&lt;0,0,IF((#REF!-F239)/(G239-F239)&gt;100%,100%,(#REF!-F239)/(G239-F239)))</f>
        <v>#REF!</v>
      </c>
      <c r="I239" s="268" t="e">
        <f t="shared" si="27"/>
        <v>#REF!</v>
      </c>
      <c r="J239" s="25">
        <f t="shared" si="33"/>
        <v>0</v>
      </c>
      <c r="K239" s="26">
        <f t="shared" si="33"/>
        <v>0</v>
      </c>
      <c r="L239" s="25">
        <f t="shared" si="67"/>
        <v>0</v>
      </c>
      <c r="M239" s="25">
        <f t="shared" si="65"/>
        <v>0</v>
      </c>
      <c r="N239" s="25">
        <f t="shared" si="65"/>
        <v>0</v>
      </c>
      <c r="O239" s="25">
        <f t="shared" si="65"/>
        <v>0</v>
      </c>
      <c r="P239" s="25">
        <f t="shared" si="65"/>
        <v>0</v>
      </c>
      <c r="Q239" s="25">
        <f t="shared" si="65"/>
        <v>0</v>
      </c>
      <c r="R239" s="25">
        <f t="shared" si="65"/>
        <v>0</v>
      </c>
      <c r="S239" s="25">
        <f t="shared" si="65"/>
        <v>0</v>
      </c>
      <c r="T239" s="25">
        <f t="shared" si="65"/>
        <v>0</v>
      </c>
      <c r="U239" s="25">
        <f t="shared" si="65"/>
        <v>0</v>
      </c>
      <c r="V239" s="25">
        <f t="shared" si="65"/>
        <v>0</v>
      </c>
      <c r="W239" s="26">
        <f t="shared" si="65"/>
        <v>0</v>
      </c>
      <c r="X239" s="27">
        <f t="shared" si="66"/>
        <v>0</v>
      </c>
      <c r="Y239" s="25">
        <f t="shared" si="66"/>
        <v>0</v>
      </c>
      <c r="Z239" s="25">
        <f t="shared" si="66"/>
        <v>0</v>
      </c>
      <c r="AA239" s="25">
        <f t="shared" si="66"/>
        <v>0</v>
      </c>
      <c r="AB239" s="25">
        <f t="shared" si="66"/>
        <v>0</v>
      </c>
      <c r="AC239" s="25">
        <f t="shared" si="66"/>
        <v>0</v>
      </c>
      <c r="AD239" s="25">
        <f t="shared" si="66"/>
        <v>0</v>
      </c>
      <c r="AE239" s="25">
        <f t="shared" si="66"/>
        <v>0</v>
      </c>
      <c r="AF239" s="25">
        <f t="shared" si="66"/>
        <v>0</v>
      </c>
      <c r="AG239" s="25">
        <f t="shared" si="66"/>
        <v>0</v>
      </c>
      <c r="AH239" s="25">
        <f t="shared" si="66"/>
        <v>0</v>
      </c>
      <c r="AI239" s="26">
        <f t="shared" si="66"/>
        <v>0</v>
      </c>
      <c r="AJ239" s="91"/>
      <c r="AK239" s="91"/>
      <c r="AL239" s="92"/>
    </row>
    <row r="240" spans="1:38" s="30" customFormat="1" ht="30" collapsed="1">
      <c r="A240" s="109" t="s">
        <v>331</v>
      </c>
      <c r="B240" s="66" t="s">
        <v>403</v>
      </c>
      <c r="C240" s="256">
        <v>46127</v>
      </c>
      <c r="D240" s="257">
        <v>46142</v>
      </c>
      <c r="E240" s="381" t="e">
        <f>IF((#REF!-C240)/(D240-C240)&lt;0,0,IF((#REF!-C240)/(D240-C240)&gt;100%,100%,(#REF!-C240)/(D240-C240)))</f>
        <v>#REF!</v>
      </c>
      <c r="F240" s="284"/>
      <c r="G240" s="255"/>
      <c r="H240" s="381" t="e">
        <f>IF((#REF!-F240)/(G240-F240)&lt;0,0,IF((#REF!-F240)/(G240-F240)&gt;100%,100%,(#REF!-F240)/(G240-F240)))</f>
        <v>#REF!</v>
      </c>
      <c r="I240" s="267" t="e">
        <f t="shared" si="27"/>
        <v>#REF!</v>
      </c>
      <c r="J240" s="49">
        <f t="shared" si="33"/>
        <v>0</v>
      </c>
      <c r="K240" s="50">
        <f t="shared" si="33"/>
        <v>0</v>
      </c>
      <c r="L240" s="49">
        <f t="shared" si="67"/>
        <v>0</v>
      </c>
      <c r="M240" s="49">
        <f t="shared" si="65"/>
        <v>0</v>
      </c>
      <c r="N240" s="49">
        <f t="shared" si="65"/>
        <v>0</v>
      </c>
      <c r="O240" s="49">
        <f t="shared" si="65"/>
        <v>1</v>
      </c>
      <c r="P240" s="49">
        <f t="shared" si="65"/>
        <v>0</v>
      </c>
      <c r="Q240" s="49">
        <f t="shared" si="65"/>
        <v>0</v>
      </c>
      <c r="R240" s="49">
        <f t="shared" si="65"/>
        <v>0</v>
      </c>
      <c r="S240" s="49">
        <f t="shared" si="65"/>
        <v>0</v>
      </c>
      <c r="T240" s="49">
        <f t="shared" si="65"/>
        <v>0</v>
      </c>
      <c r="U240" s="49">
        <f t="shared" si="65"/>
        <v>0</v>
      </c>
      <c r="V240" s="49">
        <f t="shared" si="65"/>
        <v>0</v>
      </c>
      <c r="W240" s="50">
        <f t="shared" si="65"/>
        <v>0</v>
      </c>
      <c r="X240" s="51">
        <f t="shared" si="66"/>
        <v>0</v>
      </c>
      <c r="Y240" s="49">
        <f t="shared" si="66"/>
        <v>0</v>
      </c>
      <c r="Z240" s="49">
        <f t="shared" si="66"/>
        <v>0</v>
      </c>
      <c r="AA240" s="49">
        <f t="shared" si="66"/>
        <v>0</v>
      </c>
      <c r="AB240" s="49">
        <f t="shared" si="66"/>
        <v>0</v>
      </c>
      <c r="AC240" s="49">
        <f t="shared" si="66"/>
        <v>0</v>
      </c>
      <c r="AD240" s="49">
        <f t="shared" si="66"/>
        <v>0</v>
      </c>
      <c r="AE240" s="49">
        <f t="shared" si="66"/>
        <v>0</v>
      </c>
      <c r="AF240" s="49">
        <f t="shared" si="66"/>
        <v>0</v>
      </c>
      <c r="AG240" s="49">
        <f t="shared" si="66"/>
        <v>0</v>
      </c>
      <c r="AH240" s="49">
        <f t="shared" si="66"/>
        <v>0</v>
      </c>
      <c r="AI240" s="50">
        <f t="shared" si="66"/>
        <v>0</v>
      </c>
      <c r="AJ240" s="106"/>
      <c r="AK240" s="106"/>
      <c r="AL240" s="107"/>
    </row>
    <row r="241" spans="1:38" s="149" customFormat="1" ht="16" hidden="1" outlineLevel="1">
      <c r="A241" s="339" t="s">
        <v>608</v>
      </c>
      <c r="B241" s="413" t="s">
        <v>404</v>
      </c>
      <c r="C241" s="262">
        <v>46101</v>
      </c>
      <c r="D241" s="263">
        <v>46111</v>
      </c>
      <c r="E241" s="378" t="e">
        <f>IF((#REF!-C241)/(D241-C241)&lt;0,0,IF((#REF!-C241)/(D241-C241)&gt;100%,100%,(#REF!-C241)/(D241-C241)))</f>
        <v>#REF!</v>
      </c>
      <c r="F241" s="287"/>
      <c r="G241" s="288"/>
      <c r="H241" s="378" t="e">
        <f>IF((#REF!-F241)/(G241-F241)&lt;0,0,IF((#REF!-F241)/(G241-F241)&gt;100%,100%,(#REF!-F241)/(G241-F241)))</f>
        <v>#REF!</v>
      </c>
      <c r="I241" s="268" t="e">
        <f t="shared" si="27"/>
        <v>#REF!</v>
      </c>
      <c r="J241" s="25">
        <f t="shared" si="33"/>
        <v>0</v>
      </c>
      <c r="K241" s="26">
        <f t="shared" si="33"/>
        <v>0</v>
      </c>
      <c r="L241" s="25">
        <f t="shared" si="67"/>
        <v>0</v>
      </c>
      <c r="M241" s="25">
        <f t="shared" ref="M241:W250" si="68">+IF(M$3&gt;=$C241,IF(M$3&lt;=$D241,1,0),0)</f>
        <v>0</v>
      </c>
      <c r="N241" s="25">
        <f t="shared" si="68"/>
        <v>0</v>
      </c>
      <c r="O241" s="25">
        <f t="shared" si="68"/>
        <v>0</v>
      </c>
      <c r="P241" s="25">
        <f t="shared" si="68"/>
        <v>0</v>
      </c>
      <c r="Q241" s="25">
        <f t="shared" si="68"/>
        <v>0</v>
      </c>
      <c r="R241" s="25">
        <f t="shared" si="68"/>
        <v>0</v>
      </c>
      <c r="S241" s="25">
        <f t="shared" si="68"/>
        <v>0</v>
      </c>
      <c r="T241" s="25">
        <f t="shared" si="68"/>
        <v>0</v>
      </c>
      <c r="U241" s="25">
        <f t="shared" si="68"/>
        <v>0</v>
      </c>
      <c r="V241" s="25">
        <f t="shared" si="68"/>
        <v>0</v>
      </c>
      <c r="W241" s="26">
        <f t="shared" si="68"/>
        <v>0</v>
      </c>
      <c r="X241" s="27">
        <f t="shared" si="66"/>
        <v>0</v>
      </c>
      <c r="Y241" s="25">
        <f t="shared" si="66"/>
        <v>0</v>
      </c>
      <c r="Z241" s="25">
        <f t="shared" si="66"/>
        <v>0</v>
      </c>
      <c r="AA241" s="25">
        <f t="shared" si="66"/>
        <v>0</v>
      </c>
      <c r="AB241" s="25">
        <f t="shared" si="66"/>
        <v>0</v>
      </c>
      <c r="AC241" s="25">
        <f t="shared" si="66"/>
        <v>0</v>
      </c>
      <c r="AD241" s="25">
        <f t="shared" si="66"/>
        <v>0</v>
      </c>
      <c r="AE241" s="25">
        <f t="shared" si="66"/>
        <v>0</v>
      </c>
      <c r="AF241" s="25">
        <f t="shared" si="66"/>
        <v>0</v>
      </c>
      <c r="AG241" s="25">
        <f t="shared" si="66"/>
        <v>0</v>
      </c>
      <c r="AH241" s="25">
        <f t="shared" si="66"/>
        <v>0</v>
      </c>
      <c r="AI241" s="26">
        <f t="shared" si="66"/>
        <v>0</v>
      </c>
      <c r="AJ241" s="91"/>
      <c r="AK241" s="91"/>
      <c r="AL241" s="92"/>
    </row>
    <row r="242" spans="1:38" s="149" customFormat="1" ht="16" hidden="1" outlineLevel="1">
      <c r="A242" s="339" t="s">
        <v>609</v>
      </c>
      <c r="B242" s="413" t="s">
        <v>405</v>
      </c>
      <c r="C242" s="262">
        <v>46113</v>
      </c>
      <c r="D242" s="263">
        <v>46142</v>
      </c>
      <c r="E242" s="378" t="e">
        <f>IF((#REF!-C242)/(D242-C242)&lt;0,0,IF((#REF!-C242)/(D242-C242)&gt;100%,100%,(#REF!-C242)/(D242-C242)))</f>
        <v>#REF!</v>
      </c>
      <c r="F242" s="287"/>
      <c r="G242" s="288"/>
      <c r="H242" s="378" t="e">
        <f>IF((#REF!-F242)/(G242-F242)&lt;0,0,IF((#REF!-F242)/(G242-F242)&gt;100%,100%,(#REF!-F242)/(G242-F242)))</f>
        <v>#REF!</v>
      </c>
      <c r="I242" s="268" t="e">
        <f t="shared" si="27"/>
        <v>#REF!</v>
      </c>
      <c r="J242" s="25">
        <f t="shared" si="33"/>
        <v>0</v>
      </c>
      <c r="K242" s="26">
        <f t="shared" si="33"/>
        <v>0</v>
      </c>
      <c r="L242" s="25">
        <f t="shared" si="67"/>
        <v>0</v>
      </c>
      <c r="M242" s="25">
        <f t="shared" si="68"/>
        <v>0</v>
      </c>
      <c r="N242" s="25">
        <f t="shared" si="68"/>
        <v>0</v>
      </c>
      <c r="O242" s="25">
        <f t="shared" si="68"/>
        <v>1</v>
      </c>
      <c r="P242" s="25">
        <f t="shared" si="68"/>
        <v>0</v>
      </c>
      <c r="Q242" s="25">
        <f t="shared" si="68"/>
        <v>0</v>
      </c>
      <c r="R242" s="25">
        <f t="shared" si="68"/>
        <v>0</v>
      </c>
      <c r="S242" s="25">
        <f t="shared" si="68"/>
        <v>0</v>
      </c>
      <c r="T242" s="25">
        <f t="shared" si="68"/>
        <v>0</v>
      </c>
      <c r="U242" s="25">
        <f t="shared" si="68"/>
        <v>0</v>
      </c>
      <c r="V242" s="25">
        <f t="shared" si="68"/>
        <v>0</v>
      </c>
      <c r="W242" s="26">
        <f t="shared" si="68"/>
        <v>0</v>
      </c>
      <c r="X242" s="27">
        <f t="shared" ref="X242:AI250" si="69">+IF(X$3&gt;=$C242,IF(X$3&lt;=$D242,1,0),0)</f>
        <v>0</v>
      </c>
      <c r="Y242" s="25">
        <f t="shared" si="69"/>
        <v>0</v>
      </c>
      <c r="Z242" s="25">
        <f t="shared" si="69"/>
        <v>0</v>
      </c>
      <c r="AA242" s="25">
        <f t="shared" si="69"/>
        <v>0</v>
      </c>
      <c r="AB242" s="25">
        <f t="shared" si="69"/>
        <v>0</v>
      </c>
      <c r="AC242" s="25">
        <f t="shared" si="69"/>
        <v>0</v>
      </c>
      <c r="AD242" s="25">
        <f t="shared" si="69"/>
        <v>0</v>
      </c>
      <c r="AE242" s="25">
        <f t="shared" si="69"/>
        <v>0</v>
      </c>
      <c r="AF242" s="25">
        <f t="shared" si="69"/>
        <v>0</v>
      </c>
      <c r="AG242" s="25">
        <f t="shared" si="69"/>
        <v>0</v>
      </c>
      <c r="AH242" s="25">
        <f t="shared" si="69"/>
        <v>0</v>
      </c>
      <c r="AI242" s="26">
        <f t="shared" si="69"/>
        <v>0</v>
      </c>
      <c r="AJ242" s="91"/>
      <c r="AK242" s="91"/>
      <c r="AL242" s="92"/>
    </row>
    <row r="243" spans="1:38" ht="16" collapsed="1">
      <c r="A243" s="131" t="s">
        <v>332</v>
      </c>
      <c r="B243" s="66" t="s">
        <v>198</v>
      </c>
      <c r="C243" s="322">
        <v>46142</v>
      </c>
      <c r="D243" s="323">
        <v>46203</v>
      </c>
      <c r="E243" s="381" t="e">
        <f>IF((#REF!-C243)/(D243-C243)&lt;0,0,IF((#REF!-C243)/(D243-C243)&gt;100%,100%,(#REF!-C243)/(D243-C243)))</f>
        <v>#REF!</v>
      </c>
      <c r="F243" s="289"/>
      <c r="G243" s="290"/>
      <c r="H243" s="381" t="e">
        <f>IF((#REF!-F243)/(G243-F243)&lt;0,0,IF((#REF!-F243)/(G243-F243)&gt;100%,100%,(#REF!-F243)/(G243-F243)))</f>
        <v>#REF!</v>
      </c>
      <c r="I243" s="267" t="e">
        <f t="shared" si="27"/>
        <v>#REF!</v>
      </c>
      <c r="J243" s="49">
        <f t="shared" si="33"/>
        <v>0</v>
      </c>
      <c r="K243" s="50">
        <f t="shared" si="33"/>
        <v>0</v>
      </c>
      <c r="L243" s="49">
        <f t="shared" si="67"/>
        <v>0</v>
      </c>
      <c r="M243" s="49">
        <f t="shared" si="68"/>
        <v>0</v>
      </c>
      <c r="N243" s="49">
        <f t="shared" si="68"/>
        <v>0</v>
      </c>
      <c r="O243" s="49">
        <f t="shared" si="68"/>
        <v>1</v>
      </c>
      <c r="P243" s="49">
        <f t="shared" si="68"/>
        <v>1</v>
      </c>
      <c r="Q243" s="49">
        <f t="shared" si="68"/>
        <v>1</v>
      </c>
      <c r="R243" s="49">
        <f t="shared" si="68"/>
        <v>0</v>
      </c>
      <c r="S243" s="49">
        <f t="shared" si="68"/>
        <v>0</v>
      </c>
      <c r="T243" s="49">
        <f t="shared" si="68"/>
        <v>0</v>
      </c>
      <c r="U243" s="49">
        <f t="shared" si="68"/>
        <v>0</v>
      </c>
      <c r="V243" s="49">
        <f t="shared" si="68"/>
        <v>0</v>
      </c>
      <c r="W243" s="50">
        <f t="shared" si="68"/>
        <v>0</v>
      </c>
      <c r="X243" s="51">
        <f t="shared" si="69"/>
        <v>0</v>
      </c>
      <c r="Y243" s="49">
        <f t="shared" si="69"/>
        <v>0</v>
      </c>
      <c r="Z243" s="49">
        <f t="shared" si="69"/>
        <v>0</v>
      </c>
      <c r="AA243" s="49">
        <f t="shared" si="69"/>
        <v>0</v>
      </c>
      <c r="AB243" s="49">
        <f t="shared" si="69"/>
        <v>0</v>
      </c>
      <c r="AC243" s="49">
        <f t="shared" si="69"/>
        <v>0</v>
      </c>
      <c r="AD243" s="49">
        <f t="shared" si="69"/>
        <v>0</v>
      </c>
      <c r="AE243" s="49">
        <f t="shared" si="69"/>
        <v>0</v>
      </c>
      <c r="AF243" s="49">
        <f t="shared" si="69"/>
        <v>0</v>
      </c>
      <c r="AG243" s="49">
        <f t="shared" si="69"/>
        <v>0</v>
      </c>
      <c r="AH243" s="49">
        <f t="shared" si="69"/>
        <v>0</v>
      </c>
      <c r="AI243" s="50">
        <f t="shared" si="69"/>
        <v>0</v>
      </c>
      <c r="AJ243" s="117"/>
      <c r="AK243" s="117"/>
      <c r="AL243" s="118"/>
    </row>
    <row r="244" spans="1:38" ht="16" hidden="1" outlineLevel="1">
      <c r="A244" s="113" t="s">
        <v>610</v>
      </c>
      <c r="B244" s="416" t="s">
        <v>199</v>
      </c>
      <c r="C244" s="262"/>
      <c r="D244" s="263"/>
      <c r="E244" s="378" t="e">
        <f>IF((#REF!-C244)/(D244-C244)&lt;0,0,IF((#REF!-C244)/(D244-C244)&gt;100%,100%,(#REF!-C244)/(D244-C244)))</f>
        <v>#REF!</v>
      </c>
      <c r="F244" s="287"/>
      <c r="G244" s="288"/>
      <c r="H244" s="378" t="e">
        <f>IF((#REF!-F244)/(G244-F244)&lt;0,0,IF((#REF!-F244)/(G244-F244)&gt;100%,100%,(#REF!-F244)/(G244-F244)))</f>
        <v>#REF!</v>
      </c>
      <c r="I244" s="268" t="e">
        <f t="shared" si="27"/>
        <v>#REF!</v>
      </c>
      <c r="J244" s="25">
        <f t="shared" si="33"/>
        <v>0</v>
      </c>
      <c r="K244" s="26">
        <f t="shared" si="33"/>
        <v>0</v>
      </c>
      <c r="L244" s="25">
        <f t="shared" si="67"/>
        <v>0</v>
      </c>
      <c r="M244" s="25">
        <f t="shared" si="68"/>
        <v>0</v>
      </c>
      <c r="N244" s="25">
        <f t="shared" si="68"/>
        <v>0</v>
      </c>
      <c r="O244" s="25">
        <f t="shared" si="68"/>
        <v>0</v>
      </c>
      <c r="P244" s="25">
        <f t="shared" si="68"/>
        <v>0</v>
      </c>
      <c r="Q244" s="25">
        <f t="shared" si="68"/>
        <v>0</v>
      </c>
      <c r="R244" s="25">
        <f t="shared" si="68"/>
        <v>0</v>
      </c>
      <c r="S244" s="25">
        <f t="shared" si="68"/>
        <v>0</v>
      </c>
      <c r="T244" s="25">
        <f t="shared" si="68"/>
        <v>0</v>
      </c>
      <c r="U244" s="25">
        <f t="shared" si="68"/>
        <v>0</v>
      </c>
      <c r="V244" s="25">
        <f t="shared" si="68"/>
        <v>0</v>
      </c>
      <c r="W244" s="26">
        <f t="shared" si="68"/>
        <v>0</v>
      </c>
      <c r="X244" s="27">
        <f t="shared" si="69"/>
        <v>0</v>
      </c>
      <c r="Y244" s="25">
        <f t="shared" si="69"/>
        <v>0</v>
      </c>
      <c r="Z244" s="25">
        <f t="shared" si="69"/>
        <v>0</v>
      </c>
      <c r="AA244" s="25">
        <f t="shared" si="69"/>
        <v>0</v>
      </c>
      <c r="AB244" s="25">
        <f t="shared" si="69"/>
        <v>0</v>
      </c>
      <c r="AC244" s="25">
        <f t="shared" si="69"/>
        <v>0</v>
      </c>
      <c r="AD244" s="25">
        <f t="shared" si="69"/>
        <v>0</v>
      </c>
      <c r="AE244" s="25">
        <f t="shared" si="69"/>
        <v>0</v>
      </c>
      <c r="AF244" s="25">
        <f t="shared" si="69"/>
        <v>0</v>
      </c>
      <c r="AG244" s="25">
        <f t="shared" si="69"/>
        <v>0</v>
      </c>
      <c r="AH244" s="25">
        <f t="shared" si="69"/>
        <v>0</v>
      </c>
      <c r="AI244" s="26">
        <f t="shared" si="69"/>
        <v>0</v>
      </c>
      <c r="AJ244" s="114"/>
      <c r="AK244" s="114"/>
      <c r="AL244" s="115"/>
    </row>
    <row r="245" spans="1:38" ht="28" hidden="1" outlineLevel="1">
      <c r="A245" s="113" t="s">
        <v>611</v>
      </c>
      <c r="B245" s="416" t="s">
        <v>200</v>
      </c>
      <c r="C245" s="172"/>
      <c r="D245" s="173"/>
      <c r="E245" s="378" t="e">
        <f>IF((#REF!-C245)/(D245-C245)&lt;0,0,IF((#REF!-C245)/(D245-C245)&gt;100%,100%,(#REF!-C245)/(D245-C245)))</f>
        <v>#REF!</v>
      </c>
      <c r="F245" s="186"/>
      <c r="G245" s="187"/>
      <c r="H245" s="378" t="e">
        <f>IF((#REF!-F245)/(G245-F245)&lt;0,0,IF((#REF!-F245)/(G245-F245)&gt;100%,100%,(#REF!-F245)/(G245-F245)))</f>
        <v>#REF!</v>
      </c>
      <c r="I245" s="182" t="e">
        <f t="shared" si="27"/>
        <v>#REF!</v>
      </c>
      <c r="J245" s="25">
        <f t="shared" ref="J245:K250" si="70">+IF(J$3&gt;=$C245,IF(J$3&lt;=$D245,1,0),0)</f>
        <v>0</v>
      </c>
      <c r="K245" s="26">
        <f t="shared" si="70"/>
        <v>0</v>
      </c>
      <c r="L245" s="25">
        <f t="shared" si="67"/>
        <v>0</v>
      </c>
      <c r="M245" s="25">
        <f t="shared" si="68"/>
        <v>0</v>
      </c>
      <c r="N245" s="25">
        <f t="shared" si="68"/>
        <v>0</v>
      </c>
      <c r="O245" s="25">
        <f t="shared" si="68"/>
        <v>0</v>
      </c>
      <c r="P245" s="25">
        <f t="shared" si="68"/>
        <v>0</v>
      </c>
      <c r="Q245" s="25">
        <f t="shared" si="68"/>
        <v>0</v>
      </c>
      <c r="R245" s="25">
        <f t="shared" si="68"/>
        <v>0</v>
      </c>
      <c r="S245" s="25">
        <f t="shared" si="68"/>
        <v>0</v>
      </c>
      <c r="T245" s="25">
        <f t="shared" si="68"/>
        <v>0</v>
      </c>
      <c r="U245" s="25">
        <f t="shared" si="68"/>
        <v>0</v>
      </c>
      <c r="V245" s="25">
        <f t="shared" si="68"/>
        <v>0</v>
      </c>
      <c r="W245" s="26">
        <f t="shared" si="68"/>
        <v>0</v>
      </c>
      <c r="X245" s="27">
        <f t="shared" si="69"/>
        <v>0</v>
      </c>
      <c r="Y245" s="25">
        <f t="shared" si="69"/>
        <v>0</v>
      </c>
      <c r="Z245" s="25">
        <f t="shared" si="69"/>
        <v>0</v>
      </c>
      <c r="AA245" s="25">
        <f t="shared" si="69"/>
        <v>0</v>
      </c>
      <c r="AB245" s="25">
        <f t="shared" si="69"/>
        <v>0</v>
      </c>
      <c r="AC245" s="25">
        <f t="shared" si="69"/>
        <v>0</v>
      </c>
      <c r="AD245" s="25">
        <f t="shared" si="69"/>
        <v>0</v>
      </c>
      <c r="AE245" s="25">
        <f t="shared" si="69"/>
        <v>0</v>
      </c>
      <c r="AF245" s="25">
        <f t="shared" si="69"/>
        <v>0</v>
      </c>
      <c r="AG245" s="25">
        <f t="shared" si="69"/>
        <v>0</v>
      </c>
      <c r="AH245" s="25">
        <f t="shared" si="69"/>
        <v>0</v>
      </c>
      <c r="AI245" s="26">
        <f t="shared" si="69"/>
        <v>0</v>
      </c>
      <c r="AJ245" s="114"/>
      <c r="AK245" s="114"/>
      <c r="AL245" s="115"/>
    </row>
    <row r="246" spans="1:38" ht="16.75" hidden="1" customHeight="1" outlineLevel="1">
      <c r="A246" s="113" t="s">
        <v>612</v>
      </c>
      <c r="B246" s="416" t="s">
        <v>201</v>
      </c>
      <c r="C246" s="172"/>
      <c r="D246" s="173"/>
      <c r="E246" s="378" t="e">
        <f>IF((#REF!-C246)/(D246-C246)&lt;0,0,IF((#REF!-C246)/(D246-C246)&gt;100%,100%,(#REF!-C246)/(D246-C246)))</f>
        <v>#REF!</v>
      </c>
      <c r="F246" s="186"/>
      <c r="G246" s="187"/>
      <c r="H246" s="378" t="e">
        <f>IF((#REF!-F246)/(G246-F246)&lt;0,0,IF((#REF!-F246)/(G246-F246)&gt;100%,100%,(#REF!-F246)/(G246-F246)))</f>
        <v>#REF!</v>
      </c>
      <c r="I246" s="182" t="e">
        <f t="shared" si="27"/>
        <v>#REF!</v>
      </c>
      <c r="J246" s="25">
        <f t="shared" si="70"/>
        <v>0</v>
      </c>
      <c r="K246" s="26">
        <f t="shared" si="70"/>
        <v>0</v>
      </c>
      <c r="L246" s="25">
        <f t="shared" si="67"/>
        <v>0</v>
      </c>
      <c r="M246" s="25">
        <f t="shared" si="68"/>
        <v>0</v>
      </c>
      <c r="N246" s="25">
        <f t="shared" si="68"/>
        <v>0</v>
      </c>
      <c r="O246" s="25">
        <f t="shared" si="68"/>
        <v>0</v>
      </c>
      <c r="P246" s="25">
        <f t="shared" si="68"/>
        <v>0</v>
      </c>
      <c r="Q246" s="25">
        <f t="shared" si="68"/>
        <v>0</v>
      </c>
      <c r="R246" s="25">
        <f t="shared" si="68"/>
        <v>0</v>
      </c>
      <c r="S246" s="25">
        <f t="shared" si="68"/>
        <v>0</v>
      </c>
      <c r="T246" s="25">
        <f t="shared" si="68"/>
        <v>0</v>
      </c>
      <c r="U246" s="25">
        <f t="shared" si="68"/>
        <v>0</v>
      </c>
      <c r="V246" s="25">
        <f t="shared" si="68"/>
        <v>0</v>
      </c>
      <c r="W246" s="26">
        <f t="shared" si="68"/>
        <v>0</v>
      </c>
      <c r="X246" s="27">
        <f t="shared" si="69"/>
        <v>0</v>
      </c>
      <c r="Y246" s="25">
        <f t="shared" si="69"/>
        <v>0</v>
      </c>
      <c r="Z246" s="25">
        <f t="shared" si="69"/>
        <v>0</v>
      </c>
      <c r="AA246" s="25">
        <f t="shared" si="69"/>
        <v>0</v>
      </c>
      <c r="AB246" s="25">
        <f t="shared" si="69"/>
        <v>0</v>
      </c>
      <c r="AC246" s="25">
        <f t="shared" si="69"/>
        <v>0</v>
      </c>
      <c r="AD246" s="25">
        <f t="shared" si="69"/>
        <v>0</v>
      </c>
      <c r="AE246" s="25">
        <f t="shared" si="69"/>
        <v>0</v>
      </c>
      <c r="AF246" s="25">
        <f t="shared" si="69"/>
        <v>0</v>
      </c>
      <c r="AG246" s="25">
        <f t="shared" si="69"/>
        <v>0</v>
      </c>
      <c r="AH246" s="25">
        <f t="shared" si="69"/>
        <v>0</v>
      </c>
      <c r="AI246" s="26">
        <f t="shared" si="69"/>
        <v>0</v>
      </c>
      <c r="AJ246" s="114"/>
      <c r="AK246" s="114"/>
      <c r="AL246" s="115"/>
    </row>
    <row r="247" spans="1:38" ht="16" hidden="1" outlineLevel="1">
      <c r="A247" s="113" t="s">
        <v>613</v>
      </c>
      <c r="B247" s="416" t="s">
        <v>202</v>
      </c>
      <c r="C247" s="172"/>
      <c r="D247" s="173"/>
      <c r="E247" s="378" t="e">
        <f>IF((#REF!-C247)/(D247-C247)&lt;0,0,IF((#REF!-C247)/(D247-C247)&gt;100%,100%,(#REF!-C247)/(D247-C247)))</f>
        <v>#REF!</v>
      </c>
      <c r="F247" s="186"/>
      <c r="G247" s="187"/>
      <c r="H247" s="378" t="e">
        <f>IF((#REF!-F247)/(G247-F247)&lt;0,0,IF((#REF!-F247)/(G247-F247)&gt;100%,100%,(#REF!-F247)/(G247-F247)))</f>
        <v>#REF!</v>
      </c>
      <c r="I247" s="182" t="e">
        <f t="shared" si="27"/>
        <v>#REF!</v>
      </c>
      <c r="J247" s="25">
        <f t="shared" si="70"/>
        <v>0</v>
      </c>
      <c r="K247" s="26">
        <f t="shared" si="70"/>
        <v>0</v>
      </c>
      <c r="L247" s="25">
        <f t="shared" si="67"/>
        <v>0</v>
      </c>
      <c r="M247" s="25">
        <f t="shared" si="68"/>
        <v>0</v>
      </c>
      <c r="N247" s="25">
        <f t="shared" si="68"/>
        <v>0</v>
      </c>
      <c r="O247" s="25">
        <f t="shared" si="68"/>
        <v>0</v>
      </c>
      <c r="P247" s="25">
        <f t="shared" si="68"/>
        <v>0</v>
      </c>
      <c r="Q247" s="25">
        <f t="shared" si="68"/>
        <v>0</v>
      </c>
      <c r="R247" s="25">
        <f t="shared" si="68"/>
        <v>0</v>
      </c>
      <c r="S247" s="25">
        <f t="shared" si="68"/>
        <v>0</v>
      </c>
      <c r="T247" s="25">
        <f t="shared" si="68"/>
        <v>0</v>
      </c>
      <c r="U247" s="25">
        <f t="shared" si="68"/>
        <v>0</v>
      </c>
      <c r="V247" s="25">
        <f t="shared" si="68"/>
        <v>0</v>
      </c>
      <c r="W247" s="26">
        <f t="shared" si="68"/>
        <v>0</v>
      </c>
      <c r="X247" s="27">
        <f t="shared" si="69"/>
        <v>0</v>
      </c>
      <c r="Y247" s="25">
        <f t="shared" si="69"/>
        <v>0</v>
      </c>
      <c r="Z247" s="25">
        <f t="shared" si="69"/>
        <v>0</v>
      </c>
      <c r="AA247" s="25">
        <f t="shared" si="69"/>
        <v>0</v>
      </c>
      <c r="AB247" s="25">
        <f t="shared" si="69"/>
        <v>0</v>
      </c>
      <c r="AC247" s="25">
        <f t="shared" si="69"/>
        <v>0</v>
      </c>
      <c r="AD247" s="25">
        <f t="shared" si="69"/>
        <v>0</v>
      </c>
      <c r="AE247" s="25">
        <f t="shared" si="69"/>
        <v>0</v>
      </c>
      <c r="AF247" s="25">
        <f t="shared" si="69"/>
        <v>0</v>
      </c>
      <c r="AG247" s="25">
        <f t="shared" si="69"/>
        <v>0</v>
      </c>
      <c r="AH247" s="25">
        <f t="shared" si="69"/>
        <v>0</v>
      </c>
      <c r="AI247" s="26">
        <f t="shared" si="69"/>
        <v>0</v>
      </c>
      <c r="AJ247" s="114"/>
      <c r="AK247" s="114"/>
      <c r="AL247" s="115"/>
    </row>
    <row r="248" spans="1:38" ht="27" hidden="1" customHeight="1" outlineLevel="1">
      <c r="A248" s="113" t="s">
        <v>614</v>
      </c>
      <c r="B248" s="416" t="s">
        <v>203</v>
      </c>
      <c r="C248" s="172"/>
      <c r="D248" s="173"/>
      <c r="E248" s="378" t="e">
        <f>IF((#REF!-C248)/(D248-C248)&lt;0,0,IF((#REF!-C248)/(D248-C248)&gt;100%,100%,(#REF!-C248)/(D248-C248)))</f>
        <v>#REF!</v>
      </c>
      <c r="F248" s="186"/>
      <c r="G248" s="187"/>
      <c r="H248" s="378" t="e">
        <f>IF((#REF!-F248)/(G248-F248)&lt;0,0,IF((#REF!-F248)/(G248-F248)&gt;100%,100%,(#REF!-F248)/(G248-F248)))</f>
        <v>#REF!</v>
      </c>
      <c r="I248" s="182" t="e">
        <f t="shared" si="27"/>
        <v>#REF!</v>
      </c>
      <c r="J248" s="25">
        <f t="shared" si="70"/>
        <v>0</v>
      </c>
      <c r="K248" s="26">
        <f t="shared" si="70"/>
        <v>0</v>
      </c>
      <c r="L248" s="25">
        <f t="shared" si="67"/>
        <v>0</v>
      </c>
      <c r="M248" s="25">
        <f t="shared" si="68"/>
        <v>0</v>
      </c>
      <c r="N248" s="25">
        <f t="shared" si="68"/>
        <v>0</v>
      </c>
      <c r="O248" s="25">
        <f t="shared" si="68"/>
        <v>0</v>
      </c>
      <c r="P248" s="25">
        <f t="shared" si="68"/>
        <v>0</v>
      </c>
      <c r="Q248" s="25">
        <f t="shared" si="68"/>
        <v>0</v>
      </c>
      <c r="R248" s="25">
        <f t="shared" si="68"/>
        <v>0</v>
      </c>
      <c r="S248" s="25">
        <f t="shared" si="68"/>
        <v>0</v>
      </c>
      <c r="T248" s="25">
        <f t="shared" si="68"/>
        <v>0</v>
      </c>
      <c r="U248" s="25">
        <f t="shared" si="68"/>
        <v>0</v>
      </c>
      <c r="V248" s="25">
        <f t="shared" si="68"/>
        <v>0</v>
      </c>
      <c r="W248" s="26">
        <f t="shared" si="68"/>
        <v>0</v>
      </c>
      <c r="X248" s="27">
        <f t="shared" si="69"/>
        <v>0</v>
      </c>
      <c r="Y248" s="25">
        <f t="shared" si="69"/>
        <v>0</v>
      </c>
      <c r="Z248" s="25">
        <f t="shared" si="69"/>
        <v>0</v>
      </c>
      <c r="AA248" s="25">
        <f t="shared" si="69"/>
        <v>0</v>
      </c>
      <c r="AB248" s="25">
        <f t="shared" si="69"/>
        <v>0</v>
      </c>
      <c r="AC248" s="25">
        <f t="shared" si="69"/>
        <v>0</v>
      </c>
      <c r="AD248" s="25">
        <f t="shared" si="69"/>
        <v>0</v>
      </c>
      <c r="AE248" s="25">
        <f t="shared" si="69"/>
        <v>0</v>
      </c>
      <c r="AF248" s="25">
        <f t="shared" si="69"/>
        <v>0</v>
      </c>
      <c r="AG248" s="25">
        <f t="shared" si="69"/>
        <v>0</v>
      </c>
      <c r="AH248" s="25">
        <f t="shared" si="69"/>
        <v>0</v>
      </c>
      <c r="AI248" s="26">
        <f t="shared" si="69"/>
        <v>0</v>
      </c>
      <c r="AJ248" s="114"/>
      <c r="AK248" s="114"/>
      <c r="AL248" s="115"/>
    </row>
    <row r="249" spans="1:38" ht="16" hidden="1" outlineLevel="1">
      <c r="A249" s="113" t="s">
        <v>615</v>
      </c>
      <c r="B249" s="416" t="s">
        <v>204</v>
      </c>
      <c r="C249" s="172"/>
      <c r="D249" s="173"/>
      <c r="E249" s="378" t="e">
        <f>IF((#REF!-C249)/(D249-C249)&lt;0,0,IF((#REF!-C249)/(D249-C249)&gt;100%,100%,(#REF!-C249)/(D249-C249)))</f>
        <v>#REF!</v>
      </c>
      <c r="F249" s="186"/>
      <c r="G249" s="187"/>
      <c r="H249" s="378" t="e">
        <f>IF((#REF!-F249)/(G249-F249)&lt;0,0,IF((#REF!-F249)/(G249-F249)&gt;100%,100%,(#REF!-F249)/(G249-F249)))</f>
        <v>#REF!</v>
      </c>
      <c r="I249" s="182" t="e">
        <f t="shared" si="27"/>
        <v>#REF!</v>
      </c>
      <c r="J249" s="25">
        <f t="shared" si="70"/>
        <v>0</v>
      </c>
      <c r="K249" s="26">
        <f t="shared" si="70"/>
        <v>0</v>
      </c>
      <c r="L249" s="25">
        <f t="shared" si="67"/>
        <v>0</v>
      </c>
      <c r="M249" s="25">
        <f t="shared" si="68"/>
        <v>0</v>
      </c>
      <c r="N249" s="25">
        <f t="shared" si="68"/>
        <v>0</v>
      </c>
      <c r="O249" s="25">
        <f t="shared" si="68"/>
        <v>0</v>
      </c>
      <c r="P249" s="25">
        <f t="shared" si="68"/>
        <v>0</v>
      </c>
      <c r="Q249" s="25">
        <f t="shared" si="68"/>
        <v>0</v>
      </c>
      <c r="R249" s="25">
        <f t="shared" si="68"/>
        <v>0</v>
      </c>
      <c r="S249" s="25">
        <f t="shared" si="68"/>
        <v>0</v>
      </c>
      <c r="T249" s="25">
        <f t="shared" si="68"/>
        <v>0</v>
      </c>
      <c r="U249" s="25">
        <f t="shared" si="68"/>
        <v>0</v>
      </c>
      <c r="V249" s="25">
        <f t="shared" si="68"/>
        <v>0</v>
      </c>
      <c r="W249" s="26">
        <f t="shared" si="68"/>
        <v>0</v>
      </c>
      <c r="X249" s="27">
        <f t="shared" si="69"/>
        <v>0</v>
      </c>
      <c r="Y249" s="25">
        <f t="shared" si="69"/>
        <v>0</v>
      </c>
      <c r="Z249" s="25">
        <f t="shared" si="69"/>
        <v>0</v>
      </c>
      <c r="AA249" s="25">
        <f t="shared" si="69"/>
        <v>0</v>
      </c>
      <c r="AB249" s="25">
        <f t="shared" si="69"/>
        <v>0</v>
      </c>
      <c r="AC249" s="25">
        <f t="shared" si="69"/>
        <v>0</v>
      </c>
      <c r="AD249" s="25">
        <f t="shared" si="69"/>
        <v>0</v>
      </c>
      <c r="AE249" s="25">
        <f t="shared" si="69"/>
        <v>0</v>
      </c>
      <c r="AF249" s="25">
        <f t="shared" si="69"/>
        <v>0</v>
      </c>
      <c r="AG249" s="25">
        <f t="shared" si="69"/>
        <v>0</v>
      </c>
      <c r="AH249" s="25">
        <f t="shared" si="69"/>
        <v>0</v>
      </c>
      <c r="AI249" s="26">
        <f t="shared" si="69"/>
        <v>0</v>
      </c>
      <c r="AJ249" s="114"/>
      <c r="AK249" s="114"/>
      <c r="AL249" s="115"/>
    </row>
    <row r="250" spans="1:38" s="149" customFormat="1" ht="19.25" hidden="1" customHeight="1" outlineLevel="1">
      <c r="A250" s="113" t="s">
        <v>616</v>
      </c>
      <c r="B250" s="413" t="s">
        <v>407</v>
      </c>
      <c r="C250" s="172"/>
      <c r="D250" s="173"/>
      <c r="E250" s="378" t="e">
        <f>IF((#REF!-C250)/(D250-C250)&lt;0,0,IF((#REF!-C250)/(D250-C250)&gt;100%,100%,(#REF!-C250)/(D250-C250)))</f>
        <v>#REF!</v>
      </c>
      <c r="F250" s="186"/>
      <c r="G250" s="187"/>
      <c r="H250" s="378" t="e">
        <f>IF((#REF!-F250)/(G250-F250)&lt;0,0,IF((#REF!-F250)/(G250-F250)&gt;100%,100%,(#REF!-F250)/(G250-F250)))</f>
        <v>#REF!</v>
      </c>
      <c r="I250" s="182" t="e">
        <f t="shared" si="27"/>
        <v>#REF!</v>
      </c>
      <c r="J250" s="25">
        <f t="shared" si="70"/>
        <v>0</v>
      </c>
      <c r="K250" s="26">
        <f t="shared" si="70"/>
        <v>0</v>
      </c>
      <c r="L250" s="25">
        <f t="shared" si="67"/>
        <v>0</v>
      </c>
      <c r="M250" s="25">
        <f t="shared" si="68"/>
        <v>0</v>
      </c>
      <c r="N250" s="25">
        <f t="shared" si="68"/>
        <v>0</v>
      </c>
      <c r="O250" s="25">
        <f t="shared" si="68"/>
        <v>0</v>
      </c>
      <c r="P250" s="25">
        <f t="shared" si="68"/>
        <v>0</v>
      </c>
      <c r="Q250" s="25">
        <f t="shared" si="68"/>
        <v>0</v>
      </c>
      <c r="R250" s="25">
        <f t="shared" si="68"/>
        <v>0</v>
      </c>
      <c r="S250" s="25">
        <f t="shared" si="68"/>
        <v>0</v>
      </c>
      <c r="T250" s="25">
        <f t="shared" si="68"/>
        <v>0</v>
      </c>
      <c r="U250" s="25">
        <f t="shared" si="68"/>
        <v>0</v>
      </c>
      <c r="V250" s="25">
        <f t="shared" si="68"/>
        <v>0</v>
      </c>
      <c r="W250" s="26">
        <f t="shared" si="68"/>
        <v>0</v>
      </c>
      <c r="X250" s="27">
        <f t="shared" si="69"/>
        <v>0</v>
      </c>
      <c r="Y250" s="25">
        <f t="shared" si="69"/>
        <v>0</v>
      </c>
      <c r="Z250" s="25">
        <f t="shared" si="69"/>
        <v>0</v>
      </c>
      <c r="AA250" s="25">
        <f t="shared" si="69"/>
        <v>0</v>
      </c>
      <c r="AB250" s="25">
        <f t="shared" si="69"/>
        <v>0</v>
      </c>
      <c r="AC250" s="25">
        <f t="shared" si="69"/>
        <v>0</v>
      </c>
      <c r="AD250" s="25">
        <f t="shared" si="69"/>
        <v>0</v>
      </c>
      <c r="AE250" s="25">
        <f t="shared" si="69"/>
        <v>0</v>
      </c>
      <c r="AF250" s="25">
        <f t="shared" si="69"/>
        <v>0</v>
      </c>
      <c r="AG250" s="25">
        <f t="shared" si="69"/>
        <v>0</v>
      </c>
      <c r="AH250" s="25">
        <f t="shared" si="69"/>
        <v>0</v>
      </c>
      <c r="AI250" s="26">
        <f t="shared" si="69"/>
        <v>0</v>
      </c>
      <c r="AJ250" s="91"/>
      <c r="AK250" s="91"/>
      <c r="AL250" s="92"/>
    </row>
    <row r="251" spans="1:38" ht="16" collapsed="1">
      <c r="A251" s="110" t="s">
        <v>343</v>
      </c>
      <c r="B251" s="411" t="s">
        <v>409</v>
      </c>
      <c r="C251" s="170">
        <v>46142</v>
      </c>
      <c r="D251" s="171">
        <v>46203</v>
      </c>
      <c r="E251" s="380" t="e">
        <f>IF((#REF!-C251)/(D251-C251)&lt;0,0,IF((#REF!-C251)/(D251-C251)&gt;100%,100%,(#REF!-C251)/(D251-C251)))</f>
        <v>#REF!</v>
      </c>
      <c r="F251" s="189"/>
      <c r="G251" s="190"/>
      <c r="H251" s="380" t="e">
        <f>IF((#REF!-F251)/(G251-F251)&lt;0,0,IF((#REF!-F251)/(G251-F251)&gt;100%,100%,(#REF!-F251)/(G251-F251)))</f>
        <v>#REF!</v>
      </c>
      <c r="I251" s="182" t="e">
        <f t="shared" ref="I251:I304" si="71">(D251-C251)/100%*(H251-E251)</f>
        <v>#REF!</v>
      </c>
      <c r="J251" s="25">
        <f t="shared" ref="J251:L281" si="72">+IF(J$3&gt;=$C251,IF(J$3&lt;=$D251,1,0),0)</f>
        <v>0</v>
      </c>
      <c r="K251" s="26">
        <f t="shared" si="72"/>
        <v>0</v>
      </c>
      <c r="L251" s="25">
        <f t="shared" si="72"/>
        <v>0</v>
      </c>
      <c r="M251" s="25">
        <f t="shared" ref="M251:Z268" si="73">+IF(M$3&gt;=$C251,IF(M$3&lt;=$D251,1,0),0)</f>
        <v>0</v>
      </c>
      <c r="N251" s="25">
        <f t="shared" si="73"/>
        <v>0</v>
      </c>
      <c r="O251" s="25">
        <f t="shared" si="73"/>
        <v>1</v>
      </c>
      <c r="P251" s="25">
        <f t="shared" si="73"/>
        <v>1</v>
      </c>
      <c r="Q251" s="25">
        <f t="shared" si="73"/>
        <v>1</v>
      </c>
      <c r="R251" s="25">
        <f t="shared" si="73"/>
        <v>0</v>
      </c>
      <c r="S251" s="25">
        <f t="shared" si="73"/>
        <v>0</v>
      </c>
      <c r="T251" s="25">
        <f t="shared" si="73"/>
        <v>0</v>
      </c>
      <c r="U251" s="25">
        <f t="shared" si="73"/>
        <v>0</v>
      </c>
      <c r="V251" s="25">
        <f t="shared" si="73"/>
        <v>0</v>
      </c>
      <c r="W251" s="26">
        <f t="shared" si="73"/>
        <v>0</v>
      </c>
      <c r="X251" s="27">
        <f t="shared" si="73"/>
        <v>0</v>
      </c>
      <c r="Y251" s="25">
        <f t="shared" si="73"/>
        <v>0</v>
      </c>
      <c r="Z251" s="25">
        <f t="shared" si="73"/>
        <v>0</v>
      </c>
      <c r="AA251" s="25">
        <f t="shared" ref="AA251:AI260" si="74">+IF(AA$3&gt;=$C251,IF(AA$3&lt;=$D251,1,0),0)</f>
        <v>0</v>
      </c>
      <c r="AB251" s="25">
        <f t="shared" si="74"/>
        <v>0</v>
      </c>
      <c r="AC251" s="25">
        <f t="shared" si="74"/>
        <v>0</v>
      </c>
      <c r="AD251" s="25">
        <f t="shared" si="74"/>
        <v>0</v>
      </c>
      <c r="AE251" s="25">
        <f t="shared" si="74"/>
        <v>0</v>
      </c>
      <c r="AF251" s="25">
        <f t="shared" si="74"/>
        <v>0</v>
      </c>
      <c r="AG251" s="25">
        <f t="shared" si="74"/>
        <v>0</v>
      </c>
      <c r="AH251" s="25">
        <f t="shared" si="74"/>
        <v>0</v>
      </c>
      <c r="AI251" s="26">
        <f t="shared" si="74"/>
        <v>0</v>
      </c>
      <c r="AJ251" s="111"/>
      <c r="AK251" s="111"/>
      <c r="AL251" s="112"/>
    </row>
    <row r="252" spans="1:38" ht="16" hidden="1" outlineLevel="1">
      <c r="A252" s="113" t="s">
        <v>344</v>
      </c>
      <c r="B252" s="417" t="s">
        <v>408</v>
      </c>
      <c r="C252" s="172"/>
      <c r="D252" s="173"/>
      <c r="E252" s="385" t="e">
        <f>IF((#REF!-C252)/(D252-C252)&lt;0,0,IF((#REF!-C252)/(D252-C252)&gt;100%,100%,(#REF!-C252)/(D252-C252)))</f>
        <v>#REF!</v>
      </c>
      <c r="F252" s="186"/>
      <c r="G252" s="187"/>
      <c r="H252" s="385" t="e">
        <f>IF((#REF!-F252)/(G252-F252)&lt;0,0,IF((#REF!-F252)/(G252-F252)&gt;100%,100%,(#REF!-F252)/(G252-F252)))</f>
        <v>#REF!</v>
      </c>
      <c r="I252" s="182" t="e">
        <f t="shared" si="71"/>
        <v>#REF!</v>
      </c>
      <c r="J252" s="25">
        <f t="shared" si="72"/>
        <v>0</v>
      </c>
      <c r="K252" s="26">
        <f t="shared" si="72"/>
        <v>0</v>
      </c>
      <c r="L252" s="25">
        <f t="shared" si="72"/>
        <v>0</v>
      </c>
      <c r="M252" s="25">
        <f t="shared" si="73"/>
        <v>0</v>
      </c>
      <c r="N252" s="25">
        <f t="shared" si="73"/>
        <v>0</v>
      </c>
      <c r="O252" s="25">
        <f t="shared" si="73"/>
        <v>0</v>
      </c>
      <c r="P252" s="25">
        <f t="shared" si="73"/>
        <v>0</v>
      </c>
      <c r="Q252" s="25">
        <f t="shared" si="73"/>
        <v>0</v>
      </c>
      <c r="R252" s="25">
        <f t="shared" si="73"/>
        <v>0</v>
      </c>
      <c r="S252" s="25">
        <f t="shared" si="73"/>
        <v>0</v>
      </c>
      <c r="T252" s="25">
        <f t="shared" si="73"/>
        <v>0</v>
      </c>
      <c r="U252" s="25">
        <f t="shared" si="73"/>
        <v>0</v>
      </c>
      <c r="V252" s="25">
        <f t="shared" si="73"/>
        <v>0</v>
      </c>
      <c r="W252" s="26">
        <f t="shared" si="73"/>
        <v>0</v>
      </c>
      <c r="X252" s="27">
        <f t="shared" si="73"/>
        <v>0</v>
      </c>
      <c r="Y252" s="25">
        <f t="shared" si="73"/>
        <v>0</v>
      </c>
      <c r="Z252" s="25">
        <f t="shared" si="73"/>
        <v>0</v>
      </c>
      <c r="AA252" s="25">
        <f t="shared" si="74"/>
        <v>0</v>
      </c>
      <c r="AB252" s="25">
        <f t="shared" si="74"/>
        <v>0</v>
      </c>
      <c r="AC252" s="25">
        <f t="shared" si="74"/>
        <v>0</v>
      </c>
      <c r="AD252" s="25">
        <f t="shared" si="74"/>
        <v>0</v>
      </c>
      <c r="AE252" s="25">
        <f t="shared" si="74"/>
        <v>0</v>
      </c>
      <c r="AF252" s="25">
        <f t="shared" si="74"/>
        <v>0</v>
      </c>
      <c r="AG252" s="25">
        <f t="shared" si="74"/>
        <v>0</v>
      </c>
      <c r="AH252" s="25">
        <f t="shared" si="74"/>
        <v>0</v>
      </c>
      <c r="AI252" s="26">
        <f t="shared" si="74"/>
        <v>0</v>
      </c>
      <c r="AJ252" s="114"/>
      <c r="AK252" s="114"/>
      <c r="AL252" s="115"/>
    </row>
    <row r="253" spans="1:38" ht="30" hidden="1" outlineLevel="1">
      <c r="A253" s="113" t="s">
        <v>345</v>
      </c>
      <c r="B253" s="417" t="s">
        <v>182</v>
      </c>
      <c r="C253" s="172"/>
      <c r="D253" s="173"/>
      <c r="E253" s="385" t="e">
        <f>IF((#REF!-C253)/(D253-C253)&lt;0,0,IF((#REF!-C253)/(D253-C253)&gt;100%,100%,(#REF!-C253)/(D253-C253)))</f>
        <v>#REF!</v>
      </c>
      <c r="F253" s="186"/>
      <c r="G253" s="187"/>
      <c r="H253" s="385" t="e">
        <f>IF((#REF!-F253)/(G253-F253)&lt;0,0,IF((#REF!-F253)/(G253-F253)&gt;100%,100%,(#REF!-F253)/(G253-F253)))</f>
        <v>#REF!</v>
      </c>
      <c r="I253" s="182" t="e">
        <f t="shared" si="71"/>
        <v>#REF!</v>
      </c>
      <c r="J253" s="25">
        <f t="shared" si="72"/>
        <v>0</v>
      </c>
      <c r="K253" s="26">
        <f t="shared" si="72"/>
        <v>0</v>
      </c>
      <c r="L253" s="25">
        <f t="shared" si="72"/>
        <v>0</v>
      </c>
      <c r="M253" s="25">
        <f t="shared" si="73"/>
        <v>0</v>
      </c>
      <c r="N253" s="25">
        <f t="shared" si="73"/>
        <v>0</v>
      </c>
      <c r="O253" s="25">
        <f t="shared" si="73"/>
        <v>0</v>
      </c>
      <c r="P253" s="25">
        <f t="shared" si="73"/>
        <v>0</v>
      </c>
      <c r="Q253" s="25">
        <f t="shared" si="73"/>
        <v>0</v>
      </c>
      <c r="R253" s="25">
        <f t="shared" si="73"/>
        <v>0</v>
      </c>
      <c r="S253" s="25">
        <f t="shared" si="73"/>
        <v>0</v>
      </c>
      <c r="T253" s="25">
        <f t="shared" si="73"/>
        <v>0</v>
      </c>
      <c r="U253" s="25">
        <f t="shared" si="73"/>
        <v>0</v>
      </c>
      <c r="V253" s="25">
        <f t="shared" si="73"/>
        <v>0</v>
      </c>
      <c r="W253" s="26">
        <f t="shared" si="73"/>
        <v>0</v>
      </c>
      <c r="X253" s="27">
        <f t="shared" si="73"/>
        <v>0</v>
      </c>
      <c r="Y253" s="25">
        <f t="shared" si="73"/>
        <v>0</v>
      </c>
      <c r="Z253" s="25">
        <f t="shared" si="73"/>
        <v>0</v>
      </c>
      <c r="AA253" s="25">
        <f t="shared" si="74"/>
        <v>0</v>
      </c>
      <c r="AB253" s="25">
        <f t="shared" si="74"/>
        <v>0</v>
      </c>
      <c r="AC253" s="25">
        <f t="shared" si="74"/>
        <v>0</v>
      </c>
      <c r="AD253" s="25">
        <f t="shared" si="74"/>
        <v>0</v>
      </c>
      <c r="AE253" s="25">
        <f t="shared" si="74"/>
        <v>0</v>
      </c>
      <c r="AF253" s="25">
        <f t="shared" si="74"/>
        <v>0</v>
      </c>
      <c r="AG253" s="25">
        <f t="shared" si="74"/>
        <v>0</v>
      </c>
      <c r="AH253" s="25">
        <f t="shared" si="74"/>
        <v>0</v>
      </c>
      <c r="AI253" s="26">
        <f t="shared" si="74"/>
        <v>0</v>
      </c>
      <c r="AJ253" s="114"/>
      <c r="AK253" s="114"/>
      <c r="AL253" s="115"/>
    </row>
    <row r="254" spans="1:38" ht="30" hidden="1" outlineLevel="1">
      <c r="A254" s="113" t="s">
        <v>617</v>
      </c>
      <c r="B254" s="417" t="s">
        <v>183</v>
      </c>
      <c r="C254" s="172"/>
      <c r="D254" s="173"/>
      <c r="E254" s="385" t="e">
        <f>IF((#REF!-C254)/(D254-C254)&lt;0,0,IF((#REF!-C254)/(D254-C254)&gt;100%,100%,(#REF!-C254)/(D254-C254)))</f>
        <v>#REF!</v>
      </c>
      <c r="F254" s="186"/>
      <c r="G254" s="187"/>
      <c r="H254" s="385" t="e">
        <f>IF((#REF!-F254)/(G254-F254)&lt;0,0,IF((#REF!-F254)/(G254-F254)&gt;100%,100%,(#REF!-F254)/(G254-F254)))</f>
        <v>#REF!</v>
      </c>
      <c r="I254" s="182" t="e">
        <f t="shared" si="71"/>
        <v>#REF!</v>
      </c>
      <c r="J254" s="25">
        <f t="shared" si="72"/>
        <v>0</v>
      </c>
      <c r="K254" s="26">
        <f t="shared" si="72"/>
        <v>0</v>
      </c>
      <c r="L254" s="25">
        <f t="shared" si="72"/>
        <v>0</v>
      </c>
      <c r="M254" s="25">
        <f t="shared" si="73"/>
        <v>0</v>
      </c>
      <c r="N254" s="25">
        <f t="shared" si="73"/>
        <v>0</v>
      </c>
      <c r="O254" s="25">
        <f t="shared" si="73"/>
        <v>0</v>
      </c>
      <c r="P254" s="25">
        <f t="shared" si="73"/>
        <v>0</v>
      </c>
      <c r="Q254" s="25">
        <f t="shared" si="73"/>
        <v>0</v>
      </c>
      <c r="R254" s="25">
        <f t="shared" si="73"/>
        <v>0</v>
      </c>
      <c r="S254" s="25">
        <f t="shared" si="73"/>
        <v>0</v>
      </c>
      <c r="T254" s="25">
        <f t="shared" si="73"/>
        <v>0</v>
      </c>
      <c r="U254" s="25">
        <f t="shared" si="73"/>
        <v>0</v>
      </c>
      <c r="V254" s="25">
        <f t="shared" si="73"/>
        <v>0</v>
      </c>
      <c r="W254" s="26">
        <f t="shared" si="73"/>
        <v>0</v>
      </c>
      <c r="X254" s="27">
        <f t="shared" si="73"/>
        <v>0</v>
      </c>
      <c r="Y254" s="25">
        <f t="shared" si="73"/>
        <v>0</v>
      </c>
      <c r="Z254" s="25">
        <f t="shared" si="73"/>
        <v>0</v>
      </c>
      <c r="AA254" s="25">
        <f t="shared" si="74"/>
        <v>0</v>
      </c>
      <c r="AB254" s="25">
        <f t="shared" si="74"/>
        <v>0</v>
      </c>
      <c r="AC254" s="25">
        <f t="shared" si="74"/>
        <v>0</v>
      </c>
      <c r="AD254" s="25">
        <f t="shared" si="74"/>
        <v>0</v>
      </c>
      <c r="AE254" s="25">
        <f t="shared" si="74"/>
        <v>0</v>
      </c>
      <c r="AF254" s="25">
        <f t="shared" si="74"/>
        <v>0</v>
      </c>
      <c r="AG254" s="25">
        <f t="shared" si="74"/>
        <v>0</v>
      </c>
      <c r="AH254" s="25">
        <f t="shared" si="74"/>
        <v>0</v>
      </c>
      <c r="AI254" s="26">
        <f t="shared" si="74"/>
        <v>0</v>
      </c>
      <c r="AJ254" s="114"/>
      <c r="AK254" s="114"/>
      <c r="AL254" s="115"/>
    </row>
    <row r="255" spans="1:38" ht="16" hidden="1" outlineLevel="1">
      <c r="A255" s="113" t="s">
        <v>618</v>
      </c>
      <c r="B255" s="417" t="s">
        <v>184</v>
      </c>
      <c r="C255" s="172"/>
      <c r="D255" s="173"/>
      <c r="E255" s="385" t="e">
        <f>IF((#REF!-C255)/(D255-C255)&lt;0,0,IF((#REF!-C255)/(D255-C255)&gt;100%,100%,(#REF!-C255)/(D255-C255)))</f>
        <v>#REF!</v>
      </c>
      <c r="F255" s="186"/>
      <c r="G255" s="187"/>
      <c r="H255" s="385" t="e">
        <f>IF((#REF!-F255)/(G255-F255)&lt;0,0,IF((#REF!-F255)/(G255-F255)&gt;100%,100%,(#REF!-F255)/(G255-F255)))</f>
        <v>#REF!</v>
      </c>
      <c r="I255" s="182" t="e">
        <f t="shared" si="71"/>
        <v>#REF!</v>
      </c>
      <c r="J255" s="25">
        <f t="shared" si="72"/>
        <v>0</v>
      </c>
      <c r="K255" s="26">
        <f t="shared" si="72"/>
        <v>0</v>
      </c>
      <c r="L255" s="25">
        <f t="shared" si="72"/>
        <v>0</v>
      </c>
      <c r="M255" s="25">
        <f t="shared" si="73"/>
        <v>0</v>
      </c>
      <c r="N255" s="25">
        <f t="shared" si="73"/>
        <v>0</v>
      </c>
      <c r="O255" s="25">
        <f t="shared" si="73"/>
        <v>0</v>
      </c>
      <c r="P255" s="25">
        <f t="shared" si="73"/>
        <v>0</v>
      </c>
      <c r="Q255" s="25">
        <f t="shared" si="73"/>
        <v>0</v>
      </c>
      <c r="R255" s="25">
        <f t="shared" si="73"/>
        <v>0</v>
      </c>
      <c r="S255" s="25">
        <f t="shared" si="73"/>
        <v>0</v>
      </c>
      <c r="T255" s="25">
        <f t="shared" si="73"/>
        <v>0</v>
      </c>
      <c r="U255" s="25">
        <f t="shared" si="73"/>
        <v>0</v>
      </c>
      <c r="V255" s="25">
        <f t="shared" si="73"/>
        <v>0</v>
      </c>
      <c r="W255" s="26">
        <f t="shared" si="73"/>
        <v>0</v>
      </c>
      <c r="X255" s="27">
        <f t="shared" si="73"/>
        <v>0</v>
      </c>
      <c r="Y255" s="25">
        <f t="shared" si="73"/>
        <v>0</v>
      </c>
      <c r="Z255" s="25">
        <f t="shared" si="73"/>
        <v>0</v>
      </c>
      <c r="AA255" s="25">
        <f t="shared" si="74"/>
        <v>0</v>
      </c>
      <c r="AB255" s="25">
        <f t="shared" si="74"/>
        <v>0</v>
      </c>
      <c r="AC255" s="25">
        <f t="shared" si="74"/>
        <v>0</v>
      </c>
      <c r="AD255" s="25">
        <f t="shared" si="74"/>
        <v>0</v>
      </c>
      <c r="AE255" s="25">
        <f t="shared" si="74"/>
        <v>0</v>
      </c>
      <c r="AF255" s="25">
        <f t="shared" si="74"/>
        <v>0</v>
      </c>
      <c r="AG255" s="25">
        <f t="shared" si="74"/>
        <v>0</v>
      </c>
      <c r="AH255" s="25">
        <f t="shared" si="74"/>
        <v>0</v>
      </c>
      <c r="AI255" s="26">
        <f t="shared" si="74"/>
        <v>0</v>
      </c>
      <c r="AJ255" s="114"/>
      <c r="AK255" s="114"/>
      <c r="AL255" s="115"/>
    </row>
    <row r="256" spans="1:38" ht="16.25" hidden="1" customHeight="1" outlineLevel="1">
      <c r="A256" s="113" t="s">
        <v>619</v>
      </c>
      <c r="B256" s="417" t="s">
        <v>80</v>
      </c>
      <c r="C256" s="172"/>
      <c r="D256" s="173"/>
      <c r="E256" s="385" t="e">
        <f>IF((#REF!-C256)/(D256-C256)&lt;0,0,IF((#REF!-C256)/(D256-C256)&gt;100%,100%,(#REF!-C256)/(D256-C256)))</f>
        <v>#REF!</v>
      </c>
      <c r="F256" s="186"/>
      <c r="G256" s="187"/>
      <c r="H256" s="385" t="e">
        <f>IF((#REF!-F256)/(G256-F256)&lt;0,0,IF((#REF!-F256)/(G256-F256)&gt;100%,100%,(#REF!-F256)/(G256-F256)))</f>
        <v>#REF!</v>
      </c>
      <c r="I256" s="182" t="e">
        <f t="shared" si="71"/>
        <v>#REF!</v>
      </c>
      <c r="J256" s="25">
        <f t="shared" si="72"/>
        <v>0</v>
      </c>
      <c r="K256" s="26">
        <f t="shared" si="72"/>
        <v>0</v>
      </c>
      <c r="L256" s="25">
        <f t="shared" si="72"/>
        <v>0</v>
      </c>
      <c r="M256" s="25">
        <f t="shared" si="73"/>
        <v>0</v>
      </c>
      <c r="N256" s="25">
        <f t="shared" si="73"/>
        <v>0</v>
      </c>
      <c r="O256" s="25">
        <f t="shared" si="73"/>
        <v>0</v>
      </c>
      <c r="P256" s="25">
        <f t="shared" si="73"/>
        <v>0</v>
      </c>
      <c r="Q256" s="25">
        <f t="shared" si="73"/>
        <v>0</v>
      </c>
      <c r="R256" s="25">
        <f t="shared" si="73"/>
        <v>0</v>
      </c>
      <c r="S256" s="25">
        <f t="shared" si="73"/>
        <v>0</v>
      </c>
      <c r="T256" s="25">
        <f t="shared" si="73"/>
        <v>0</v>
      </c>
      <c r="U256" s="25">
        <f t="shared" si="73"/>
        <v>0</v>
      </c>
      <c r="V256" s="25">
        <f t="shared" si="73"/>
        <v>0</v>
      </c>
      <c r="W256" s="26">
        <f t="shared" si="73"/>
        <v>0</v>
      </c>
      <c r="X256" s="27">
        <f t="shared" si="73"/>
        <v>0</v>
      </c>
      <c r="Y256" s="25">
        <f t="shared" si="73"/>
        <v>0</v>
      </c>
      <c r="Z256" s="25">
        <f t="shared" si="73"/>
        <v>0</v>
      </c>
      <c r="AA256" s="25">
        <f t="shared" si="74"/>
        <v>0</v>
      </c>
      <c r="AB256" s="25">
        <f t="shared" si="74"/>
        <v>0</v>
      </c>
      <c r="AC256" s="25">
        <f t="shared" si="74"/>
        <v>0</v>
      </c>
      <c r="AD256" s="25">
        <f t="shared" si="74"/>
        <v>0</v>
      </c>
      <c r="AE256" s="25">
        <f t="shared" si="74"/>
        <v>0</v>
      </c>
      <c r="AF256" s="25">
        <f t="shared" si="74"/>
        <v>0</v>
      </c>
      <c r="AG256" s="25">
        <f t="shared" si="74"/>
        <v>0</v>
      </c>
      <c r="AH256" s="25">
        <f t="shared" si="74"/>
        <v>0</v>
      </c>
      <c r="AI256" s="26">
        <f t="shared" si="74"/>
        <v>0</v>
      </c>
      <c r="AJ256" s="114"/>
      <c r="AK256" s="114"/>
      <c r="AL256" s="115"/>
    </row>
    <row r="257" spans="1:38" ht="16" collapsed="1">
      <c r="A257" s="110" t="s">
        <v>343</v>
      </c>
      <c r="B257" s="407" t="s">
        <v>126</v>
      </c>
      <c r="C257" s="170">
        <v>46113</v>
      </c>
      <c r="D257" s="171">
        <v>46188</v>
      </c>
      <c r="E257" s="380" t="e">
        <f>IF((#REF!-C257)/(D257-C257)&lt;0,0,IF((#REF!-C257)/(D257-C257)&gt;100%,100%,(#REF!-C257)/(D257-C257)))</f>
        <v>#REF!</v>
      </c>
      <c r="F257" s="184"/>
      <c r="G257" s="185"/>
      <c r="H257" s="380" t="e">
        <f>IF((#REF!-F257)/(G257-F257)&lt;0,0,IF((#REF!-F257)/(G257-F257)&gt;100%,100%,(#REF!-F257)/(G257-F257)))</f>
        <v>#REF!</v>
      </c>
      <c r="I257" s="182" t="e">
        <f t="shared" si="71"/>
        <v>#REF!</v>
      </c>
      <c r="J257" s="25">
        <f t="shared" si="72"/>
        <v>0</v>
      </c>
      <c r="K257" s="26">
        <f t="shared" si="72"/>
        <v>0</v>
      </c>
      <c r="L257" s="25">
        <f t="shared" si="72"/>
        <v>0</v>
      </c>
      <c r="M257" s="25">
        <f t="shared" si="73"/>
        <v>0</v>
      </c>
      <c r="N257" s="25">
        <f t="shared" si="73"/>
        <v>0</v>
      </c>
      <c r="O257" s="25">
        <f t="shared" si="73"/>
        <v>1</v>
      </c>
      <c r="P257" s="25">
        <f t="shared" si="73"/>
        <v>1</v>
      </c>
      <c r="Q257" s="25">
        <f t="shared" si="73"/>
        <v>0</v>
      </c>
      <c r="R257" s="25">
        <f t="shared" si="73"/>
        <v>0</v>
      </c>
      <c r="S257" s="25">
        <f t="shared" si="73"/>
        <v>0</v>
      </c>
      <c r="T257" s="25">
        <f t="shared" si="73"/>
        <v>0</v>
      </c>
      <c r="U257" s="25">
        <f t="shared" si="73"/>
        <v>0</v>
      </c>
      <c r="V257" s="25">
        <f t="shared" si="73"/>
        <v>0</v>
      </c>
      <c r="W257" s="26">
        <f t="shared" si="73"/>
        <v>0</v>
      </c>
      <c r="X257" s="27">
        <f t="shared" si="73"/>
        <v>0</v>
      </c>
      <c r="Y257" s="25">
        <f t="shared" si="73"/>
        <v>0</v>
      </c>
      <c r="Z257" s="25">
        <f t="shared" si="73"/>
        <v>0</v>
      </c>
      <c r="AA257" s="25">
        <f t="shared" si="74"/>
        <v>0</v>
      </c>
      <c r="AB257" s="25">
        <f t="shared" si="74"/>
        <v>0</v>
      </c>
      <c r="AC257" s="25">
        <f t="shared" si="74"/>
        <v>0</v>
      </c>
      <c r="AD257" s="25">
        <f t="shared" si="74"/>
        <v>0</v>
      </c>
      <c r="AE257" s="25">
        <f t="shared" si="74"/>
        <v>0</v>
      </c>
      <c r="AF257" s="25">
        <f t="shared" si="74"/>
        <v>0</v>
      </c>
      <c r="AG257" s="25">
        <f t="shared" si="74"/>
        <v>0</v>
      </c>
      <c r="AH257" s="25">
        <f t="shared" si="74"/>
        <v>0</v>
      </c>
      <c r="AI257" s="26">
        <f t="shared" si="74"/>
        <v>0</v>
      </c>
      <c r="AJ257" s="111"/>
      <c r="AK257" s="111"/>
      <c r="AL257" s="112"/>
    </row>
    <row r="258" spans="1:38" ht="16" hidden="1" outlineLevel="2">
      <c r="A258" s="113" t="s">
        <v>344</v>
      </c>
      <c r="B258" s="418" t="s">
        <v>127</v>
      </c>
      <c r="C258" s="172"/>
      <c r="D258" s="173"/>
      <c r="E258" s="378" t="e">
        <f>IF((#REF!-C258)/(D258-C258)&lt;0,0,IF((#REF!-C258)/(D258-C258)&gt;100%,100%,(#REF!-C258)/(D258-C258)))</f>
        <v>#REF!</v>
      </c>
      <c r="F258" s="186"/>
      <c r="G258" s="187"/>
      <c r="H258" s="378" t="e">
        <f>IF((#REF!-F258)/(G258-F258)&lt;0,0,IF((#REF!-F258)/(G258-F258)&gt;100%,100%,(#REF!-F258)/(G258-F258)))</f>
        <v>#REF!</v>
      </c>
      <c r="I258" s="182" t="e">
        <f t="shared" si="71"/>
        <v>#REF!</v>
      </c>
      <c r="J258" s="25">
        <f t="shared" si="72"/>
        <v>0</v>
      </c>
      <c r="K258" s="26">
        <f t="shared" si="72"/>
        <v>0</v>
      </c>
      <c r="L258" s="25">
        <f t="shared" si="72"/>
        <v>0</v>
      </c>
      <c r="M258" s="25">
        <f t="shared" si="73"/>
        <v>0</v>
      </c>
      <c r="N258" s="25">
        <f t="shared" si="73"/>
        <v>0</v>
      </c>
      <c r="O258" s="25">
        <f t="shared" si="73"/>
        <v>0</v>
      </c>
      <c r="P258" s="25">
        <f t="shared" si="73"/>
        <v>0</v>
      </c>
      <c r="Q258" s="25">
        <f t="shared" si="73"/>
        <v>0</v>
      </c>
      <c r="R258" s="25">
        <f t="shared" si="73"/>
        <v>0</v>
      </c>
      <c r="S258" s="25">
        <f t="shared" si="73"/>
        <v>0</v>
      </c>
      <c r="T258" s="25">
        <f t="shared" si="73"/>
        <v>0</v>
      </c>
      <c r="U258" s="25">
        <f t="shared" si="73"/>
        <v>0</v>
      </c>
      <c r="V258" s="25">
        <f t="shared" si="73"/>
        <v>0</v>
      </c>
      <c r="W258" s="26">
        <f t="shared" si="73"/>
        <v>0</v>
      </c>
      <c r="X258" s="27">
        <f t="shared" si="73"/>
        <v>0</v>
      </c>
      <c r="Y258" s="25">
        <f t="shared" si="73"/>
        <v>0</v>
      </c>
      <c r="Z258" s="25">
        <f t="shared" si="73"/>
        <v>0</v>
      </c>
      <c r="AA258" s="25">
        <f t="shared" si="74"/>
        <v>0</v>
      </c>
      <c r="AB258" s="25">
        <f t="shared" si="74"/>
        <v>0</v>
      </c>
      <c r="AC258" s="25">
        <f t="shared" si="74"/>
        <v>0</v>
      </c>
      <c r="AD258" s="25">
        <f t="shared" si="74"/>
        <v>0</v>
      </c>
      <c r="AE258" s="25">
        <f t="shared" si="74"/>
        <v>0</v>
      </c>
      <c r="AF258" s="25">
        <f t="shared" si="74"/>
        <v>0</v>
      </c>
      <c r="AG258" s="25">
        <f t="shared" si="74"/>
        <v>0</v>
      </c>
      <c r="AH258" s="25">
        <f t="shared" si="74"/>
        <v>0</v>
      </c>
      <c r="AI258" s="26">
        <f t="shared" si="74"/>
        <v>0</v>
      </c>
      <c r="AJ258" s="114"/>
      <c r="AK258" s="114"/>
      <c r="AL258" s="115"/>
    </row>
    <row r="259" spans="1:38" ht="18.5" hidden="1" customHeight="1" outlineLevel="2">
      <c r="A259" s="113" t="s">
        <v>345</v>
      </c>
      <c r="B259" s="418" t="s">
        <v>128</v>
      </c>
      <c r="C259" s="172"/>
      <c r="D259" s="173"/>
      <c r="E259" s="378" t="e">
        <f>IF((#REF!-C259)/(D259-C259)&lt;0,0,IF((#REF!-C259)/(D259-C259)&gt;100%,100%,(#REF!-C259)/(D259-C259)))</f>
        <v>#REF!</v>
      </c>
      <c r="F259" s="186"/>
      <c r="G259" s="187"/>
      <c r="H259" s="378" t="e">
        <f>IF((#REF!-F259)/(G259-F259)&lt;0,0,IF((#REF!-F259)/(G259-F259)&gt;100%,100%,(#REF!-F259)/(G259-F259)))</f>
        <v>#REF!</v>
      </c>
      <c r="I259" s="182" t="e">
        <f t="shared" si="71"/>
        <v>#REF!</v>
      </c>
      <c r="J259" s="25">
        <f t="shared" si="72"/>
        <v>0</v>
      </c>
      <c r="K259" s="26">
        <f t="shared" si="72"/>
        <v>0</v>
      </c>
      <c r="L259" s="25">
        <f t="shared" si="72"/>
        <v>0</v>
      </c>
      <c r="M259" s="25">
        <f t="shared" si="73"/>
        <v>0</v>
      </c>
      <c r="N259" s="25">
        <f t="shared" si="73"/>
        <v>0</v>
      </c>
      <c r="O259" s="25">
        <f t="shared" si="73"/>
        <v>0</v>
      </c>
      <c r="P259" s="25">
        <f t="shared" si="73"/>
        <v>0</v>
      </c>
      <c r="Q259" s="25">
        <f t="shared" si="73"/>
        <v>0</v>
      </c>
      <c r="R259" s="25">
        <f t="shared" si="73"/>
        <v>0</v>
      </c>
      <c r="S259" s="25">
        <f t="shared" si="73"/>
        <v>0</v>
      </c>
      <c r="T259" s="25">
        <f t="shared" si="73"/>
        <v>0</v>
      </c>
      <c r="U259" s="25">
        <f t="shared" si="73"/>
        <v>0</v>
      </c>
      <c r="V259" s="25">
        <f t="shared" si="73"/>
        <v>0</v>
      </c>
      <c r="W259" s="26">
        <f t="shared" si="73"/>
        <v>0</v>
      </c>
      <c r="X259" s="27">
        <f t="shared" si="73"/>
        <v>0</v>
      </c>
      <c r="Y259" s="25">
        <f t="shared" si="73"/>
        <v>0</v>
      </c>
      <c r="Z259" s="25">
        <f t="shared" si="73"/>
        <v>0</v>
      </c>
      <c r="AA259" s="25">
        <f t="shared" si="74"/>
        <v>0</v>
      </c>
      <c r="AB259" s="25">
        <f t="shared" si="74"/>
        <v>0</v>
      </c>
      <c r="AC259" s="25">
        <f t="shared" si="74"/>
        <v>0</v>
      </c>
      <c r="AD259" s="25">
        <f t="shared" si="74"/>
        <v>0</v>
      </c>
      <c r="AE259" s="25">
        <f t="shared" si="74"/>
        <v>0</v>
      </c>
      <c r="AF259" s="25">
        <f t="shared" si="74"/>
        <v>0</v>
      </c>
      <c r="AG259" s="25">
        <f t="shared" si="74"/>
        <v>0</v>
      </c>
      <c r="AH259" s="25">
        <f t="shared" si="74"/>
        <v>0</v>
      </c>
      <c r="AI259" s="26">
        <f t="shared" si="74"/>
        <v>0</v>
      </c>
      <c r="AJ259" s="114"/>
      <c r="AK259" s="114"/>
      <c r="AL259" s="115"/>
    </row>
    <row r="260" spans="1:38" ht="16" hidden="1" outlineLevel="2">
      <c r="A260" s="113" t="s">
        <v>617</v>
      </c>
      <c r="B260" s="418" t="s">
        <v>129</v>
      </c>
      <c r="C260" s="172"/>
      <c r="D260" s="173"/>
      <c r="E260" s="378" t="e">
        <f>IF((#REF!-C260)/(D260-C260)&lt;0,0,IF((#REF!-C260)/(D260-C260)&gt;100%,100%,(#REF!-C260)/(D260-C260)))</f>
        <v>#REF!</v>
      </c>
      <c r="F260" s="186"/>
      <c r="G260" s="187"/>
      <c r="H260" s="378" t="e">
        <f>IF((#REF!-F260)/(G260-F260)&lt;0,0,IF((#REF!-F260)/(G260-F260)&gt;100%,100%,(#REF!-F260)/(G260-F260)))</f>
        <v>#REF!</v>
      </c>
      <c r="I260" s="182" t="e">
        <f t="shared" si="71"/>
        <v>#REF!</v>
      </c>
      <c r="J260" s="25">
        <f t="shared" si="72"/>
        <v>0</v>
      </c>
      <c r="K260" s="26">
        <f t="shared" si="72"/>
        <v>0</v>
      </c>
      <c r="L260" s="25">
        <f t="shared" si="72"/>
        <v>0</v>
      </c>
      <c r="M260" s="25">
        <f t="shared" si="73"/>
        <v>0</v>
      </c>
      <c r="N260" s="25">
        <f t="shared" si="73"/>
        <v>0</v>
      </c>
      <c r="O260" s="25">
        <f t="shared" si="73"/>
        <v>0</v>
      </c>
      <c r="P260" s="25">
        <f t="shared" si="73"/>
        <v>0</v>
      </c>
      <c r="Q260" s="25">
        <f t="shared" si="73"/>
        <v>0</v>
      </c>
      <c r="R260" s="25">
        <f t="shared" si="73"/>
        <v>0</v>
      </c>
      <c r="S260" s="25">
        <f t="shared" si="73"/>
        <v>0</v>
      </c>
      <c r="T260" s="25">
        <f t="shared" si="73"/>
        <v>0</v>
      </c>
      <c r="U260" s="25">
        <f t="shared" si="73"/>
        <v>0</v>
      </c>
      <c r="V260" s="25">
        <f t="shared" si="73"/>
        <v>0</v>
      </c>
      <c r="W260" s="26">
        <f t="shared" si="73"/>
        <v>0</v>
      </c>
      <c r="X260" s="27">
        <f t="shared" si="73"/>
        <v>0</v>
      </c>
      <c r="Y260" s="25">
        <f t="shared" si="73"/>
        <v>0</v>
      </c>
      <c r="Z260" s="25">
        <f t="shared" si="73"/>
        <v>0</v>
      </c>
      <c r="AA260" s="25">
        <f t="shared" si="74"/>
        <v>0</v>
      </c>
      <c r="AB260" s="25">
        <f t="shared" si="74"/>
        <v>0</v>
      </c>
      <c r="AC260" s="25">
        <f t="shared" ref="AA260:AI288" si="75">+IF(AC$3&gt;=$C260,IF(AC$3&lt;=$D260,1,0),0)</f>
        <v>0</v>
      </c>
      <c r="AD260" s="25">
        <f t="shared" si="75"/>
        <v>0</v>
      </c>
      <c r="AE260" s="25">
        <f t="shared" si="75"/>
        <v>0</v>
      </c>
      <c r="AF260" s="25">
        <f t="shared" si="75"/>
        <v>0</v>
      </c>
      <c r="AG260" s="25">
        <f t="shared" si="75"/>
        <v>0</v>
      </c>
      <c r="AH260" s="25">
        <f t="shared" si="75"/>
        <v>0</v>
      </c>
      <c r="AI260" s="26">
        <f t="shared" si="75"/>
        <v>0</v>
      </c>
      <c r="AJ260" s="114"/>
      <c r="AK260" s="114"/>
      <c r="AL260" s="115"/>
    </row>
    <row r="261" spans="1:38" ht="19.75" hidden="1" customHeight="1" outlineLevel="2">
      <c r="A261" s="113" t="s">
        <v>618</v>
      </c>
      <c r="B261" s="418" t="s">
        <v>130</v>
      </c>
      <c r="C261" s="172"/>
      <c r="D261" s="173"/>
      <c r="E261" s="378" t="e">
        <f>IF((#REF!-C261)/(D261-C261)&lt;0,0,IF((#REF!-C261)/(D261-C261)&gt;100%,100%,(#REF!-C261)/(D261-C261)))</f>
        <v>#REF!</v>
      </c>
      <c r="F261" s="186"/>
      <c r="G261" s="187"/>
      <c r="H261" s="378" t="e">
        <f>IF((#REF!-F261)/(G261-F261)&lt;0,0,IF((#REF!-F261)/(G261-F261)&gt;100%,100%,(#REF!-F261)/(G261-F261)))</f>
        <v>#REF!</v>
      </c>
      <c r="I261" s="182" t="e">
        <f t="shared" si="71"/>
        <v>#REF!</v>
      </c>
      <c r="J261" s="25">
        <f t="shared" si="72"/>
        <v>0</v>
      </c>
      <c r="K261" s="26">
        <f t="shared" si="72"/>
        <v>0</v>
      </c>
      <c r="L261" s="25">
        <f t="shared" si="72"/>
        <v>0</v>
      </c>
      <c r="M261" s="25">
        <f t="shared" si="73"/>
        <v>0</v>
      </c>
      <c r="N261" s="25">
        <f t="shared" si="73"/>
        <v>0</v>
      </c>
      <c r="O261" s="25">
        <f t="shared" si="73"/>
        <v>0</v>
      </c>
      <c r="P261" s="25">
        <f t="shared" si="73"/>
        <v>0</v>
      </c>
      <c r="Q261" s="25">
        <f t="shared" si="73"/>
        <v>0</v>
      </c>
      <c r="R261" s="25">
        <f t="shared" si="73"/>
        <v>0</v>
      </c>
      <c r="S261" s="25">
        <f t="shared" si="73"/>
        <v>0</v>
      </c>
      <c r="T261" s="25">
        <f t="shared" si="73"/>
        <v>0</v>
      </c>
      <c r="U261" s="25">
        <f t="shared" si="73"/>
        <v>0</v>
      </c>
      <c r="V261" s="25">
        <f t="shared" si="73"/>
        <v>0</v>
      </c>
      <c r="W261" s="26">
        <f t="shared" si="73"/>
        <v>0</v>
      </c>
      <c r="X261" s="27">
        <f t="shared" si="73"/>
        <v>0</v>
      </c>
      <c r="Y261" s="25">
        <f t="shared" si="73"/>
        <v>0</v>
      </c>
      <c r="Z261" s="25">
        <f t="shared" si="73"/>
        <v>0</v>
      </c>
      <c r="AA261" s="25">
        <f t="shared" si="75"/>
        <v>0</v>
      </c>
      <c r="AB261" s="25">
        <f t="shared" si="75"/>
        <v>0</v>
      </c>
      <c r="AC261" s="25">
        <f t="shared" si="75"/>
        <v>0</v>
      </c>
      <c r="AD261" s="25">
        <f t="shared" si="75"/>
        <v>0</v>
      </c>
      <c r="AE261" s="25">
        <f t="shared" si="75"/>
        <v>0</v>
      </c>
      <c r="AF261" s="25">
        <f t="shared" si="75"/>
        <v>0</v>
      </c>
      <c r="AG261" s="25">
        <f t="shared" si="75"/>
        <v>0</v>
      </c>
      <c r="AH261" s="25">
        <f t="shared" si="75"/>
        <v>0</v>
      </c>
      <c r="AI261" s="26">
        <f t="shared" si="75"/>
        <v>0</v>
      </c>
      <c r="AJ261" s="114"/>
      <c r="AK261" s="114"/>
      <c r="AL261" s="115"/>
    </row>
    <row r="262" spans="1:38" ht="45" hidden="1" outlineLevel="2">
      <c r="A262" s="113" t="s">
        <v>619</v>
      </c>
      <c r="B262" s="418" t="s">
        <v>131</v>
      </c>
      <c r="C262" s="172"/>
      <c r="D262" s="173"/>
      <c r="E262" s="378" t="e">
        <f>IF((#REF!-C262)/(D262-C262)&lt;0,0,IF((#REF!-C262)/(D262-C262)&gt;100%,100%,(#REF!-C262)/(D262-C262)))</f>
        <v>#REF!</v>
      </c>
      <c r="F262" s="186"/>
      <c r="G262" s="187"/>
      <c r="H262" s="378" t="e">
        <f>IF((#REF!-F262)/(G262-F262)&lt;0,0,IF((#REF!-F262)/(G262-F262)&gt;100%,100%,(#REF!-F262)/(G262-F262)))</f>
        <v>#REF!</v>
      </c>
      <c r="I262" s="182" t="e">
        <f t="shared" si="71"/>
        <v>#REF!</v>
      </c>
      <c r="J262" s="25">
        <f t="shared" si="72"/>
        <v>0</v>
      </c>
      <c r="K262" s="26">
        <f t="shared" si="72"/>
        <v>0</v>
      </c>
      <c r="L262" s="25">
        <f t="shared" si="72"/>
        <v>0</v>
      </c>
      <c r="M262" s="25">
        <f t="shared" si="73"/>
        <v>0</v>
      </c>
      <c r="N262" s="25">
        <f t="shared" si="73"/>
        <v>0</v>
      </c>
      <c r="O262" s="25">
        <f t="shared" si="73"/>
        <v>0</v>
      </c>
      <c r="P262" s="25">
        <f t="shared" si="73"/>
        <v>0</v>
      </c>
      <c r="Q262" s="25">
        <f t="shared" si="73"/>
        <v>0</v>
      </c>
      <c r="R262" s="25">
        <f t="shared" si="73"/>
        <v>0</v>
      </c>
      <c r="S262" s="25">
        <f t="shared" si="73"/>
        <v>0</v>
      </c>
      <c r="T262" s="25">
        <f t="shared" si="73"/>
        <v>0</v>
      </c>
      <c r="U262" s="25">
        <f t="shared" si="73"/>
        <v>0</v>
      </c>
      <c r="V262" s="25">
        <f t="shared" si="73"/>
        <v>0</v>
      </c>
      <c r="W262" s="26">
        <f t="shared" si="73"/>
        <v>0</v>
      </c>
      <c r="X262" s="27">
        <f t="shared" si="73"/>
        <v>0</v>
      </c>
      <c r="Y262" s="25">
        <f t="shared" si="73"/>
        <v>0</v>
      </c>
      <c r="Z262" s="25">
        <f t="shared" si="73"/>
        <v>0</v>
      </c>
      <c r="AA262" s="25">
        <f t="shared" si="75"/>
        <v>0</v>
      </c>
      <c r="AB262" s="25">
        <f t="shared" si="75"/>
        <v>0</v>
      </c>
      <c r="AC262" s="25">
        <f t="shared" si="75"/>
        <v>0</v>
      </c>
      <c r="AD262" s="25">
        <f t="shared" si="75"/>
        <v>0</v>
      </c>
      <c r="AE262" s="25">
        <f t="shared" si="75"/>
        <v>0</v>
      </c>
      <c r="AF262" s="25">
        <f t="shared" si="75"/>
        <v>0</v>
      </c>
      <c r="AG262" s="25">
        <f t="shared" si="75"/>
        <v>0</v>
      </c>
      <c r="AH262" s="25">
        <f t="shared" si="75"/>
        <v>0</v>
      </c>
      <c r="AI262" s="26">
        <f t="shared" si="75"/>
        <v>0</v>
      </c>
      <c r="AJ262" s="114"/>
      <c r="AK262" s="114"/>
      <c r="AL262" s="115"/>
    </row>
    <row r="263" spans="1:38" ht="16" collapsed="1">
      <c r="A263" s="131" t="s">
        <v>620</v>
      </c>
      <c r="B263" s="415" t="s">
        <v>334</v>
      </c>
      <c r="C263" s="174"/>
      <c r="D263" s="175"/>
      <c r="E263" s="381" t="e">
        <f>IF((#REF!-C263)/(D263-C263)&lt;0,0,IF((#REF!-C263)/(D263-C263)&gt;100%,100%,(#REF!-C263)/(D263-C263)))</f>
        <v>#REF!</v>
      </c>
      <c r="F263" s="188"/>
      <c r="G263" s="165"/>
      <c r="H263" s="381" t="e">
        <f>IF((#REF!-F263)/(G263-F263)&lt;0,0,IF((#REF!-F263)/(G263-F263)&gt;100%,100%,(#REF!-F263)/(G263-F263)))</f>
        <v>#REF!</v>
      </c>
      <c r="I263" s="182" t="e">
        <f t="shared" si="71"/>
        <v>#REF!</v>
      </c>
      <c r="J263" s="25">
        <f t="shared" si="72"/>
        <v>0</v>
      </c>
      <c r="K263" s="26">
        <f t="shared" si="72"/>
        <v>0</v>
      </c>
      <c r="L263" s="25">
        <f t="shared" si="72"/>
        <v>0</v>
      </c>
      <c r="M263" s="25">
        <f t="shared" si="73"/>
        <v>0</v>
      </c>
      <c r="N263" s="25">
        <f t="shared" si="73"/>
        <v>0</v>
      </c>
      <c r="O263" s="25">
        <f t="shared" si="73"/>
        <v>0</v>
      </c>
      <c r="P263" s="25">
        <f t="shared" si="73"/>
        <v>0</v>
      </c>
      <c r="Q263" s="25">
        <f t="shared" si="73"/>
        <v>0</v>
      </c>
      <c r="R263" s="25">
        <f t="shared" si="73"/>
        <v>0</v>
      </c>
      <c r="S263" s="25">
        <f t="shared" si="73"/>
        <v>0</v>
      </c>
      <c r="T263" s="25">
        <f t="shared" si="73"/>
        <v>0</v>
      </c>
      <c r="U263" s="25">
        <f t="shared" si="73"/>
        <v>0</v>
      </c>
      <c r="V263" s="25">
        <f t="shared" si="73"/>
        <v>0</v>
      </c>
      <c r="W263" s="26">
        <f t="shared" si="73"/>
        <v>0</v>
      </c>
      <c r="X263" s="27">
        <f t="shared" si="73"/>
        <v>0</v>
      </c>
      <c r="Y263" s="25">
        <f t="shared" si="73"/>
        <v>0</v>
      </c>
      <c r="Z263" s="25">
        <f t="shared" si="73"/>
        <v>0</v>
      </c>
      <c r="AA263" s="25">
        <f t="shared" si="75"/>
        <v>0</v>
      </c>
      <c r="AB263" s="25">
        <f t="shared" si="75"/>
        <v>0</v>
      </c>
      <c r="AC263" s="25">
        <f t="shared" si="75"/>
        <v>0</v>
      </c>
      <c r="AD263" s="25">
        <f t="shared" si="75"/>
        <v>0</v>
      </c>
      <c r="AE263" s="25">
        <f t="shared" si="75"/>
        <v>0</v>
      </c>
      <c r="AF263" s="25">
        <f t="shared" si="75"/>
        <v>0</v>
      </c>
      <c r="AG263" s="25">
        <f t="shared" si="75"/>
        <v>0</v>
      </c>
      <c r="AH263" s="25">
        <f t="shared" si="75"/>
        <v>0</v>
      </c>
      <c r="AI263" s="26">
        <f t="shared" si="75"/>
        <v>0</v>
      </c>
      <c r="AJ263" s="117"/>
      <c r="AK263" s="117"/>
      <c r="AL263" s="118"/>
    </row>
    <row r="264" spans="1:38" ht="16" hidden="1" outlineLevel="1">
      <c r="A264" s="119" t="s">
        <v>632</v>
      </c>
      <c r="B264" s="418" t="s">
        <v>132</v>
      </c>
      <c r="C264" s="172"/>
      <c r="D264" s="173"/>
      <c r="E264" s="378" t="e">
        <f>IF((#REF!-C264)/(D264-C264)&lt;0,0,IF((#REF!-C264)/(D264-C264)&gt;100%,100%,(#REF!-C264)/(D264-C264)))</f>
        <v>#REF!</v>
      </c>
      <c r="F264" s="186"/>
      <c r="G264" s="187"/>
      <c r="H264" s="378" t="e">
        <f>IF((#REF!-F264)/(G264-F264)&lt;0,0,IF((#REF!-F264)/(G264-F264)&gt;100%,100%,(#REF!-F264)/(G264-F264)))</f>
        <v>#REF!</v>
      </c>
      <c r="I264" s="182" t="e">
        <f t="shared" si="71"/>
        <v>#REF!</v>
      </c>
      <c r="J264" s="25">
        <f t="shared" si="72"/>
        <v>0</v>
      </c>
      <c r="K264" s="26">
        <f t="shared" si="72"/>
        <v>0</v>
      </c>
      <c r="L264" s="25">
        <f t="shared" si="72"/>
        <v>0</v>
      </c>
      <c r="M264" s="25">
        <f t="shared" si="73"/>
        <v>0</v>
      </c>
      <c r="N264" s="25">
        <f t="shared" si="73"/>
        <v>0</v>
      </c>
      <c r="O264" s="25">
        <f t="shared" si="73"/>
        <v>0</v>
      </c>
      <c r="P264" s="25">
        <f t="shared" si="73"/>
        <v>0</v>
      </c>
      <c r="Q264" s="25">
        <f t="shared" si="73"/>
        <v>0</v>
      </c>
      <c r="R264" s="25">
        <f t="shared" si="73"/>
        <v>0</v>
      </c>
      <c r="S264" s="25">
        <f t="shared" si="73"/>
        <v>0</v>
      </c>
      <c r="T264" s="25">
        <f t="shared" si="73"/>
        <v>0</v>
      </c>
      <c r="U264" s="25">
        <f t="shared" si="73"/>
        <v>0</v>
      </c>
      <c r="V264" s="25">
        <f t="shared" si="73"/>
        <v>0</v>
      </c>
      <c r="W264" s="26">
        <f t="shared" si="73"/>
        <v>0</v>
      </c>
      <c r="X264" s="27">
        <f t="shared" si="73"/>
        <v>0</v>
      </c>
      <c r="Y264" s="25">
        <f t="shared" si="73"/>
        <v>0</v>
      </c>
      <c r="Z264" s="25">
        <f t="shared" si="73"/>
        <v>0</v>
      </c>
      <c r="AA264" s="25">
        <f t="shared" si="75"/>
        <v>0</v>
      </c>
      <c r="AB264" s="25">
        <f t="shared" si="75"/>
        <v>0</v>
      </c>
      <c r="AC264" s="25">
        <f t="shared" si="75"/>
        <v>0</v>
      </c>
      <c r="AD264" s="25">
        <f t="shared" si="75"/>
        <v>0</v>
      </c>
      <c r="AE264" s="25">
        <f t="shared" si="75"/>
        <v>0</v>
      </c>
      <c r="AF264" s="25">
        <f t="shared" si="75"/>
        <v>0</v>
      </c>
      <c r="AG264" s="25">
        <f t="shared" si="75"/>
        <v>0</v>
      </c>
      <c r="AH264" s="25">
        <f t="shared" si="75"/>
        <v>0</v>
      </c>
      <c r="AI264" s="26">
        <f t="shared" si="75"/>
        <v>0</v>
      </c>
      <c r="AJ264" s="114"/>
      <c r="AK264" s="114"/>
      <c r="AL264" s="115"/>
    </row>
    <row r="265" spans="1:38" ht="16" hidden="1" outlineLevel="1">
      <c r="A265" s="119" t="s">
        <v>633</v>
      </c>
      <c r="B265" s="418" t="s">
        <v>133</v>
      </c>
      <c r="C265" s="172"/>
      <c r="D265" s="173"/>
      <c r="E265" s="378" t="e">
        <f>IF((#REF!-C265)/(D265-C265)&lt;0,0,IF((#REF!-C265)/(D265-C265)&gt;100%,100%,(#REF!-C265)/(D265-C265)))</f>
        <v>#REF!</v>
      </c>
      <c r="F265" s="186"/>
      <c r="G265" s="187"/>
      <c r="H265" s="378" t="e">
        <f>IF((#REF!-F265)/(G265-F265)&lt;0,0,IF((#REF!-F265)/(G265-F265)&gt;100%,100%,(#REF!-F265)/(G265-F265)))</f>
        <v>#REF!</v>
      </c>
      <c r="I265" s="182" t="e">
        <f t="shared" si="71"/>
        <v>#REF!</v>
      </c>
      <c r="J265" s="25">
        <f t="shared" si="72"/>
        <v>0</v>
      </c>
      <c r="K265" s="26">
        <f t="shared" si="72"/>
        <v>0</v>
      </c>
      <c r="L265" s="25">
        <f t="shared" si="72"/>
        <v>0</v>
      </c>
      <c r="M265" s="25">
        <f t="shared" si="73"/>
        <v>0</v>
      </c>
      <c r="N265" s="25">
        <f t="shared" si="73"/>
        <v>0</v>
      </c>
      <c r="O265" s="25">
        <f t="shared" si="73"/>
        <v>0</v>
      </c>
      <c r="P265" s="25">
        <f t="shared" si="73"/>
        <v>0</v>
      </c>
      <c r="Q265" s="25">
        <f t="shared" si="73"/>
        <v>0</v>
      </c>
      <c r="R265" s="25">
        <f t="shared" si="73"/>
        <v>0</v>
      </c>
      <c r="S265" s="25">
        <f t="shared" si="73"/>
        <v>0</v>
      </c>
      <c r="T265" s="25">
        <f t="shared" si="73"/>
        <v>0</v>
      </c>
      <c r="U265" s="25">
        <f t="shared" si="73"/>
        <v>0</v>
      </c>
      <c r="V265" s="25">
        <f t="shared" si="73"/>
        <v>0</v>
      </c>
      <c r="W265" s="26">
        <f t="shared" si="73"/>
        <v>0</v>
      </c>
      <c r="X265" s="27">
        <f t="shared" si="73"/>
        <v>0</v>
      </c>
      <c r="Y265" s="25">
        <f t="shared" si="73"/>
        <v>0</v>
      </c>
      <c r="Z265" s="25">
        <f t="shared" si="73"/>
        <v>0</v>
      </c>
      <c r="AA265" s="25">
        <f t="shared" si="75"/>
        <v>0</v>
      </c>
      <c r="AB265" s="25">
        <f t="shared" si="75"/>
        <v>0</v>
      </c>
      <c r="AC265" s="25">
        <f t="shared" si="75"/>
        <v>0</v>
      </c>
      <c r="AD265" s="25">
        <f t="shared" si="75"/>
        <v>0</v>
      </c>
      <c r="AE265" s="25">
        <f t="shared" si="75"/>
        <v>0</v>
      </c>
      <c r="AF265" s="25">
        <f t="shared" si="75"/>
        <v>0</v>
      </c>
      <c r="AG265" s="25">
        <f t="shared" si="75"/>
        <v>0</v>
      </c>
      <c r="AH265" s="25">
        <f t="shared" si="75"/>
        <v>0</v>
      </c>
      <c r="AI265" s="26">
        <f t="shared" si="75"/>
        <v>0</v>
      </c>
      <c r="AJ265" s="114"/>
      <c r="AK265" s="114"/>
      <c r="AL265" s="115"/>
    </row>
    <row r="266" spans="1:38" ht="16" hidden="1" outlineLevel="1">
      <c r="A266" s="119" t="s">
        <v>634</v>
      </c>
      <c r="B266" s="418" t="s">
        <v>134</v>
      </c>
      <c r="C266" s="172"/>
      <c r="D266" s="173"/>
      <c r="E266" s="378" t="e">
        <f>IF((#REF!-C266)/(D266-C266)&lt;0,0,IF((#REF!-C266)/(D266-C266)&gt;100%,100%,(#REF!-C266)/(D266-C266)))</f>
        <v>#REF!</v>
      </c>
      <c r="F266" s="186"/>
      <c r="G266" s="187"/>
      <c r="H266" s="378" t="e">
        <f>IF((#REF!-F266)/(G266-F266)&lt;0,0,IF((#REF!-F266)/(G266-F266)&gt;100%,100%,(#REF!-F266)/(G266-F266)))</f>
        <v>#REF!</v>
      </c>
      <c r="I266" s="182" t="e">
        <f t="shared" si="71"/>
        <v>#REF!</v>
      </c>
      <c r="J266" s="25">
        <f t="shared" si="72"/>
        <v>0</v>
      </c>
      <c r="K266" s="26">
        <f t="shared" si="72"/>
        <v>0</v>
      </c>
      <c r="L266" s="25">
        <f t="shared" si="72"/>
        <v>0</v>
      </c>
      <c r="M266" s="25">
        <f t="shared" si="73"/>
        <v>0</v>
      </c>
      <c r="N266" s="25">
        <f t="shared" si="73"/>
        <v>0</v>
      </c>
      <c r="O266" s="25">
        <f t="shared" si="73"/>
        <v>0</v>
      </c>
      <c r="P266" s="25">
        <f t="shared" si="73"/>
        <v>0</v>
      </c>
      <c r="Q266" s="25">
        <f t="shared" si="73"/>
        <v>0</v>
      </c>
      <c r="R266" s="25">
        <f t="shared" si="73"/>
        <v>0</v>
      </c>
      <c r="S266" s="25">
        <f t="shared" si="73"/>
        <v>0</v>
      </c>
      <c r="T266" s="25">
        <f t="shared" si="73"/>
        <v>0</v>
      </c>
      <c r="U266" s="25">
        <f t="shared" si="73"/>
        <v>0</v>
      </c>
      <c r="V266" s="25">
        <f t="shared" si="73"/>
        <v>0</v>
      </c>
      <c r="W266" s="26">
        <f t="shared" si="73"/>
        <v>0</v>
      </c>
      <c r="X266" s="27">
        <f t="shared" si="73"/>
        <v>0</v>
      </c>
      <c r="Y266" s="25">
        <f t="shared" si="73"/>
        <v>0</v>
      </c>
      <c r="Z266" s="25">
        <f t="shared" si="73"/>
        <v>0</v>
      </c>
      <c r="AA266" s="25">
        <f t="shared" si="75"/>
        <v>0</v>
      </c>
      <c r="AB266" s="25">
        <f t="shared" si="75"/>
        <v>0</v>
      </c>
      <c r="AC266" s="25">
        <f t="shared" si="75"/>
        <v>0</v>
      </c>
      <c r="AD266" s="25">
        <f t="shared" si="75"/>
        <v>0</v>
      </c>
      <c r="AE266" s="25">
        <f t="shared" si="75"/>
        <v>0</v>
      </c>
      <c r="AF266" s="25">
        <f t="shared" si="75"/>
        <v>0</v>
      </c>
      <c r="AG266" s="25">
        <f t="shared" si="75"/>
        <v>0</v>
      </c>
      <c r="AH266" s="25">
        <f t="shared" si="75"/>
        <v>0</v>
      </c>
      <c r="AI266" s="26">
        <f t="shared" si="75"/>
        <v>0</v>
      </c>
      <c r="AJ266" s="114"/>
      <c r="AK266" s="114"/>
      <c r="AL266" s="115"/>
    </row>
    <row r="267" spans="1:38" ht="16" hidden="1" outlineLevel="1">
      <c r="A267" s="119" t="s">
        <v>635</v>
      </c>
      <c r="B267" s="418" t="s">
        <v>135</v>
      </c>
      <c r="C267" s="172"/>
      <c r="D267" s="173"/>
      <c r="E267" s="378" t="e">
        <f>IF((#REF!-C267)/(D267-C267)&lt;0,0,IF((#REF!-C267)/(D267-C267)&gt;100%,100%,(#REF!-C267)/(D267-C267)))</f>
        <v>#REF!</v>
      </c>
      <c r="F267" s="186"/>
      <c r="G267" s="187"/>
      <c r="H267" s="378" t="e">
        <f>IF((#REF!-F267)/(G267-F267)&lt;0,0,IF((#REF!-F267)/(G267-F267)&gt;100%,100%,(#REF!-F267)/(G267-F267)))</f>
        <v>#REF!</v>
      </c>
      <c r="I267" s="182" t="e">
        <f t="shared" si="71"/>
        <v>#REF!</v>
      </c>
      <c r="J267" s="25">
        <f t="shared" si="72"/>
        <v>0</v>
      </c>
      <c r="K267" s="26">
        <f t="shared" si="72"/>
        <v>0</v>
      </c>
      <c r="L267" s="25">
        <f t="shared" si="72"/>
        <v>0</v>
      </c>
      <c r="M267" s="25">
        <f t="shared" si="73"/>
        <v>0</v>
      </c>
      <c r="N267" s="25">
        <f t="shared" si="73"/>
        <v>0</v>
      </c>
      <c r="O267" s="25">
        <f t="shared" si="73"/>
        <v>0</v>
      </c>
      <c r="P267" s="25">
        <f t="shared" si="73"/>
        <v>0</v>
      </c>
      <c r="Q267" s="25">
        <f t="shared" si="73"/>
        <v>0</v>
      </c>
      <c r="R267" s="25">
        <f t="shared" si="73"/>
        <v>0</v>
      </c>
      <c r="S267" s="25">
        <f t="shared" si="73"/>
        <v>0</v>
      </c>
      <c r="T267" s="25">
        <f t="shared" si="73"/>
        <v>0</v>
      </c>
      <c r="U267" s="25">
        <f t="shared" si="73"/>
        <v>0</v>
      </c>
      <c r="V267" s="25">
        <f t="shared" si="73"/>
        <v>0</v>
      </c>
      <c r="W267" s="26">
        <f t="shared" si="73"/>
        <v>0</v>
      </c>
      <c r="X267" s="27">
        <f t="shared" si="73"/>
        <v>0</v>
      </c>
      <c r="Y267" s="25">
        <f t="shared" si="73"/>
        <v>0</v>
      </c>
      <c r="Z267" s="25">
        <f t="shared" si="73"/>
        <v>0</v>
      </c>
      <c r="AA267" s="25">
        <f t="shared" si="75"/>
        <v>0</v>
      </c>
      <c r="AB267" s="25">
        <f t="shared" si="75"/>
        <v>0</v>
      </c>
      <c r="AC267" s="25">
        <f t="shared" si="75"/>
        <v>0</v>
      </c>
      <c r="AD267" s="25">
        <f t="shared" si="75"/>
        <v>0</v>
      </c>
      <c r="AE267" s="25">
        <f t="shared" si="75"/>
        <v>0</v>
      </c>
      <c r="AF267" s="25">
        <f t="shared" si="75"/>
        <v>0</v>
      </c>
      <c r="AG267" s="25">
        <f t="shared" si="75"/>
        <v>0</v>
      </c>
      <c r="AH267" s="25">
        <f t="shared" si="75"/>
        <v>0</v>
      </c>
      <c r="AI267" s="26">
        <f t="shared" si="75"/>
        <v>0</v>
      </c>
      <c r="AJ267" s="114"/>
      <c r="AK267" s="114"/>
      <c r="AL267" s="115"/>
    </row>
    <row r="268" spans="1:38" ht="16" collapsed="1">
      <c r="A268" s="131" t="s">
        <v>621</v>
      </c>
      <c r="B268" s="415" t="s">
        <v>335</v>
      </c>
      <c r="C268" s="174"/>
      <c r="D268" s="175"/>
      <c r="E268" s="381" t="e">
        <f>IF((#REF!-C268)/(D268-C268)&lt;0,0,IF((#REF!-C268)/(D268-C268)&gt;100%,100%,(#REF!-C268)/(D268-C268)))</f>
        <v>#REF!</v>
      </c>
      <c r="F268" s="188"/>
      <c r="G268" s="165"/>
      <c r="H268" s="381" t="e">
        <f>IF((#REF!-F268)/(G268-F268)&lt;0,0,IF((#REF!-F268)/(G268-F268)&gt;100%,100%,(#REF!-F268)/(G268-F268)))</f>
        <v>#REF!</v>
      </c>
      <c r="I268" s="182" t="e">
        <f t="shared" si="71"/>
        <v>#REF!</v>
      </c>
      <c r="J268" s="25">
        <f t="shared" si="72"/>
        <v>0</v>
      </c>
      <c r="K268" s="26">
        <f t="shared" si="72"/>
        <v>0</v>
      </c>
      <c r="L268" s="25">
        <f t="shared" si="72"/>
        <v>0</v>
      </c>
      <c r="M268" s="25">
        <f t="shared" si="73"/>
        <v>0</v>
      </c>
      <c r="N268" s="25">
        <f t="shared" si="73"/>
        <v>0</v>
      </c>
      <c r="O268" s="25">
        <f t="shared" si="73"/>
        <v>0</v>
      </c>
      <c r="P268" s="25">
        <f t="shared" si="73"/>
        <v>0</v>
      </c>
      <c r="Q268" s="25">
        <f t="shared" si="73"/>
        <v>0</v>
      </c>
      <c r="R268" s="25">
        <f t="shared" si="73"/>
        <v>0</v>
      </c>
      <c r="S268" s="25">
        <f t="shared" si="73"/>
        <v>0</v>
      </c>
      <c r="T268" s="25">
        <f t="shared" si="73"/>
        <v>0</v>
      </c>
      <c r="U268" s="25">
        <f t="shared" si="73"/>
        <v>0</v>
      </c>
      <c r="V268" s="25">
        <f t="shared" si="73"/>
        <v>0</v>
      </c>
      <c r="W268" s="26">
        <f t="shared" si="73"/>
        <v>0</v>
      </c>
      <c r="X268" s="27">
        <f t="shared" ref="M268:Z286" si="76">+IF(X$3&gt;=$C268,IF(X$3&lt;=$D268,1,0),0)</f>
        <v>0</v>
      </c>
      <c r="Y268" s="25">
        <f t="shared" si="76"/>
        <v>0</v>
      </c>
      <c r="Z268" s="25">
        <f t="shared" si="76"/>
        <v>0</v>
      </c>
      <c r="AA268" s="25">
        <f t="shared" si="75"/>
        <v>0</v>
      </c>
      <c r="AB268" s="25">
        <f t="shared" si="75"/>
        <v>0</v>
      </c>
      <c r="AC268" s="25">
        <f t="shared" si="75"/>
        <v>0</v>
      </c>
      <c r="AD268" s="25">
        <f t="shared" si="75"/>
        <v>0</v>
      </c>
      <c r="AE268" s="25">
        <f t="shared" si="75"/>
        <v>0</v>
      </c>
      <c r="AF268" s="25">
        <f t="shared" si="75"/>
        <v>0</v>
      </c>
      <c r="AG268" s="25">
        <f t="shared" si="75"/>
        <v>0</v>
      </c>
      <c r="AH268" s="25">
        <f t="shared" si="75"/>
        <v>0</v>
      </c>
      <c r="AI268" s="26">
        <f t="shared" si="75"/>
        <v>0</v>
      </c>
      <c r="AJ268" s="117"/>
      <c r="AK268" s="117"/>
      <c r="AL268" s="118"/>
    </row>
    <row r="269" spans="1:38" ht="16" hidden="1" outlineLevel="1">
      <c r="A269" s="113" t="s">
        <v>636</v>
      </c>
      <c r="B269" s="419" t="s">
        <v>136</v>
      </c>
      <c r="C269" s="172"/>
      <c r="D269" s="173"/>
      <c r="E269" s="378" t="e">
        <f>IF((#REF!-C269)/(D269-C269)&lt;0,0,IF((#REF!-C269)/(D269-C269)&gt;100%,100%,(#REF!-C269)/(D269-C269)))</f>
        <v>#REF!</v>
      </c>
      <c r="F269" s="186"/>
      <c r="G269" s="187"/>
      <c r="H269" s="378" t="e">
        <f>IF((#REF!-F269)/(G269-F269)&lt;0,0,IF((#REF!-F269)/(G269-F269)&gt;100%,100%,(#REF!-F269)/(G269-F269)))</f>
        <v>#REF!</v>
      </c>
      <c r="I269" s="182" t="e">
        <f t="shared" si="71"/>
        <v>#REF!</v>
      </c>
      <c r="J269" s="25">
        <f t="shared" si="72"/>
        <v>0</v>
      </c>
      <c r="K269" s="26">
        <f t="shared" si="72"/>
        <v>0</v>
      </c>
      <c r="L269" s="25">
        <f t="shared" si="72"/>
        <v>0</v>
      </c>
      <c r="M269" s="25">
        <f t="shared" si="76"/>
        <v>0</v>
      </c>
      <c r="N269" s="25">
        <f t="shared" si="76"/>
        <v>0</v>
      </c>
      <c r="O269" s="25">
        <f t="shared" si="76"/>
        <v>0</v>
      </c>
      <c r="P269" s="25">
        <f t="shared" si="76"/>
        <v>0</v>
      </c>
      <c r="Q269" s="25">
        <f t="shared" si="76"/>
        <v>0</v>
      </c>
      <c r="R269" s="25">
        <f t="shared" si="76"/>
        <v>0</v>
      </c>
      <c r="S269" s="25">
        <f t="shared" si="76"/>
        <v>0</v>
      </c>
      <c r="T269" s="25">
        <f t="shared" si="76"/>
        <v>0</v>
      </c>
      <c r="U269" s="25">
        <f t="shared" si="76"/>
        <v>0</v>
      </c>
      <c r="V269" s="25">
        <f t="shared" si="76"/>
        <v>0</v>
      </c>
      <c r="W269" s="26">
        <f t="shared" si="76"/>
        <v>0</v>
      </c>
      <c r="X269" s="27">
        <f t="shared" si="76"/>
        <v>0</v>
      </c>
      <c r="Y269" s="25">
        <f t="shared" si="76"/>
        <v>0</v>
      </c>
      <c r="Z269" s="25">
        <f t="shared" si="76"/>
        <v>0</v>
      </c>
      <c r="AA269" s="25">
        <f t="shared" si="75"/>
        <v>0</v>
      </c>
      <c r="AB269" s="25">
        <f t="shared" si="75"/>
        <v>0</v>
      </c>
      <c r="AC269" s="25">
        <f t="shared" si="75"/>
        <v>0</v>
      </c>
      <c r="AD269" s="25">
        <f t="shared" si="75"/>
        <v>0</v>
      </c>
      <c r="AE269" s="25">
        <f t="shared" si="75"/>
        <v>0</v>
      </c>
      <c r="AF269" s="25">
        <f t="shared" si="75"/>
        <v>0</v>
      </c>
      <c r="AG269" s="25">
        <f t="shared" si="75"/>
        <v>0</v>
      </c>
      <c r="AH269" s="25">
        <f t="shared" si="75"/>
        <v>0</v>
      </c>
      <c r="AI269" s="26">
        <f t="shared" si="75"/>
        <v>0</v>
      </c>
      <c r="AJ269" s="114"/>
      <c r="AK269" s="114"/>
      <c r="AL269" s="115"/>
    </row>
    <row r="270" spans="1:38" ht="16" hidden="1" outlineLevel="1">
      <c r="A270" s="113" t="s">
        <v>637</v>
      </c>
      <c r="B270" s="419" t="s">
        <v>292</v>
      </c>
      <c r="C270" s="172"/>
      <c r="D270" s="173"/>
      <c r="E270" s="378" t="e">
        <f>IF((#REF!-C270)/(D270-C270)&lt;0,0,IF((#REF!-C270)/(D270-C270)&gt;100%,100%,(#REF!-C270)/(D270-C270)))</f>
        <v>#REF!</v>
      </c>
      <c r="F270" s="186"/>
      <c r="G270" s="187"/>
      <c r="H270" s="378" t="e">
        <f>IF((#REF!-F270)/(G270-F270)&lt;0,0,IF((#REF!-F270)/(G270-F270)&gt;100%,100%,(#REF!-F270)/(G270-F270)))</f>
        <v>#REF!</v>
      </c>
      <c r="I270" s="182" t="e">
        <f t="shared" si="71"/>
        <v>#REF!</v>
      </c>
      <c r="J270" s="25">
        <f t="shared" si="72"/>
        <v>0</v>
      </c>
      <c r="K270" s="26">
        <f t="shared" si="72"/>
        <v>0</v>
      </c>
      <c r="L270" s="25">
        <f t="shared" si="72"/>
        <v>0</v>
      </c>
      <c r="M270" s="25">
        <f t="shared" si="76"/>
        <v>0</v>
      </c>
      <c r="N270" s="25">
        <f t="shared" si="76"/>
        <v>0</v>
      </c>
      <c r="O270" s="25">
        <f t="shared" si="76"/>
        <v>0</v>
      </c>
      <c r="P270" s="25">
        <f t="shared" si="76"/>
        <v>0</v>
      </c>
      <c r="Q270" s="25">
        <f t="shared" si="76"/>
        <v>0</v>
      </c>
      <c r="R270" s="25">
        <f t="shared" si="76"/>
        <v>0</v>
      </c>
      <c r="S270" s="25">
        <f t="shared" si="76"/>
        <v>0</v>
      </c>
      <c r="T270" s="25">
        <f t="shared" si="76"/>
        <v>0</v>
      </c>
      <c r="U270" s="25">
        <f t="shared" si="76"/>
        <v>0</v>
      </c>
      <c r="V270" s="25">
        <f t="shared" si="76"/>
        <v>0</v>
      </c>
      <c r="W270" s="26">
        <f t="shared" si="76"/>
        <v>0</v>
      </c>
      <c r="X270" s="27">
        <f t="shared" si="76"/>
        <v>0</v>
      </c>
      <c r="Y270" s="25">
        <f t="shared" si="76"/>
        <v>0</v>
      </c>
      <c r="Z270" s="25">
        <f t="shared" si="76"/>
        <v>0</v>
      </c>
      <c r="AA270" s="25">
        <f t="shared" si="75"/>
        <v>0</v>
      </c>
      <c r="AB270" s="25">
        <f t="shared" si="75"/>
        <v>0</v>
      </c>
      <c r="AC270" s="25">
        <f t="shared" si="75"/>
        <v>0</v>
      </c>
      <c r="AD270" s="25">
        <f t="shared" si="75"/>
        <v>0</v>
      </c>
      <c r="AE270" s="25">
        <f t="shared" si="75"/>
        <v>0</v>
      </c>
      <c r="AF270" s="25">
        <f t="shared" si="75"/>
        <v>0</v>
      </c>
      <c r="AG270" s="25">
        <f t="shared" si="75"/>
        <v>0</v>
      </c>
      <c r="AH270" s="25">
        <f t="shared" si="75"/>
        <v>0</v>
      </c>
      <c r="AI270" s="26">
        <f t="shared" si="75"/>
        <v>0</v>
      </c>
      <c r="AJ270" s="114"/>
      <c r="AK270" s="114"/>
      <c r="AL270" s="115"/>
    </row>
    <row r="271" spans="1:38" ht="16" hidden="1" outlineLevel="1">
      <c r="A271" s="113" t="s">
        <v>638</v>
      </c>
      <c r="B271" s="419" t="s">
        <v>137</v>
      </c>
      <c r="C271" s="172"/>
      <c r="D271" s="173"/>
      <c r="E271" s="378" t="e">
        <f>IF((#REF!-C271)/(D271-C271)&lt;0,0,IF((#REF!-C271)/(D271-C271)&gt;100%,100%,(#REF!-C271)/(D271-C271)))</f>
        <v>#REF!</v>
      </c>
      <c r="F271" s="186"/>
      <c r="G271" s="187"/>
      <c r="H271" s="378" t="e">
        <f>IF((#REF!-F271)/(G271-F271)&lt;0,0,IF((#REF!-F271)/(G271-F271)&gt;100%,100%,(#REF!-F271)/(G271-F271)))</f>
        <v>#REF!</v>
      </c>
      <c r="I271" s="182" t="e">
        <f t="shared" si="71"/>
        <v>#REF!</v>
      </c>
      <c r="J271" s="25">
        <f t="shared" si="72"/>
        <v>0</v>
      </c>
      <c r="K271" s="26">
        <f t="shared" si="72"/>
        <v>0</v>
      </c>
      <c r="L271" s="25">
        <f t="shared" si="72"/>
        <v>0</v>
      </c>
      <c r="M271" s="25">
        <f t="shared" si="76"/>
        <v>0</v>
      </c>
      <c r="N271" s="25">
        <f t="shared" si="76"/>
        <v>0</v>
      </c>
      <c r="O271" s="25">
        <f t="shared" si="76"/>
        <v>0</v>
      </c>
      <c r="P271" s="25">
        <f t="shared" si="76"/>
        <v>0</v>
      </c>
      <c r="Q271" s="25">
        <f t="shared" si="76"/>
        <v>0</v>
      </c>
      <c r="R271" s="25">
        <f t="shared" si="76"/>
        <v>0</v>
      </c>
      <c r="S271" s="25">
        <f t="shared" si="76"/>
        <v>0</v>
      </c>
      <c r="T271" s="25">
        <f t="shared" si="76"/>
        <v>0</v>
      </c>
      <c r="U271" s="25">
        <f t="shared" si="76"/>
        <v>0</v>
      </c>
      <c r="V271" s="25">
        <f t="shared" si="76"/>
        <v>0</v>
      </c>
      <c r="W271" s="26">
        <f t="shared" si="76"/>
        <v>0</v>
      </c>
      <c r="X271" s="27">
        <f t="shared" si="76"/>
        <v>0</v>
      </c>
      <c r="Y271" s="25">
        <f t="shared" si="76"/>
        <v>0</v>
      </c>
      <c r="Z271" s="25">
        <f t="shared" si="76"/>
        <v>0</v>
      </c>
      <c r="AA271" s="25">
        <f t="shared" si="75"/>
        <v>0</v>
      </c>
      <c r="AB271" s="25">
        <f t="shared" si="75"/>
        <v>0</v>
      </c>
      <c r="AC271" s="25">
        <f t="shared" si="75"/>
        <v>0</v>
      </c>
      <c r="AD271" s="25">
        <f t="shared" si="75"/>
        <v>0</v>
      </c>
      <c r="AE271" s="25">
        <f t="shared" si="75"/>
        <v>0</v>
      </c>
      <c r="AF271" s="25">
        <f t="shared" si="75"/>
        <v>0</v>
      </c>
      <c r="AG271" s="25">
        <f t="shared" si="75"/>
        <v>0</v>
      </c>
      <c r="AH271" s="25">
        <f t="shared" si="75"/>
        <v>0</v>
      </c>
      <c r="AI271" s="26">
        <f t="shared" si="75"/>
        <v>0</v>
      </c>
      <c r="AJ271" s="114"/>
      <c r="AK271" s="114"/>
      <c r="AL271" s="115"/>
    </row>
    <row r="272" spans="1:38" ht="16" collapsed="1">
      <c r="A272" s="131" t="s">
        <v>622</v>
      </c>
      <c r="B272" s="415" t="s">
        <v>336</v>
      </c>
      <c r="C272" s="174"/>
      <c r="D272" s="175"/>
      <c r="E272" s="381" t="e">
        <f>IF((#REF!-C272)/(D272-C272)&lt;0,0,IF((#REF!-C272)/(D272-C272)&gt;100%,100%,(#REF!-C272)/(D272-C272)))</f>
        <v>#REF!</v>
      </c>
      <c r="F272" s="188"/>
      <c r="G272" s="165"/>
      <c r="H272" s="381" t="e">
        <f>IF((#REF!-F272)/(G272-F272)&lt;0,0,IF((#REF!-F272)/(G272-F272)&gt;100%,100%,(#REF!-F272)/(G272-F272)))</f>
        <v>#REF!</v>
      </c>
      <c r="I272" s="182" t="e">
        <f t="shared" si="71"/>
        <v>#REF!</v>
      </c>
      <c r="J272" s="25">
        <f t="shared" si="72"/>
        <v>0</v>
      </c>
      <c r="K272" s="26">
        <f t="shared" si="72"/>
        <v>0</v>
      </c>
      <c r="L272" s="25">
        <f t="shared" si="72"/>
        <v>0</v>
      </c>
      <c r="M272" s="25">
        <f t="shared" si="76"/>
        <v>0</v>
      </c>
      <c r="N272" s="25">
        <f t="shared" si="76"/>
        <v>0</v>
      </c>
      <c r="O272" s="25">
        <f t="shared" si="76"/>
        <v>0</v>
      </c>
      <c r="P272" s="25">
        <f t="shared" si="76"/>
        <v>0</v>
      </c>
      <c r="Q272" s="25">
        <f t="shared" si="76"/>
        <v>0</v>
      </c>
      <c r="R272" s="25">
        <f t="shared" si="76"/>
        <v>0</v>
      </c>
      <c r="S272" s="25">
        <f t="shared" si="76"/>
        <v>0</v>
      </c>
      <c r="T272" s="25">
        <f t="shared" si="76"/>
        <v>0</v>
      </c>
      <c r="U272" s="25">
        <f t="shared" si="76"/>
        <v>0</v>
      </c>
      <c r="V272" s="25">
        <f t="shared" si="76"/>
        <v>0</v>
      </c>
      <c r="W272" s="26">
        <f t="shared" si="76"/>
        <v>0</v>
      </c>
      <c r="X272" s="27">
        <f t="shared" si="76"/>
        <v>0</v>
      </c>
      <c r="Y272" s="25">
        <f t="shared" si="76"/>
        <v>0</v>
      </c>
      <c r="Z272" s="25">
        <f t="shared" si="76"/>
        <v>0</v>
      </c>
      <c r="AA272" s="25">
        <f t="shared" si="75"/>
        <v>0</v>
      </c>
      <c r="AB272" s="25">
        <f t="shared" si="75"/>
        <v>0</v>
      </c>
      <c r="AC272" s="25">
        <f t="shared" si="75"/>
        <v>0</v>
      </c>
      <c r="AD272" s="25">
        <f t="shared" si="75"/>
        <v>0</v>
      </c>
      <c r="AE272" s="25">
        <f t="shared" si="75"/>
        <v>0</v>
      </c>
      <c r="AF272" s="25">
        <f t="shared" si="75"/>
        <v>0</v>
      </c>
      <c r="AG272" s="25">
        <f t="shared" si="75"/>
        <v>0</v>
      </c>
      <c r="AH272" s="25">
        <f t="shared" si="75"/>
        <v>0</v>
      </c>
      <c r="AI272" s="26">
        <f t="shared" si="75"/>
        <v>0</v>
      </c>
      <c r="AJ272" s="117"/>
      <c r="AK272" s="117"/>
      <c r="AL272" s="118"/>
    </row>
    <row r="273" spans="1:38" ht="16" hidden="1" outlineLevel="1">
      <c r="A273" s="113" t="s">
        <v>639</v>
      </c>
      <c r="B273" s="419" t="s">
        <v>293</v>
      </c>
      <c r="C273" s="172"/>
      <c r="D273" s="173"/>
      <c r="E273" s="378" t="e">
        <f>IF((#REF!-C273)/(D273-C273)&lt;0,0,IF((#REF!-C273)/(D273-C273)&gt;100%,100%,(#REF!-C273)/(D273-C273)))</f>
        <v>#REF!</v>
      </c>
      <c r="F273" s="186"/>
      <c r="G273" s="187"/>
      <c r="H273" s="378" t="e">
        <f>IF((#REF!-F273)/(G273-F273)&lt;0,0,IF((#REF!-F273)/(G273-F273)&gt;100%,100%,(#REF!-F273)/(G273-F273)))</f>
        <v>#REF!</v>
      </c>
      <c r="I273" s="182" t="e">
        <f t="shared" si="71"/>
        <v>#REF!</v>
      </c>
      <c r="J273" s="25">
        <f t="shared" si="72"/>
        <v>0</v>
      </c>
      <c r="K273" s="26">
        <f t="shared" si="72"/>
        <v>0</v>
      </c>
      <c r="L273" s="25">
        <f t="shared" si="72"/>
        <v>0</v>
      </c>
      <c r="M273" s="25">
        <f t="shared" si="76"/>
        <v>0</v>
      </c>
      <c r="N273" s="25">
        <f t="shared" si="76"/>
        <v>0</v>
      </c>
      <c r="O273" s="25">
        <f t="shared" si="76"/>
        <v>0</v>
      </c>
      <c r="P273" s="25">
        <f t="shared" si="76"/>
        <v>0</v>
      </c>
      <c r="Q273" s="25">
        <f t="shared" si="76"/>
        <v>0</v>
      </c>
      <c r="R273" s="25">
        <f t="shared" si="76"/>
        <v>0</v>
      </c>
      <c r="S273" s="25">
        <f t="shared" si="76"/>
        <v>0</v>
      </c>
      <c r="T273" s="25">
        <f t="shared" si="76"/>
        <v>0</v>
      </c>
      <c r="U273" s="25">
        <f t="shared" si="76"/>
        <v>0</v>
      </c>
      <c r="V273" s="25">
        <f t="shared" si="76"/>
        <v>0</v>
      </c>
      <c r="W273" s="26">
        <f t="shared" si="76"/>
        <v>0</v>
      </c>
      <c r="X273" s="27">
        <f t="shared" si="76"/>
        <v>0</v>
      </c>
      <c r="Y273" s="25">
        <f t="shared" si="76"/>
        <v>0</v>
      </c>
      <c r="Z273" s="25">
        <f t="shared" si="76"/>
        <v>0</v>
      </c>
      <c r="AA273" s="25">
        <f t="shared" si="75"/>
        <v>0</v>
      </c>
      <c r="AB273" s="25">
        <f t="shared" si="75"/>
        <v>0</v>
      </c>
      <c r="AC273" s="25">
        <f t="shared" si="75"/>
        <v>0</v>
      </c>
      <c r="AD273" s="25">
        <f t="shared" si="75"/>
        <v>0</v>
      </c>
      <c r="AE273" s="25">
        <f t="shared" si="75"/>
        <v>0</v>
      </c>
      <c r="AF273" s="25">
        <f t="shared" si="75"/>
        <v>0</v>
      </c>
      <c r="AG273" s="25">
        <f t="shared" si="75"/>
        <v>0</v>
      </c>
      <c r="AH273" s="25">
        <f t="shared" si="75"/>
        <v>0</v>
      </c>
      <c r="AI273" s="26">
        <f t="shared" si="75"/>
        <v>0</v>
      </c>
      <c r="AJ273" s="114"/>
      <c r="AK273" s="114"/>
      <c r="AL273" s="115"/>
    </row>
    <row r="274" spans="1:38" ht="16" hidden="1" outlineLevel="1">
      <c r="A274" s="113" t="s">
        <v>640</v>
      </c>
      <c r="B274" s="419" t="s">
        <v>138</v>
      </c>
      <c r="C274" s="172"/>
      <c r="D274" s="173"/>
      <c r="E274" s="378" t="e">
        <f>IF((#REF!-C274)/(D274-C274)&lt;0,0,IF((#REF!-C274)/(D274-C274)&gt;100%,100%,(#REF!-C274)/(D274-C274)))</f>
        <v>#REF!</v>
      </c>
      <c r="F274" s="186"/>
      <c r="G274" s="187"/>
      <c r="H274" s="378" t="e">
        <f>IF((#REF!-F274)/(G274-F274)&lt;0,0,IF((#REF!-F274)/(G274-F274)&gt;100%,100%,(#REF!-F274)/(G274-F274)))</f>
        <v>#REF!</v>
      </c>
      <c r="I274" s="182" t="e">
        <f t="shared" si="71"/>
        <v>#REF!</v>
      </c>
      <c r="J274" s="25">
        <f t="shared" si="72"/>
        <v>0</v>
      </c>
      <c r="K274" s="26">
        <f t="shared" si="72"/>
        <v>0</v>
      </c>
      <c r="L274" s="25">
        <f t="shared" si="72"/>
        <v>0</v>
      </c>
      <c r="M274" s="25">
        <f t="shared" si="76"/>
        <v>0</v>
      </c>
      <c r="N274" s="25">
        <f t="shared" si="76"/>
        <v>0</v>
      </c>
      <c r="O274" s="25">
        <f t="shared" si="76"/>
        <v>0</v>
      </c>
      <c r="P274" s="25">
        <f t="shared" si="76"/>
        <v>0</v>
      </c>
      <c r="Q274" s="25">
        <f t="shared" si="76"/>
        <v>0</v>
      </c>
      <c r="R274" s="25">
        <f t="shared" si="76"/>
        <v>0</v>
      </c>
      <c r="S274" s="25">
        <f t="shared" si="76"/>
        <v>0</v>
      </c>
      <c r="T274" s="25">
        <f t="shared" si="76"/>
        <v>0</v>
      </c>
      <c r="U274" s="25">
        <f t="shared" si="76"/>
        <v>0</v>
      </c>
      <c r="V274" s="25">
        <f t="shared" si="76"/>
        <v>0</v>
      </c>
      <c r="W274" s="26">
        <f t="shared" si="76"/>
        <v>0</v>
      </c>
      <c r="X274" s="27">
        <f t="shared" si="76"/>
        <v>0</v>
      </c>
      <c r="Y274" s="25">
        <f t="shared" si="76"/>
        <v>0</v>
      </c>
      <c r="Z274" s="25">
        <f t="shared" si="76"/>
        <v>0</v>
      </c>
      <c r="AA274" s="25">
        <f t="shared" si="75"/>
        <v>0</v>
      </c>
      <c r="AB274" s="25">
        <f t="shared" si="75"/>
        <v>0</v>
      </c>
      <c r="AC274" s="25">
        <f t="shared" si="75"/>
        <v>0</v>
      </c>
      <c r="AD274" s="25">
        <f t="shared" si="75"/>
        <v>0</v>
      </c>
      <c r="AE274" s="25">
        <f t="shared" si="75"/>
        <v>0</v>
      </c>
      <c r="AF274" s="25">
        <f t="shared" si="75"/>
        <v>0</v>
      </c>
      <c r="AG274" s="25">
        <f t="shared" si="75"/>
        <v>0</v>
      </c>
      <c r="AH274" s="25">
        <f t="shared" si="75"/>
        <v>0</v>
      </c>
      <c r="AI274" s="26">
        <f t="shared" si="75"/>
        <v>0</v>
      </c>
      <c r="AJ274" s="114"/>
      <c r="AK274" s="114"/>
      <c r="AL274" s="115"/>
    </row>
    <row r="275" spans="1:38" ht="16" hidden="1" outlineLevel="1">
      <c r="A275" s="113" t="s">
        <v>641</v>
      </c>
      <c r="B275" s="419" t="s">
        <v>139</v>
      </c>
      <c r="C275" s="172"/>
      <c r="D275" s="173"/>
      <c r="E275" s="378" t="e">
        <f>IF((#REF!-C275)/(D275-C275)&lt;0,0,IF((#REF!-C275)/(D275-C275)&gt;100%,100%,(#REF!-C275)/(D275-C275)))</f>
        <v>#REF!</v>
      </c>
      <c r="F275" s="186"/>
      <c r="G275" s="187"/>
      <c r="H275" s="378" t="e">
        <f>IF((#REF!-F275)/(G275-F275)&lt;0,0,IF((#REF!-F275)/(G275-F275)&gt;100%,100%,(#REF!-F275)/(G275-F275)))</f>
        <v>#REF!</v>
      </c>
      <c r="I275" s="182" t="e">
        <f t="shared" si="71"/>
        <v>#REF!</v>
      </c>
      <c r="J275" s="25">
        <f t="shared" si="72"/>
        <v>0</v>
      </c>
      <c r="K275" s="26">
        <f t="shared" si="72"/>
        <v>0</v>
      </c>
      <c r="L275" s="25">
        <f t="shared" si="72"/>
        <v>0</v>
      </c>
      <c r="M275" s="25">
        <f t="shared" si="76"/>
        <v>0</v>
      </c>
      <c r="N275" s="25">
        <f t="shared" si="76"/>
        <v>0</v>
      </c>
      <c r="O275" s="25">
        <f t="shared" si="76"/>
        <v>0</v>
      </c>
      <c r="P275" s="25">
        <f t="shared" si="76"/>
        <v>0</v>
      </c>
      <c r="Q275" s="25">
        <f t="shared" si="76"/>
        <v>0</v>
      </c>
      <c r="R275" s="25">
        <f t="shared" si="76"/>
        <v>0</v>
      </c>
      <c r="S275" s="25">
        <f t="shared" si="76"/>
        <v>0</v>
      </c>
      <c r="T275" s="25">
        <f t="shared" si="76"/>
        <v>0</v>
      </c>
      <c r="U275" s="25">
        <f t="shared" si="76"/>
        <v>0</v>
      </c>
      <c r="V275" s="25">
        <f t="shared" si="76"/>
        <v>0</v>
      </c>
      <c r="W275" s="26">
        <f t="shared" si="76"/>
        <v>0</v>
      </c>
      <c r="X275" s="27">
        <f t="shared" si="76"/>
        <v>0</v>
      </c>
      <c r="Y275" s="25">
        <f t="shared" si="76"/>
        <v>0</v>
      </c>
      <c r="Z275" s="25">
        <f t="shared" si="76"/>
        <v>0</v>
      </c>
      <c r="AA275" s="25">
        <f t="shared" si="75"/>
        <v>0</v>
      </c>
      <c r="AB275" s="25">
        <f t="shared" si="75"/>
        <v>0</v>
      </c>
      <c r="AC275" s="25">
        <f t="shared" si="75"/>
        <v>0</v>
      </c>
      <c r="AD275" s="25">
        <f t="shared" si="75"/>
        <v>0</v>
      </c>
      <c r="AE275" s="25">
        <f t="shared" si="75"/>
        <v>0</v>
      </c>
      <c r="AF275" s="25">
        <f t="shared" si="75"/>
        <v>0</v>
      </c>
      <c r="AG275" s="25">
        <f t="shared" si="75"/>
        <v>0</v>
      </c>
      <c r="AH275" s="25">
        <f t="shared" si="75"/>
        <v>0</v>
      </c>
      <c r="AI275" s="26">
        <f t="shared" si="75"/>
        <v>0</v>
      </c>
      <c r="AJ275" s="114"/>
      <c r="AK275" s="114"/>
      <c r="AL275" s="115"/>
    </row>
    <row r="276" spans="1:38" ht="20.5" customHeight="1" collapsed="1">
      <c r="A276" s="131" t="s">
        <v>623</v>
      </c>
      <c r="B276" s="415" t="s">
        <v>337</v>
      </c>
      <c r="C276" s="174"/>
      <c r="D276" s="175"/>
      <c r="E276" s="381" t="e">
        <f>IF((#REF!-C276)/(D276-C276)&lt;0,0,IF((#REF!-C276)/(D276-C276)&gt;100%,100%,(#REF!-C276)/(D276-C276)))</f>
        <v>#REF!</v>
      </c>
      <c r="F276" s="188"/>
      <c r="G276" s="165"/>
      <c r="H276" s="381" t="e">
        <f>IF((#REF!-F276)/(G276-F276)&lt;0,0,IF((#REF!-F276)/(G276-F276)&gt;100%,100%,(#REF!-F276)/(G276-F276)))</f>
        <v>#REF!</v>
      </c>
      <c r="I276" s="182" t="e">
        <f t="shared" si="71"/>
        <v>#REF!</v>
      </c>
      <c r="J276" s="25">
        <f t="shared" si="72"/>
        <v>0</v>
      </c>
      <c r="K276" s="26">
        <f t="shared" si="72"/>
        <v>0</v>
      </c>
      <c r="L276" s="25">
        <f t="shared" si="72"/>
        <v>0</v>
      </c>
      <c r="M276" s="25">
        <f t="shared" si="76"/>
        <v>0</v>
      </c>
      <c r="N276" s="25">
        <f t="shared" si="76"/>
        <v>0</v>
      </c>
      <c r="O276" s="25">
        <f t="shared" si="76"/>
        <v>0</v>
      </c>
      <c r="P276" s="25">
        <f t="shared" si="76"/>
        <v>0</v>
      </c>
      <c r="Q276" s="25">
        <f t="shared" si="76"/>
        <v>0</v>
      </c>
      <c r="R276" s="25">
        <f t="shared" si="76"/>
        <v>0</v>
      </c>
      <c r="S276" s="25">
        <f t="shared" si="76"/>
        <v>0</v>
      </c>
      <c r="T276" s="25">
        <f t="shared" si="76"/>
        <v>0</v>
      </c>
      <c r="U276" s="25">
        <f t="shared" si="76"/>
        <v>0</v>
      </c>
      <c r="V276" s="25">
        <f t="shared" si="76"/>
        <v>0</v>
      </c>
      <c r="W276" s="26">
        <f t="shared" si="76"/>
        <v>0</v>
      </c>
      <c r="X276" s="27">
        <f t="shared" si="76"/>
        <v>0</v>
      </c>
      <c r="Y276" s="25">
        <f t="shared" si="76"/>
        <v>0</v>
      </c>
      <c r="Z276" s="25">
        <f t="shared" si="76"/>
        <v>0</v>
      </c>
      <c r="AA276" s="25">
        <f t="shared" si="75"/>
        <v>0</v>
      </c>
      <c r="AB276" s="25">
        <f t="shared" si="75"/>
        <v>0</v>
      </c>
      <c r="AC276" s="25">
        <f t="shared" si="75"/>
        <v>0</v>
      </c>
      <c r="AD276" s="25">
        <f t="shared" si="75"/>
        <v>0</v>
      </c>
      <c r="AE276" s="25">
        <f t="shared" si="75"/>
        <v>0</v>
      </c>
      <c r="AF276" s="25">
        <f t="shared" si="75"/>
        <v>0</v>
      </c>
      <c r="AG276" s="25">
        <f t="shared" si="75"/>
        <v>0</v>
      </c>
      <c r="AH276" s="25">
        <f t="shared" si="75"/>
        <v>0</v>
      </c>
      <c r="AI276" s="26">
        <f t="shared" si="75"/>
        <v>0</v>
      </c>
      <c r="AJ276" s="117"/>
      <c r="AK276" s="117"/>
      <c r="AL276" s="118"/>
    </row>
    <row r="277" spans="1:38" ht="16" hidden="1" outlineLevel="1">
      <c r="A277" s="113" t="s">
        <v>642</v>
      </c>
      <c r="B277" s="419" t="s">
        <v>140</v>
      </c>
      <c r="C277" s="172"/>
      <c r="D277" s="173"/>
      <c r="E277" s="378" t="e">
        <f>IF((#REF!-C277)/(D277-C277)&lt;0,0,IF((#REF!-C277)/(D277-C277)&gt;100%,100%,(#REF!-C277)/(D277-C277)))</f>
        <v>#REF!</v>
      </c>
      <c r="F277" s="186"/>
      <c r="G277" s="187"/>
      <c r="H277" s="378" t="e">
        <f>IF((#REF!-F277)/(G277-F277)&lt;0,0,IF((#REF!-F277)/(G277-F277)&gt;100%,100%,(#REF!-F277)/(G277-F277)))</f>
        <v>#REF!</v>
      </c>
      <c r="I277" s="182" t="e">
        <f t="shared" si="71"/>
        <v>#REF!</v>
      </c>
      <c r="J277" s="25">
        <f t="shared" si="72"/>
        <v>0</v>
      </c>
      <c r="K277" s="26">
        <f t="shared" si="72"/>
        <v>0</v>
      </c>
      <c r="L277" s="25">
        <f t="shared" si="72"/>
        <v>0</v>
      </c>
      <c r="M277" s="25">
        <f t="shared" si="76"/>
        <v>0</v>
      </c>
      <c r="N277" s="25">
        <f t="shared" si="76"/>
        <v>0</v>
      </c>
      <c r="O277" s="25">
        <f t="shared" si="76"/>
        <v>0</v>
      </c>
      <c r="P277" s="25">
        <f t="shared" si="76"/>
        <v>0</v>
      </c>
      <c r="Q277" s="25">
        <f t="shared" si="76"/>
        <v>0</v>
      </c>
      <c r="R277" s="25">
        <f t="shared" si="76"/>
        <v>0</v>
      </c>
      <c r="S277" s="25">
        <f t="shared" si="76"/>
        <v>0</v>
      </c>
      <c r="T277" s="25">
        <f t="shared" si="76"/>
        <v>0</v>
      </c>
      <c r="U277" s="25">
        <f t="shared" si="76"/>
        <v>0</v>
      </c>
      <c r="V277" s="25">
        <f t="shared" si="76"/>
        <v>0</v>
      </c>
      <c r="W277" s="26">
        <f t="shared" si="76"/>
        <v>0</v>
      </c>
      <c r="X277" s="27">
        <f t="shared" si="76"/>
        <v>0</v>
      </c>
      <c r="Y277" s="25">
        <f t="shared" si="76"/>
        <v>0</v>
      </c>
      <c r="Z277" s="25">
        <f t="shared" si="76"/>
        <v>0</v>
      </c>
      <c r="AA277" s="25">
        <f t="shared" si="75"/>
        <v>0</v>
      </c>
      <c r="AB277" s="25">
        <f t="shared" si="75"/>
        <v>0</v>
      </c>
      <c r="AC277" s="25">
        <f t="shared" si="75"/>
        <v>0</v>
      </c>
      <c r="AD277" s="25">
        <f t="shared" si="75"/>
        <v>0</v>
      </c>
      <c r="AE277" s="25">
        <f t="shared" si="75"/>
        <v>0</v>
      </c>
      <c r="AF277" s="25">
        <f t="shared" si="75"/>
        <v>0</v>
      </c>
      <c r="AG277" s="25">
        <f t="shared" si="75"/>
        <v>0</v>
      </c>
      <c r="AH277" s="25">
        <f t="shared" si="75"/>
        <v>0</v>
      </c>
      <c r="AI277" s="26">
        <f t="shared" si="75"/>
        <v>0</v>
      </c>
      <c r="AJ277" s="114"/>
      <c r="AK277" s="114"/>
      <c r="AL277" s="115"/>
    </row>
    <row r="278" spans="1:38" ht="16" hidden="1" outlineLevel="1">
      <c r="A278" s="113" t="s">
        <v>643</v>
      </c>
      <c r="B278" s="419" t="s">
        <v>294</v>
      </c>
      <c r="C278" s="172"/>
      <c r="D278" s="173"/>
      <c r="E278" s="378" t="e">
        <f>IF((#REF!-C278)/(D278-C278)&lt;0,0,IF((#REF!-C278)/(D278-C278)&gt;100%,100%,(#REF!-C278)/(D278-C278)))</f>
        <v>#REF!</v>
      </c>
      <c r="F278" s="186"/>
      <c r="G278" s="187"/>
      <c r="H278" s="378" t="e">
        <f>IF((#REF!-F278)/(G278-F278)&lt;0,0,IF((#REF!-F278)/(G278-F278)&gt;100%,100%,(#REF!-F278)/(G278-F278)))</f>
        <v>#REF!</v>
      </c>
      <c r="I278" s="182" t="e">
        <f t="shared" si="71"/>
        <v>#REF!</v>
      </c>
      <c r="J278" s="25">
        <f t="shared" si="72"/>
        <v>0</v>
      </c>
      <c r="K278" s="26">
        <f t="shared" si="72"/>
        <v>0</v>
      </c>
      <c r="L278" s="25">
        <f t="shared" si="72"/>
        <v>0</v>
      </c>
      <c r="M278" s="25">
        <f t="shared" si="76"/>
        <v>0</v>
      </c>
      <c r="N278" s="25">
        <f t="shared" si="76"/>
        <v>0</v>
      </c>
      <c r="O278" s="25">
        <f t="shared" si="76"/>
        <v>0</v>
      </c>
      <c r="P278" s="25">
        <f t="shared" si="76"/>
        <v>0</v>
      </c>
      <c r="Q278" s="25">
        <f t="shared" si="76"/>
        <v>0</v>
      </c>
      <c r="R278" s="25">
        <f t="shared" si="76"/>
        <v>0</v>
      </c>
      <c r="S278" s="25">
        <f t="shared" si="76"/>
        <v>0</v>
      </c>
      <c r="T278" s="25">
        <f t="shared" si="76"/>
        <v>0</v>
      </c>
      <c r="U278" s="25">
        <f t="shared" si="76"/>
        <v>0</v>
      </c>
      <c r="V278" s="25">
        <f t="shared" si="76"/>
        <v>0</v>
      </c>
      <c r="W278" s="26">
        <f t="shared" si="76"/>
        <v>0</v>
      </c>
      <c r="X278" s="27">
        <f t="shared" si="76"/>
        <v>0</v>
      </c>
      <c r="Y278" s="25">
        <f t="shared" si="76"/>
        <v>0</v>
      </c>
      <c r="Z278" s="25">
        <f t="shared" si="76"/>
        <v>0</v>
      </c>
      <c r="AA278" s="25">
        <f t="shared" si="75"/>
        <v>0</v>
      </c>
      <c r="AB278" s="25">
        <f t="shared" si="75"/>
        <v>0</v>
      </c>
      <c r="AC278" s="25">
        <f t="shared" si="75"/>
        <v>0</v>
      </c>
      <c r="AD278" s="25">
        <f t="shared" si="75"/>
        <v>0</v>
      </c>
      <c r="AE278" s="25">
        <f t="shared" si="75"/>
        <v>0</v>
      </c>
      <c r="AF278" s="25">
        <f t="shared" si="75"/>
        <v>0</v>
      </c>
      <c r="AG278" s="25">
        <f t="shared" si="75"/>
        <v>0</v>
      </c>
      <c r="AH278" s="25">
        <f t="shared" si="75"/>
        <v>0</v>
      </c>
      <c r="AI278" s="26">
        <f t="shared" si="75"/>
        <v>0</v>
      </c>
      <c r="AJ278" s="114"/>
      <c r="AK278" s="114"/>
      <c r="AL278" s="115"/>
    </row>
    <row r="279" spans="1:38" ht="30" hidden="1" outlineLevel="1">
      <c r="A279" s="113" t="s">
        <v>644</v>
      </c>
      <c r="B279" s="419" t="s">
        <v>141</v>
      </c>
      <c r="C279" s="172"/>
      <c r="D279" s="173"/>
      <c r="E279" s="378" t="e">
        <f>IF((#REF!-C279)/(D279-C279)&lt;0,0,IF((#REF!-C279)/(D279-C279)&gt;100%,100%,(#REF!-C279)/(D279-C279)))</f>
        <v>#REF!</v>
      </c>
      <c r="F279" s="186"/>
      <c r="G279" s="187"/>
      <c r="H279" s="378" t="e">
        <f>IF((#REF!-F279)/(G279-F279)&lt;0,0,IF((#REF!-F279)/(G279-F279)&gt;100%,100%,(#REF!-F279)/(G279-F279)))</f>
        <v>#REF!</v>
      </c>
      <c r="I279" s="182" t="e">
        <f t="shared" si="71"/>
        <v>#REF!</v>
      </c>
      <c r="J279" s="25">
        <f t="shared" si="72"/>
        <v>0</v>
      </c>
      <c r="K279" s="26">
        <f t="shared" si="72"/>
        <v>0</v>
      </c>
      <c r="L279" s="25">
        <f t="shared" si="72"/>
        <v>0</v>
      </c>
      <c r="M279" s="25">
        <f t="shared" si="76"/>
        <v>0</v>
      </c>
      <c r="N279" s="25">
        <f t="shared" si="76"/>
        <v>0</v>
      </c>
      <c r="O279" s="25">
        <f t="shared" si="76"/>
        <v>0</v>
      </c>
      <c r="P279" s="25">
        <f t="shared" si="76"/>
        <v>0</v>
      </c>
      <c r="Q279" s="25">
        <f t="shared" si="76"/>
        <v>0</v>
      </c>
      <c r="R279" s="25">
        <f t="shared" si="76"/>
        <v>0</v>
      </c>
      <c r="S279" s="25">
        <f t="shared" si="76"/>
        <v>0</v>
      </c>
      <c r="T279" s="25">
        <f t="shared" si="76"/>
        <v>0</v>
      </c>
      <c r="U279" s="25">
        <f t="shared" si="76"/>
        <v>0</v>
      </c>
      <c r="V279" s="25">
        <f t="shared" si="76"/>
        <v>0</v>
      </c>
      <c r="W279" s="26">
        <f t="shared" si="76"/>
        <v>0</v>
      </c>
      <c r="X279" s="27">
        <f t="shared" si="76"/>
        <v>0</v>
      </c>
      <c r="Y279" s="25">
        <f t="shared" si="76"/>
        <v>0</v>
      </c>
      <c r="Z279" s="25">
        <f t="shared" si="76"/>
        <v>0</v>
      </c>
      <c r="AA279" s="25">
        <f t="shared" si="75"/>
        <v>0</v>
      </c>
      <c r="AB279" s="25">
        <f t="shared" si="75"/>
        <v>0</v>
      </c>
      <c r="AC279" s="25">
        <f t="shared" si="75"/>
        <v>0</v>
      </c>
      <c r="AD279" s="25">
        <f t="shared" si="75"/>
        <v>0</v>
      </c>
      <c r="AE279" s="25">
        <f t="shared" si="75"/>
        <v>0</v>
      </c>
      <c r="AF279" s="25">
        <f t="shared" si="75"/>
        <v>0</v>
      </c>
      <c r="AG279" s="25">
        <f t="shared" si="75"/>
        <v>0</v>
      </c>
      <c r="AH279" s="25">
        <f t="shared" si="75"/>
        <v>0</v>
      </c>
      <c r="AI279" s="26">
        <f t="shared" si="75"/>
        <v>0</v>
      </c>
      <c r="AJ279" s="114"/>
      <c r="AK279" s="114"/>
      <c r="AL279" s="115"/>
    </row>
    <row r="280" spans="1:38" ht="16" hidden="1" outlineLevel="1">
      <c r="A280" s="113" t="s">
        <v>645</v>
      </c>
      <c r="B280" s="419" t="s">
        <v>142</v>
      </c>
      <c r="C280" s="172"/>
      <c r="D280" s="173"/>
      <c r="E280" s="378" t="e">
        <f>IF((#REF!-C280)/(D280-C280)&lt;0,0,IF((#REF!-C280)/(D280-C280)&gt;100%,100%,(#REF!-C280)/(D280-C280)))</f>
        <v>#REF!</v>
      </c>
      <c r="F280" s="186"/>
      <c r="G280" s="187"/>
      <c r="H280" s="378" t="e">
        <f>IF((#REF!-F280)/(G280-F280)&lt;0,0,IF((#REF!-F280)/(G280-F280)&gt;100%,100%,(#REF!-F280)/(G280-F280)))</f>
        <v>#REF!</v>
      </c>
      <c r="I280" s="182" t="e">
        <f t="shared" si="71"/>
        <v>#REF!</v>
      </c>
      <c r="J280" s="25">
        <f t="shared" si="72"/>
        <v>0</v>
      </c>
      <c r="K280" s="26">
        <f t="shared" si="72"/>
        <v>0</v>
      </c>
      <c r="L280" s="25">
        <f t="shared" si="72"/>
        <v>0</v>
      </c>
      <c r="M280" s="25">
        <f t="shared" si="76"/>
        <v>0</v>
      </c>
      <c r="N280" s="25">
        <f t="shared" si="76"/>
        <v>0</v>
      </c>
      <c r="O280" s="25">
        <f t="shared" si="76"/>
        <v>0</v>
      </c>
      <c r="P280" s="25">
        <f t="shared" si="76"/>
        <v>0</v>
      </c>
      <c r="Q280" s="25">
        <f t="shared" si="76"/>
        <v>0</v>
      </c>
      <c r="R280" s="25">
        <f t="shared" si="76"/>
        <v>0</v>
      </c>
      <c r="S280" s="25">
        <f t="shared" si="76"/>
        <v>0</v>
      </c>
      <c r="T280" s="25">
        <f t="shared" si="76"/>
        <v>0</v>
      </c>
      <c r="U280" s="25">
        <f t="shared" si="76"/>
        <v>0</v>
      </c>
      <c r="V280" s="25">
        <f t="shared" si="76"/>
        <v>0</v>
      </c>
      <c r="W280" s="26">
        <f t="shared" si="76"/>
        <v>0</v>
      </c>
      <c r="X280" s="27">
        <f t="shared" si="76"/>
        <v>0</v>
      </c>
      <c r="Y280" s="25">
        <f t="shared" si="76"/>
        <v>0</v>
      </c>
      <c r="Z280" s="25">
        <f t="shared" si="76"/>
        <v>0</v>
      </c>
      <c r="AA280" s="25">
        <f t="shared" si="75"/>
        <v>0</v>
      </c>
      <c r="AB280" s="25">
        <f t="shared" si="75"/>
        <v>0</v>
      </c>
      <c r="AC280" s="25">
        <f t="shared" si="75"/>
        <v>0</v>
      </c>
      <c r="AD280" s="25">
        <f t="shared" si="75"/>
        <v>0</v>
      </c>
      <c r="AE280" s="25">
        <f t="shared" si="75"/>
        <v>0</v>
      </c>
      <c r="AF280" s="25">
        <f t="shared" si="75"/>
        <v>0</v>
      </c>
      <c r="AG280" s="25">
        <f t="shared" si="75"/>
        <v>0</v>
      </c>
      <c r="AH280" s="25">
        <f t="shared" si="75"/>
        <v>0</v>
      </c>
      <c r="AI280" s="26">
        <f t="shared" si="75"/>
        <v>0</v>
      </c>
      <c r="AJ280" s="114"/>
      <c r="AK280" s="114"/>
      <c r="AL280" s="115"/>
    </row>
    <row r="281" spans="1:38" ht="16" collapsed="1">
      <c r="A281" s="131" t="s">
        <v>624</v>
      </c>
      <c r="B281" s="415" t="s">
        <v>295</v>
      </c>
      <c r="C281" s="174"/>
      <c r="D281" s="175"/>
      <c r="E281" s="381" t="e">
        <f>IF((#REF!-C281)/(D281-C281)&lt;0,0,IF((#REF!-C281)/(D281-C281)&gt;100%,100%,(#REF!-C281)/(D281-C281)))</f>
        <v>#REF!</v>
      </c>
      <c r="F281" s="188"/>
      <c r="G281" s="165"/>
      <c r="H281" s="381" t="e">
        <f>IF((#REF!-F281)/(G281-F281)&lt;0,0,IF((#REF!-F281)/(G281-F281)&gt;100%,100%,(#REF!-F281)/(G281-F281)))</f>
        <v>#REF!</v>
      </c>
      <c r="I281" s="182" t="e">
        <f t="shared" si="71"/>
        <v>#REF!</v>
      </c>
      <c r="J281" s="25">
        <f t="shared" si="72"/>
        <v>0</v>
      </c>
      <c r="K281" s="26">
        <f t="shared" si="72"/>
        <v>0</v>
      </c>
      <c r="L281" s="25">
        <f t="shared" si="72"/>
        <v>0</v>
      </c>
      <c r="M281" s="25">
        <f t="shared" si="76"/>
        <v>0</v>
      </c>
      <c r="N281" s="25">
        <f t="shared" si="76"/>
        <v>0</v>
      </c>
      <c r="O281" s="25">
        <f t="shared" si="76"/>
        <v>0</v>
      </c>
      <c r="P281" s="25">
        <f t="shared" si="76"/>
        <v>0</v>
      </c>
      <c r="Q281" s="25">
        <f t="shared" si="76"/>
        <v>0</v>
      </c>
      <c r="R281" s="25">
        <f t="shared" si="76"/>
        <v>0</v>
      </c>
      <c r="S281" s="25">
        <f t="shared" si="76"/>
        <v>0</v>
      </c>
      <c r="T281" s="25">
        <f t="shared" si="76"/>
        <v>0</v>
      </c>
      <c r="U281" s="25">
        <f t="shared" si="76"/>
        <v>0</v>
      </c>
      <c r="V281" s="25">
        <f t="shared" si="76"/>
        <v>0</v>
      </c>
      <c r="W281" s="26">
        <f t="shared" si="76"/>
        <v>0</v>
      </c>
      <c r="X281" s="27">
        <f t="shared" si="76"/>
        <v>0</v>
      </c>
      <c r="Y281" s="25">
        <f t="shared" si="76"/>
        <v>0</v>
      </c>
      <c r="Z281" s="25">
        <f t="shared" si="76"/>
        <v>0</v>
      </c>
      <c r="AA281" s="25">
        <f t="shared" si="75"/>
        <v>0</v>
      </c>
      <c r="AB281" s="25">
        <f t="shared" si="75"/>
        <v>0</v>
      </c>
      <c r="AC281" s="25">
        <f t="shared" si="75"/>
        <v>0</v>
      </c>
      <c r="AD281" s="25">
        <f t="shared" si="75"/>
        <v>0</v>
      </c>
      <c r="AE281" s="25">
        <f t="shared" si="75"/>
        <v>0</v>
      </c>
      <c r="AF281" s="25">
        <f t="shared" si="75"/>
        <v>0</v>
      </c>
      <c r="AG281" s="25">
        <f t="shared" si="75"/>
        <v>0</v>
      </c>
      <c r="AH281" s="25">
        <f t="shared" si="75"/>
        <v>0</v>
      </c>
      <c r="AI281" s="26">
        <f t="shared" si="75"/>
        <v>0</v>
      </c>
      <c r="AJ281" s="117"/>
      <c r="AK281" s="117"/>
      <c r="AL281" s="118"/>
    </row>
    <row r="282" spans="1:38" ht="16" hidden="1" outlineLevel="1">
      <c r="A282" s="113" t="s">
        <v>646</v>
      </c>
      <c r="B282" s="419" t="s">
        <v>143</v>
      </c>
      <c r="C282" s="172"/>
      <c r="D282" s="173"/>
      <c r="E282" s="378" t="e">
        <f>IF((#REF!-C282)/(D282-C282)&lt;0,0,IF((#REF!-C282)/(D282-C282)&gt;100%,100%,(#REF!-C282)/(D282-C282)))</f>
        <v>#REF!</v>
      </c>
      <c r="F282" s="186"/>
      <c r="G282" s="187"/>
      <c r="H282" s="378" t="e">
        <f>IF((#REF!-F282)/(G282-F282)&lt;0,0,IF((#REF!-F282)/(G282-F282)&gt;100%,100%,(#REF!-F282)/(G282-F282)))</f>
        <v>#REF!</v>
      </c>
      <c r="I282" s="182" t="e">
        <f t="shared" si="71"/>
        <v>#REF!</v>
      </c>
      <c r="J282" s="25">
        <f t="shared" ref="J282:L301" si="77">+IF(J$3&gt;=$C282,IF(J$3&lt;=$D282,1,0),0)</f>
        <v>0</v>
      </c>
      <c r="K282" s="26">
        <f t="shared" si="77"/>
        <v>0</v>
      </c>
      <c r="L282" s="25">
        <f t="shared" si="77"/>
        <v>0</v>
      </c>
      <c r="M282" s="25">
        <f t="shared" si="76"/>
        <v>0</v>
      </c>
      <c r="N282" s="25">
        <f t="shared" si="76"/>
        <v>0</v>
      </c>
      <c r="O282" s="25">
        <f t="shared" si="76"/>
        <v>0</v>
      </c>
      <c r="P282" s="25">
        <f t="shared" si="76"/>
        <v>0</v>
      </c>
      <c r="Q282" s="25">
        <f t="shared" si="76"/>
        <v>0</v>
      </c>
      <c r="R282" s="25">
        <f t="shared" si="76"/>
        <v>0</v>
      </c>
      <c r="S282" s="25">
        <f t="shared" si="76"/>
        <v>0</v>
      </c>
      <c r="T282" s="25">
        <f t="shared" si="76"/>
        <v>0</v>
      </c>
      <c r="U282" s="25">
        <f t="shared" si="76"/>
        <v>0</v>
      </c>
      <c r="V282" s="25">
        <f t="shared" si="76"/>
        <v>0</v>
      </c>
      <c r="W282" s="26">
        <f t="shared" si="76"/>
        <v>0</v>
      </c>
      <c r="X282" s="27">
        <f t="shared" si="76"/>
        <v>0</v>
      </c>
      <c r="Y282" s="25">
        <f t="shared" si="76"/>
        <v>0</v>
      </c>
      <c r="Z282" s="25">
        <f t="shared" si="76"/>
        <v>0</v>
      </c>
      <c r="AA282" s="25">
        <f t="shared" si="75"/>
        <v>0</v>
      </c>
      <c r="AB282" s="25">
        <f t="shared" si="75"/>
        <v>0</v>
      </c>
      <c r="AC282" s="25">
        <f t="shared" si="75"/>
        <v>0</v>
      </c>
      <c r="AD282" s="25">
        <f t="shared" si="75"/>
        <v>0</v>
      </c>
      <c r="AE282" s="25">
        <f t="shared" si="75"/>
        <v>0</v>
      </c>
      <c r="AF282" s="25">
        <f t="shared" si="75"/>
        <v>0</v>
      </c>
      <c r="AG282" s="25">
        <f t="shared" si="75"/>
        <v>0</v>
      </c>
      <c r="AH282" s="25">
        <f t="shared" si="75"/>
        <v>0</v>
      </c>
      <c r="AI282" s="26">
        <f t="shared" si="75"/>
        <v>0</v>
      </c>
      <c r="AJ282" s="114"/>
      <c r="AK282" s="114"/>
      <c r="AL282" s="115"/>
    </row>
    <row r="283" spans="1:38" ht="30" hidden="1" outlineLevel="1">
      <c r="A283" s="113" t="s">
        <v>647</v>
      </c>
      <c r="B283" s="419" t="s">
        <v>144</v>
      </c>
      <c r="C283" s="172"/>
      <c r="D283" s="173"/>
      <c r="E283" s="378" t="e">
        <f>IF((#REF!-C283)/(D283-C283)&lt;0,0,IF((#REF!-C283)/(D283-C283)&gt;100%,100%,(#REF!-C283)/(D283-C283)))</f>
        <v>#REF!</v>
      </c>
      <c r="F283" s="186"/>
      <c r="G283" s="187"/>
      <c r="H283" s="378" t="e">
        <f>IF((#REF!-F283)/(G283-F283)&lt;0,0,IF((#REF!-F283)/(G283-F283)&gt;100%,100%,(#REF!-F283)/(G283-F283)))</f>
        <v>#REF!</v>
      </c>
      <c r="I283" s="182" t="e">
        <f t="shared" si="71"/>
        <v>#REF!</v>
      </c>
      <c r="J283" s="25">
        <f t="shared" si="77"/>
        <v>0</v>
      </c>
      <c r="K283" s="26">
        <f t="shared" si="77"/>
        <v>0</v>
      </c>
      <c r="L283" s="25">
        <f t="shared" si="77"/>
        <v>0</v>
      </c>
      <c r="M283" s="25">
        <f t="shared" si="76"/>
        <v>0</v>
      </c>
      <c r="N283" s="25">
        <f t="shared" si="76"/>
        <v>0</v>
      </c>
      <c r="O283" s="25">
        <f t="shared" si="76"/>
        <v>0</v>
      </c>
      <c r="P283" s="25">
        <f t="shared" si="76"/>
        <v>0</v>
      </c>
      <c r="Q283" s="25">
        <f t="shared" si="76"/>
        <v>0</v>
      </c>
      <c r="R283" s="25">
        <f t="shared" si="76"/>
        <v>0</v>
      </c>
      <c r="S283" s="25">
        <f t="shared" si="76"/>
        <v>0</v>
      </c>
      <c r="T283" s="25">
        <f t="shared" si="76"/>
        <v>0</v>
      </c>
      <c r="U283" s="25">
        <f t="shared" si="76"/>
        <v>0</v>
      </c>
      <c r="V283" s="25">
        <f t="shared" si="76"/>
        <v>0</v>
      </c>
      <c r="W283" s="26">
        <f t="shared" si="76"/>
        <v>0</v>
      </c>
      <c r="X283" s="27">
        <f t="shared" si="76"/>
        <v>0</v>
      </c>
      <c r="Y283" s="25">
        <f t="shared" si="76"/>
        <v>0</v>
      </c>
      <c r="Z283" s="25">
        <f t="shared" si="76"/>
        <v>0</v>
      </c>
      <c r="AA283" s="25">
        <f t="shared" si="75"/>
        <v>0</v>
      </c>
      <c r="AB283" s="25">
        <f t="shared" si="75"/>
        <v>0</v>
      </c>
      <c r="AC283" s="25">
        <f t="shared" si="75"/>
        <v>0</v>
      </c>
      <c r="AD283" s="25">
        <f t="shared" si="75"/>
        <v>0</v>
      </c>
      <c r="AE283" s="25">
        <f t="shared" si="75"/>
        <v>0</v>
      </c>
      <c r="AF283" s="25">
        <f t="shared" si="75"/>
        <v>0</v>
      </c>
      <c r="AG283" s="25">
        <f t="shared" si="75"/>
        <v>0</v>
      </c>
      <c r="AH283" s="25">
        <f t="shared" si="75"/>
        <v>0</v>
      </c>
      <c r="AI283" s="26">
        <f t="shared" si="75"/>
        <v>0</v>
      </c>
      <c r="AJ283" s="114"/>
      <c r="AK283" s="114"/>
      <c r="AL283" s="115"/>
    </row>
    <row r="284" spans="1:38" ht="30" hidden="1" outlineLevel="1">
      <c r="A284" s="113" t="s">
        <v>648</v>
      </c>
      <c r="B284" s="419" t="s">
        <v>145</v>
      </c>
      <c r="C284" s="172"/>
      <c r="D284" s="173"/>
      <c r="E284" s="378" t="e">
        <f>IF((#REF!-C284)/(D284-C284)&lt;0,0,IF((#REF!-C284)/(D284-C284)&gt;100%,100%,(#REF!-C284)/(D284-C284)))</f>
        <v>#REF!</v>
      </c>
      <c r="F284" s="186"/>
      <c r="G284" s="187"/>
      <c r="H284" s="378" t="e">
        <f>IF((#REF!-F284)/(G284-F284)&lt;0,0,IF((#REF!-F284)/(G284-F284)&gt;100%,100%,(#REF!-F284)/(G284-F284)))</f>
        <v>#REF!</v>
      </c>
      <c r="I284" s="182" t="e">
        <f t="shared" si="71"/>
        <v>#REF!</v>
      </c>
      <c r="J284" s="25">
        <f t="shared" si="77"/>
        <v>0</v>
      </c>
      <c r="K284" s="26">
        <f t="shared" si="77"/>
        <v>0</v>
      </c>
      <c r="L284" s="25">
        <f t="shared" si="77"/>
        <v>0</v>
      </c>
      <c r="M284" s="25">
        <f t="shared" si="76"/>
        <v>0</v>
      </c>
      <c r="N284" s="25">
        <f t="shared" si="76"/>
        <v>0</v>
      </c>
      <c r="O284" s="25">
        <f t="shared" si="76"/>
        <v>0</v>
      </c>
      <c r="P284" s="25">
        <f t="shared" si="76"/>
        <v>0</v>
      </c>
      <c r="Q284" s="25">
        <f t="shared" si="76"/>
        <v>0</v>
      </c>
      <c r="R284" s="25">
        <f t="shared" si="76"/>
        <v>0</v>
      </c>
      <c r="S284" s="25">
        <f t="shared" si="76"/>
        <v>0</v>
      </c>
      <c r="T284" s="25">
        <f t="shared" si="76"/>
        <v>0</v>
      </c>
      <c r="U284" s="25">
        <f t="shared" si="76"/>
        <v>0</v>
      </c>
      <c r="V284" s="25">
        <f t="shared" si="76"/>
        <v>0</v>
      </c>
      <c r="W284" s="26">
        <f t="shared" si="76"/>
        <v>0</v>
      </c>
      <c r="X284" s="27">
        <f t="shared" si="76"/>
        <v>0</v>
      </c>
      <c r="Y284" s="25">
        <f t="shared" si="76"/>
        <v>0</v>
      </c>
      <c r="Z284" s="25">
        <f t="shared" si="76"/>
        <v>0</v>
      </c>
      <c r="AA284" s="25">
        <f t="shared" si="75"/>
        <v>0</v>
      </c>
      <c r="AB284" s="25">
        <f t="shared" si="75"/>
        <v>0</v>
      </c>
      <c r="AC284" s="25">
        <f t="shared" si="75"/>
        <v>0</v>
      </c>
      <c r="AD284" s="25">
        <f t="shared" si="75"/>
        <v>0</v>
      </c>
      <c r="AE284" s="25">
        <f t="shared" si="75"/>
        <v>0</v>
      </c>
      <c r="AF284" s="25">
        <f t="shared" si="75"/>
        <v>0</v>
      </c>
      <c r="AG284" s="25">
        <f t="shared" si="75"/>
        <v>0</v>
      </c>
      <c r="AH284" s="25">
        <f t="shared" si="75"/>
        <v>0</v>
      </c>
      <c r="AI284" s="26">
        <f t="shared" si="75"/>
        <v>0</v>
      </c>
      <c r="AJ284" s="114"/>
      <c r="AK284" s="114"/>
      <c r="AL284" s="115"/>
    </row>
    <row r="285" spans="1:38" ht="16" hidden="1" outlineLevel="1">
      <c r="A285" s="113" t="s">
        <v>649</v>
      </c>
      <c r="B285" s="418" t="s">
        <v>146</v>
      </c>
      <c r="C285" s="172"/>
      <c r="D285" s="173"/>
      <c r="E285" s="378" t="e">
        <f>IF((#REF!-C285)/(D285-C285)&lt;0,0,IF((#REF!-C285)/(D285-C285)&gt;100%,100%,(#REF!-C285)/(D285-C285)))</f>
        <v>#REF!</v>
      </c>
      <c r="F285" s="186"/>
      <c r="G285" s="187"/>
      <c r="H285" s="378" t="e">
        <f>IF((#REF!-F285)/(G285-F285)&lt;0,0,IF((#REF!-F285)/(G285-F285)&gt;100%,100%,(#REF!-F285)/(G285-F285)))</f>
        <v>#REF!</v>
      </c>
      <c r="I285" s="182" t="e">
        <f t="shared" si="71"/>
        <v>#REF!</v>
      </c>
      <c r="J285" s="25">
        <f t="shared" si="77"/>
        <v>0</v>
      </c>
      <c r="K285" s="26">
        <f t="shared" si="77"/>
        <v>0</v>
      </c>
      <c r="L285" s="25">
        <f t="shared" si="77"/>
        <v>0</v>
      </c>
      <c r="M285" s="25">
        <f t="shared" si="76"/>
        <v>0</v>
      </c>
      <c r="N285" s="25">
        <f t="shared" si="76"/>
        <v>0</v>
      </c>
      <c r="O285" s="25">
        <f t="shared" si="76"/>
        <v>0</v>
      </c>
      <c r="P285" s="25">
        <f t="shared" si="76"/>
        <v>0</v>
      </c>
      <c r="Q285" s="25">
        <f t="shared" si="76"/>
        <v>0</v>
      </c>
      <c r="R285" s="25">
        <f t="shared" si="76"/>
        <v>0</v>
      </c>
      <c r="S285" s="25">
        <f t="shared" si="76"/>
        <v>0</v>
      </c>
      <c r="T285" s="25">
        <f t="shared" si="76"/>
        <v>0</v>
      </c>
      <c r="U285" s="25">
        <f t="shared" si="76"/>
        <v>0</v>
      </c>
      <c r="V285" s="25">
        <f t="shared" si="76"/>
        <v>0</v>
      </c>
      <c r="W285" s="26">
        <f t="shared" si="76"/>
        <v>0</v>
      </c>
      <c r="X285" s="27">
        <f t="shared" si="76"/>
        <v>0</v>
      </c>
      <c r="Y285" s="25">
        <f t="shared" si="76"/>
        <v>0</v>
      </c>
      <c r="Z285" s="25">
        <f t="shared" si="76"/>
        <v>0</v>
      </c>
      <c r="AA285" s="25">
        <f t="shared" si="75"/>
        <v>0</v>
      </c>
      <c r="AB285" s="25">
        <f t="shared" si="75"/>
        <v>0</v>
      </c>
      <c r="AC285" s="25">
        <f t="shared" si="75"/>
        <v>0</v>
      </c>
      <c r="AD285" s="25">
        <f t="shared" si="75"/>
        <v>0</v>
      </c>
      <c r="AE285" s="25">
        <f t="shared" si="75"/>
        <v>0</v>
      </c>
      <c r="AF285" s="25">
        <f t="shared" si="75"/>
        <v>0</v>
      </c>
      <c r="AG285" s="25">
        <f t="shared" si="75"/>
        <v>0</v>
      </c>
      <c r="AH285" s="25">
        <f t="shared" si="75"/>
        <v>0</v>
      </c>
      <c r="AI285" s="26">
        <f t="shared" si="75"/>
        <v>0</v>
      </c>
      <c r="AJ285" s="114"/>
      <c r="AK285" s="114"/>
      <c r="AL285" s="115"/>
    </row>
    <row r="286" spans="1:38" ht="16" hidden="1" outlineLevel="1">
      <c r="A286" s="113" t="s">
        <v>650</v>
      </c>
      <c r="B286" s="418" t="s">
        <v>147</v>
      </c>
      <c r="C286" s="172"/>
      <c r="D286" s="173"/>
      <c r="E286" s="378" t="e">
        <f>IF((#REF!-C286)/(D286-C286)&lt;0,0,IF((#REF!-C286)/(D286-C286)&gt;100%,100%,(#REF!-C286)/(D286-C286)))</f>
        <v>#REF!</v>
      </c>
      <c r="F286" s="186"/>
      <c r="G286" s="187"/>
      <c r="H286" s="378" t="e">
        <f>IF((#REF!-F286)/(G286-F286)&lt;0,0,IF((#REF!-F286)/(G286-F286)&gt;100%,100%,(#REF!-F286)/(G286-F286)))</f>
        <v>#REF!</v>
      </c>
      <c r="I286" s="182" t="e">
        <f t="shared" si="71"/>
        <v>#REF!</v>
      </c>
      <c r="J286" s="25">
        <f t="shared" si="77"/>
        <v>0</v>
      </c>
      <c r="K286" s="26">
        <f t="shared" si="77"/>
        <v>0</v>
      </c>
      <c r="L286" s="25">
        <f t="shared" si="77"/>
        <v>0</v>
      </c>
      <c r="M286" s="25">
        <f t="shared" si="76"/>
        <v>0</v>
      </c>
      <c r="N286" s="25">
        <f t="shared" si="76"/>
        <v>0</v>
      </c>
      <c r="O286" s="25">
        <f t="shared" si="76"/>
        <v>0</v>
      </c>
      <c r="P286" s="25">
        <f t="shared" si="76"/>
        <v>0</v>
      </c>
      <c r="Q286" s="25">
        <f t="shared" si="76"/>
        <v>0</v>
      </c>
      <c r="R286" s="25">
        <f t="shared" si="76"/>
        <v>0</v>
      </c>
      <c r="S286" s="25">
        <f t="shared" si="76"/>
        <v>0</v>
      </c>
      <c r="T286" s="25">
        <f t="shared" si="76"/>
        <v>0</v>
      </c>
      <c r="U286" s="25">
        <f t="shared" si="76"/>
        <v>0</v>
      </c>
      <c r="V286" s="25">
        <f t="shared" si="76"/>
        <v>0</v>
      </c>
      <c r="W286" s="26">
        <f t="shared" si="76"/>
        <v>0</v>
      </c>
      <c r="X286" s="27">
        <f t="shared" si="76"/>
        <v>0</v>
      </c>
      <c r="Y286" s="25">
        <f t="shared" si="76"/>
        <v>0</v>
      </c>
      <c r="Z286" s="25">
        <f t="shared" si="76"/>
        <v>0</v>
      </c>
      <c r="AA286" s="25">
        <f t="shared" si="75"/>
        <v>0</v>
      </c>
      <c r="AB286" s="25">
        <f t="shared" si="75"/>
        <v>0</v>
      </c>
      <c r="AC286" s="25">
        <f t="shared" si="75"/>
        <v>0</v>
      </c>
      <c r="AD286" s="25">
        <f t="shared" si="75"/>
        <v>0</v>
      </c>
      <c r="AE286" s="25">
        <f t="shared" si="75"/>
        <v>0</v>
      </c>
      <c r="AF286" s="25">
        <f t="shared" si="75"/>
        <v>0</v>
      </c>
      <c r="AG286" s="25">
        <f t="shared" si="75"/>
        <v>0</v>
      </c>
      <c r="AH286" s="25">
        <f t="shared" si="75"/>
        <v>0</v>
      </c>
      <c r="AI286" s="26">
        <f t="shared" si="75"/>
        <v>0</v>
      </c>
      <c r="AJ286" s="114"/>
      <c r="AK286" s="114"/>
      <c r="AL286" s="115"/>
    </row>
    <row r="287" spans="1:38" ht="16" collapsed="1">
      <c r="A287" s="131" t="s">
        <v>625</v>
      </c>
      <c r="B287" s="415" t="s">
        <v>297</v>
      </c>
      <c r="C287" s="174"/>
      <c r="D287" s="175"/>
      <c r="E287" s="381" t="e">
        <f>IF((#REF!-C287)/(D287-C287)&lt;0,0,IF((#REF!-C287)/(D287-C287)&gt;100%,100%,(#REF!-C287)/(D287-C287)))</f>
        <v>#REF!</v>
      </c>
      <c r="F287" s="188"/>
      <c r="G287" s="165"/>
      <c r="H287" s="381" t="e">
        <f>IF((#REF!-F287)/(G287-F287)&lt;0,0,IF((#REF!-F287)/(G287-F287)&gt;100%,100%,(#REF!-F287)/(G287-F287)))</f>
        <v>#REF!</v>
      </c>
      <c r="I287" s="182" t="e">
        <f t="shared" si="71"/>
        <v>#REF!</v>
      </c>
      <c r="J287" s="25">
        <f t="shared" si="77"/>
        <v>0</v>
      </c>
      <c r="K287" s="26">
        <f t="shared" si="77"/>
        <v>0</v>
      </c>
      <c r="L287" s="25">
        <f t="shared" si="77"/>
        <v>0</v>
      </c>
      <c r="M287" s="25">
        <f t="shared" ref="M287:Y287" si="78">+IF(M$3&gt;=$C287,IF(M$3&lt;=$D287,1,0),0)</f>
        <v>0</v>
      </c>
      <c r="N287" s="25">
        <f t="shared" si="78"/>
        <v>0</v>
      </c>
      <c r="O287" s="25">
        <f t="shared" si="78"/>
        <v>0</v>
      </c>
      <c r="P287" s="25">
        <f t="shared" si="78"/>
        <v>0</v>
      </c>
      <c r="Q287" s="25">
        <f t="shared" si="78"/>
        <v>0</v>
      </c>
      <c r="R287" s="25">
        <f t="shared" si="78"/>
        <v>0</v>
      </c>
      <c r="S287" s="25">
        <f t="shared" si="78"/>
        <v>0</v>
      </c>
      <c r="T287" s="25">
        <f t="shared" si="78"/>
        <v>0</v>
      </c>
      <c r="U287" s="25">
        <f t="shared" si="78"/>
        <v>0</v>
      </c>
      <c r="V287" s="25">
        <f t="shared" si="78"/>
        <v>0</v>
      </c>
      <c r="W287" s="26">
        <f t="shared" si="78"/>
        <v>0</v>
      </c>
      <c r="X287" s="27">
        <f t="shared" si="78"/>
        <v>0</v>
      </c>
      <c r="Y287" s="25">
        <f t="shared" si="78"/>
        <v>0</v>
      </c>
      <c r="Z287" s="25">
        <f t="shared" ref="M287:Z306" si="79">+IF(Z$3&gt;=$C287,IF(Z$3&lt;=$D287,1,0),0)</f>
        <v>0</v>
      </c>
      <c r="AA287" s="25">
        <f t="shared" si="75"/>
        <v>0</v>
      </c>
      <c r="AB287" s="25">
        <f t="shared" si="75"/>
        <v>0</v>
      </c>
      <c r="AC287" s="25">
        <f t="shared" si="75"/>
        <v>0</v>
      </c>
      <c r="AD287" s="25">
        <f t="shared" si="75"/>
        <v>0</v>
      </c>
      <c r="AE287" s="25">
        <f t="shared" si="75"/>
        <v>0</v>
      </c>
      <c r="AF287" s="25">
        <f t="shared" si="75"/>
        <v>0</v>
      </c>
      <c r="AG287" s="25">
        <f t="shared" si="75"/>
        <v>0</v>
      </c>
      <c r="AH287" s="25">
        <f t="shared" si="75"/>
        <v>0</v>
      </c>
      <c r="AI287" s="26">
        <f t="shared" si="75"/>
        <v>0</v>
      </c>
      <c r="AJ287" s="117"/>
      <c r="AK287" s="117"/>
      <c r="AL287" s="118"/>
    </row>
    <row r="288" spans="1:38" ht="16" hidden="1" outlineLevel="1">
      <c r="A288" s="113" t="s">
        <v>651</v>
      </c>
      <c r="B288" s="419" t="s">
        <v>298</v>
      </c>
      <c r="C288" s="172"/>
      <c r="D288" s="173"/>
      <c r="E288" s="378" t="e">
        <f>IF((#REF!-C288)/(D288-C288)&lt;0,0,IF((#REF!-C288)/(D288-C288)&gt;100%,100%,(#REF!-C288)/(D288-C288)))</f>
        <v>#REF!</v>
      </c>
      <c r="F288" s="186"/>
      <c r="G288" s="187"/>
      <c r="H288" s="378" t="e">
        <f>IF((#REF!-F288)/(G288-F288)&lt;0,0,IF((#REF!-F288)/(G288-F288)&gt;100%,100%,(#REF!-F288)/(G288-F288)))</f>
        <v>#REF!</v>
      </c>
      <c r="I288" s="182" t="e">
        <f t="shared" si="71"/>
        <v>#REF!</v>
      </c>
      <c r="J288" s="25">
        <f t="shared" si="77"/>
        <v>0</v>
      </c>
      <c r="K288" s="26">
        <f t="shared" si="77"/>
        <v>0</v>
      </c>
      <c r="L288" s="25">
        <f t="shared" si="77"/>
        <v>0</v>
      </c>
      <c r="M288" s="25">
        <f t="shared" si="79"/>
        <v>0</v>
      </c>
      <c r="N288" s="25">
        <f t="shared" si="79"/>
        <v>0</v>
      </c>
      <c r="O288" s="25">
        <f t="shared" si="79"/>
        <v>0</v>
      </c>
      <c r="P288" s="25">
        <f t="shared" si="79"/>
        <v>0</v>
      </c>
      <c r="Q288" s="25">
        <f t="shared" si="79"/>
        <v>0</v>
      </c>
      <c r="R288" s="25">
        <f t="shared" si="79"/>
        <v>0</v>
      </c>
      <c r="S288" s="25">
        <f t="shared" si="79"/>
        <v>0</v>
      </c>
      <c r="T288" s="25">
        <f t="shared" si="79"/>
        <v>0</v>
      </c>
      <c r="U288" s="25">
        <f t="shared" si="79"/>
        <v>0</v>
      </c>
      <c r="V288" s="25">
        <f t="shared" si="79"/>
        <v>0</v>
      </c>
      <c r="W288" s="26">
        <f t="shared" si="79"/>
        <v>0</v>
      </c>
      <c r="X288" s="27">
        <f t="shared" si="79"/>
        <v>0</v>
      </c>
      <c r="Y288" s="25">
        <f t="shared" si="79"/>
        <v>0</v>
      </c>
      <c r="Z288" s="25">
        <f t="shared" si="79"/>
        <v>0</v>
      </c>
      <c r="AA288" s="25">
        <f t="shared" si="75"/>
        <v>0</v>
      </c>
      <c r="AB288" s="25">
        <f t="shared" si="75"/>
        <v>0</v>
      </c>
      <c r="AC288" s="25">
        <f t="shared" si="75"/>
        <v>0</v>
      </c>
      <c r="AD288" s="25">
        <f t="shared" si="75"/>
        <v>0</v>
      </c>
      <c r="AE288" s="25">
        <f t="shared" si="75"/>
        <v>0</v>
      </c>
      <c r="AF288" s="25">
        <f t="shared" ref="AA288:AI316" si="80">+IF(AF$3&gt;=$C288,IF(AF$3&lt;=$D288,1,0),0)</f>
        <v>0</v>
      </c>
      <c r="AG288" s="25">
        <f t="shared" si="80"/>
        <v>0</v>
      </c>
      <c r="AH288" s="25">
        <f t="shared" si="80"/>
        <v>0</v>
      </c>
      <c r="AI288" s="26">
        <f t="shared" si="80"/>
        <v>0</v>
      </c>
      <c r="AJ288" s="114"/>
      <c r="AK288" s="114"/>
      <c r="AL288" s="115"/>
    </row>
    <row r="289" spans="1:38" ht="16" hidden="1" outlineLevel="1">
      <c r="A289" s="113" t="s">
        <v>652</v>
      </c>
      <c r="B289" s="419" t="s">
        <v>299</v>
      </c>
      <c r="C289" s="172"/>
      <c r="D289" s="173"/>
      <c r="E289" s="378" t="e">
        <f>IF((#REF!-C289)/(D289-C289)&lt;0,0,IF((#REF!-C289)/(D289-C289)&gt;100%,100%,(#REF!-C289)/(D289-C289)))</f>
        <v>#REF!</v>
      </c>
      <c r="F289" s="186"/>
      <c r="G289" s="187"/>
      <c r="H289" s="378" t="e">
        <f>IF((#REF!-F289)/(G289-F289)&lt;0,0,IF((#REF!-F289)/(G289-F289)&gt;100%,100%,(#REF!-F289)/(G289-F289)))</f>
        <v>#REF!</v>
      </c>
      <c r="I289" s="182" t="e">
        <f t="shared" si="71"/>
        <v>#REF!</v>
      </c>
      <c r="J289" s="25">
        <f t="shared" si="77"/>
        <v>0</v>
      </c>
      <c r="K289" s="26">
        <f t="shared" si="77"/>
        <v>0</v>
      </c>
      <c r="L289" s="25">
        <f t="shared" si="77"/>
        <v>0</v>
      </c>
      <c r="M289" s="25">
        <f t="shared" si="79"/>
        <v>0</v>
      </c>
      <c r="N289" s="25">
        <f t="shared" si="79"/>
        <v>0</v>
      </c>
      <c r="O289" s="25">
        <f t="shared" si="79"/>
        <v>0</v>
      </c>
      <c r="P289" s="25">
        <f t="shared" si="79"/>
        <v>0</v>
      </c>
      <c r="Q289" s="25">
        <f t="shared" si="79"/>
        <v>0</v>
      </c>
      <c r="R289" s="25">
        <f t="shared" si="79"/>
        <v>0</v>
      </c>
      <c r="S289" s="25">
        <f t="shared" si="79"/>
        <v>0</v>
      </c>
      <c r="T289" s="25">
        <f t="shared" si="79"/>
        <v>0</v>
      </c>
      <c r="U289" s="25">
        <f t="shared" si="79"/>
        <v>0</v>
      </c>
      <c r="V289" s="25">
        <f t="shared" si="79"/>
        <v>0</v>
      </c>
      <c r="W289" s="26">
        <f t="shared" si="79"/>
        <v>0</v>
      </c>
      <c r="X289" s="27">
        <f t="shared" si="79"/>
        <v>0</v>
      </c>
      <c r="Y289" s="25">
        <f t="shared" si="79"/>
        <v>0</v>
      </c>
      <c r="Z289" s="25">
        <f t="shared" si="79"/>
        <v>0</v>
      </c>
      <c r="AA289" s="25">
        <f t="shared" si="80"/>
        <v>0</v>
      </c>
      <c r="AB289" s="25">
        <f t="shared" si="80"/>
        <v>0</v>
      </c>
      <c r="AC289" s="25">
        <f t="shared" si="80"/>
        <v>0</v>
      </c>
      <c r="AD289" s="25">
        <f t="shared" si="80"/>
        <v>0</v>
      </c>
      <c r="AE289" s="25">
        <f t="shared" si="80"/>
        <v>0</v>
      </c>
      <c r="AF289" s="25">
        <f t="shared" si="80"/>
        <v>0</v>
      </c>
      <c r="AG289" s="25">
        <f t="shared" si="80"/>
        <v>0</v>
      </c>
      <c r="AH289" s="25">
        <f t="shared" si="80"/>
        <v>0</v>
      </c>
      <c r="AI289" s="26">
        <f t="shared" si="80"/>
        <v>0</v>
      </c>
      <c r="AJ289" s="114"/>
      <c r="AK289" s="114"/>
      <c r="AL289" s="115"/>
    </row>
    <row r="290" spans="1:38" ht="16" hidden="1" outlineLevel="1">
      <c r="A290" s="113" t="s">
        <v>653</v>
      </c>
      <c r="B290" s="419" t="s">
        <v>300</v>
      </c>
      <c r="C290" s="172"/>
      <c r="D290" s="173"/>
      <c r="E290" s="378" t="e">
        <f>IF((#REF!-C290)/(D290-C290)&lt;0,0,IF((#REF!-C290)/(D290-C290)&gt;100%,100%,(#REF!-C290)/(D290-C290)))</f>
        <v>#REF!</v>
      </c>
      <c r="F290" s="186"/>
      <c r="G290" s="187"/>
      <c r="H290" s="378" t="e">
        <f>IF((#REF!-F290)/(G290-F290)&lt;0,0,IF((#REF!-F290)/(G290-F290)&gt;100%,100%,(#REF!-F290)/(G290-F290)))</f>
        <v>#REF!</v>
      </c>
      <c r="I290" s="182" t="e">
        <f t="shared" si="71"/>
        <v>#REF!</v>
      </c>
      <c r="J290" s="25">
        <f t="shared" si="77"/>
        <v>0</v>
      </c>
      <c r="K290" s="26">
        <f t="shared" si="77"/>
        <v>0</v>
      </c>
      <c r="L290" s="25">
        <f t="shared" si="77"/>
        <v>0</v>
      </c>
      <c r="M290" s="25">
        <f t="shared" si="79"/>
        <v>0</v>
      </c>
      <c r="N290" s="25">
        <f t="shared" si="79"/>
        <v>0</v>
      </c>
      <c r="O290" s="25">
        <f t="shared" si="79"/>
        <v>0</v>
      </c>
      <c r="P290" s="25">
        <f t="shared" si="79"/>
        <v>0</v>
      </c>
      <c r="Q290" s="25">
        <f t="shared" si="79"/>
        <v>0</v>
      </c>
      <c r="R290" s="25">
        <f t="shared" si="79"/>
        <v>0</v>
      </c>
      <c r="S290" s="25">
        <f t="shared" si="79"/>
        <v>0</v>
      </c>
      <c r="T290" s="25">
        <f t="shared" si="79"/>
        <v>0</v>
      </c>
      <c r="U290" s="25">
        <f t="shared" si="79"/>
        <v>0</v>
      </c>
      <c r="V290" s="25">
        <f t="shared" si="79"/>
        <v>0</v>
      </c>
      <c r="W290" s="26">
        <f t="shared" si="79"/>
        <v>0</v>
      </c>
      <c r="X290" s="27">
        <f t="shared" si="79"/>
        <v>0</v>
      </c>
      <c r="Y290" s="25">
        <f t="shared" si="79"/>
        <v>0</v>
      </c>
      <c r="Z290" s="25">
        <f t="shared" si="79"/>
        <v>0</v>
      </c>
      <c r="AA290" s="25">
        <f t="shared" si="80"/>
        <v>0</v>
      </c>
      <c r="AB290" s="25">
        <f t="shared" si="80"/>
        <v>0</v>
      </c>
      <c r="AC290" s="25">
        <f t="shared" si="80"/>
        <v>0</v>
      </c>
      <c r="AD290" s="25">
        <f t="shared" si="80"/>
        <v>0</v>
      </c>
      <c r="AE290" s="25">
        <f t="shared" si="80"/>
        <v>0</v>
      </c>
      <c r="AF290" s="25">
        <f t="shared" si="80"/>
        <v>0</v>
      </c>
      <c r="AG290" s="25">
        <f t="shared" si="80"/>
        <v>0</v>
      </c>
      <c r="AH290" s="25">
        <f t="shared" si="80"/>
        <v>0</v>
      </c>
      <c r="AI290" s="26">
        <f t="shared" si="80"/>
        <v>0</v>
      </c>
      <c r="AJ290" s="114"/>
      <c r="AK290" s="114"/>
      <c r="AL290" s="115"/>
    </row>
    <row r="291" spans="1:38" ht="20.5" customHeight="1" collapsed="1">
      <c r="A291" s="131" t="s">
        <v>626</v>
      </c>
      <c r="B291" s="415" t="s">
        <v>148</v>
      </c>
      <c r="C291" s="174"/>
      <c r="D291" s="175"/>
      <c r="E291" s="381" t="e">
        <f>IF((#REF!-C291)/(D291-C291)&lt;0,0,IF((#REF!-C291)/(D291-C291)&gt;100%,100%,(#REF!-C291)/(D291-C291)))</f>
        <v>#REF!</v>
      </c>
      <c r="F291" s="188"/>
      <c r="G291" s="165"/>
      <c r="H291" s="381" t="e">
        <f>IF((#REF!-F291)/(G291-F291)&lt;0,0,IF((#REF!-F291)/(G291-F291)&gt;100%,100%,(#REF!-F291)/(G291-F291)))</f>
        <v>#REF!</v>
      </c>
      <c r="I291" s="182" t="e">
        <f t="shared" si="71"/>
        <v>#REF!</v>
      </c>
      <c r="J291" s="25">
        <f t="shared" si="77"/>
        <v>0</v>
      </c>
      <c r="K291" s="26">
        <f t="shared" si="77"/>
        <v>0</v>
      </c>
      <c r="L291" s="25">
        <f t="shared" si="77"/>
        <v>0</v>
      </c>
      <c r="M291" s="25">
        <f t="shared" si="79"/>
        <v>0</v>
      </c>
      <c r="N291" s="25">
        <f t="shared" si="79"/>
        <v>0</v>
      </c>
      <c r="O291" s="25">
        <f t="shared" si="79"/>
        <v>0</v>
      </c>
      <c r="P291" s="25">
        <f t="shared" si="79"/>
        <v>0</v>
      </c>
      <c r="Q291" s="25">
        <f t="shared" si="79"/>
        <v>0</v>
      </c>
      <c r="R291" s="25">
        <f t="shared" si="79"/>
        <v>0</v>
      </c>
      <c r="S291" s="25">
        <f t="shared" si="79"/>
        <v>0</v>
      </c>
      <c r="T291" s="25">
        <f t="shared" si="79"/>
        <v>0</v>
      </c>
      <c r="U291" s="25">
        <f t="shared" si="79"/>
        <v>0</v>
      </c>
      <c r="V291" s="25">
        <f t="shared" si="79"/>
        <v>0</v>
      </c>
      <c r="W291" s="26">
        <f t="shared" si="79"/>
        <v>0</v>
      </c>
      <c r="X291" s="27">
        <f t="shared" si="79"/>
        <v>0</v>
      </c>
      <c r="Y291" s="25">
        <f t="shared" si="79"/>
        <v>0</v>
      </c>
      <c r="Z291" s="25">
        <f t="shared" si="79"/>
        <v>0</v>
      </c>
      <c r="AA291" s="25">
        <f t="shared" si="80"/>
        <v>0</v>
      </c>
      <c r="AB291" s="25">
        <f t="shared" si="80"/>
        <v>0</v>
      </c>
      <c r="AC291" s="25">
        <f t="shared" si="80"/>
        <v>0</v>
      </c>
      <c r="AD291" s="25">
        <f t="shared" si="80"/>
        <v>0</v>
      </c>
      <c r="AE291" s="25">
        <f t="shared" si="80"/>
        <v>0</v>
      </c>
      <c r="AF291" s="25">
        <f t="shared" si="80"/>
        <v>0</v>
      </c>
      <c r="AG291" s="25">
        <f t="shared" si="80"/>
        <v>0</v>
      </c>
      <c r="AH291" s="25">
        <f t="shared" si="80"/>
        <v>0</v>
      </c>
      <c r="AI291" s="26">
        <f t="shared" si="80"/>
        <v>0</v>
      </c>
      <c r="AJ291" s="117"/>
      <c r="AK291" s="117"/>
      <c r="AL291" s="118"/>
    </row>
    <row r="292" spans="1:38" ht="30">
      <c r="A292" s="131" t="s">
        <v>627</v>
      </c>
      <c r="B292" s="415" t="s">
        <v>149</v>
      </c>
      <c r="C292" s="174"/>
      <c r="D292" s="175"/>
      <c r="E292" s="381" t="e">
        <f>IF((#REF!-C292)/(D292-C292)&lt;0,0,IF((#REF!-C292)/(D292-C292)&gt;100%,100%,(#REF!-C292)/(D292-C292)))</f>
        <v>#REF!</v>
      </c>
      <c r="F292" s="188"/>
      <c r="G292" s="165"/>
      <c r="H292" s="381" t="e">
        <f>IF((#REF!-F292)/(G292-F292)&lt;0,0,IF((#REF!-F292)/(G292-F292)&gt;100%,100%,(#REF!-F292)/(G292-F292)))</f>
        <v>#REF!</v>
      </c>
      <c r="I292" s="182" t="e">
        <f t="shared" si="71"/>
        <v>#REF!</v>
      </c>
      <c r="J292" s="25">
        <f t="shared" si="77"/>
        <v>0</v>
      </c>
      <c r="K292" s="26">
        <f t="shared" si="77"/>
        <v>0</v>
      </c>
      <c r="L292" s="25">
        <f t="shared" si="77"/>
        <v>0</v>
      </c>
      <c r="M292" s="25">
        <f t="shared" si="79"/>
        <v>0</v>
      </c>
      <c r="N292" s="25">
        <f t="shared" si="79"/>
        <v>0</v>
      </c>
      <c r="O292" s="25">
        <f t="shared" si="79"/>
        <v>0</v>
      </c>
      <c r="P292" s="25">
        <f t="shared" si="79"/>
        <v>0</v>
      </c>
      <c r="Q292" s="25">
        <f t="shared" si="79"/>
        <v>0</v>
      </c>
      <c r="R292" s="25">
        <f t="shared" si="79"/>
        <v>0</v>
      </c>
      <c r="S292" s="25">
        <f t="shared" si="79"/>
        <v>0</v>
      </c>
      <c r="T292" s="25">
        <f t="shared" si="79"/>
        <v>0</v>
      </c>
      <c r="U292" s="25">
        <f t="shared" si="79"/>
        <v>0</v>
      </c>
      <c r="V292" s="25">
        <f t="shared" si="79"/>
        <v>0</v>
      </c>
      <c r="W292" s="26">
        <f t="shared" si="79"/>
        <v>0</v>
      </c>
      <c r="X292" s="27">
        <f t="shared" si="79"/>
        <v>0</v>
      </c>
      <c r="Y292" s="25">
        <f t="shared" si="79"/>
        <v>0</v>
      </c>
      <c r="Z292" s="25">
        <f t="shared" si="79"/>
        <v>0</v>
      </c>
      <c r="AA292" s="25">
        <f t="shared" si="80"/>
        <v>0</v>
      </c>
      <c r="AB292" s="25">
        <f t="shared" si="80"/>
        <v>0</v>
      </c>
      <c r="AC292" s="25">
        <f t="shared" si="80"/>
        <v>0</v>
      </c>
      <c r="AD292" s="25">
        <f t="shared" si="80"/>
        <v>0</v>
      </c>
      <c r="AE292" s="25">
        <f t="shared" si="80"/>
        <v>0</v>
      </c>
      <c r="AF292" s="25">
        <f t="shared" si="80"/>
        <v>0</v>
      </c>
      <c r="AG292" s="25">
        <f t="shared" si="80"/>
        <v>0</v>
      </c>
      <c r="AH292" s="25">
        <f t="shared" si="80"/>
        <v>0</v>
      </c>
      <c r="AI292" s="26">
        <f t="shared" si="80"/>
        <v>0</v>
      </c>
      <c r="AJ292" s="117"/>
      <c r="AK292" s="117"/>
      <c r="AL292" s="118"/>
    </row>
    <row r="293" spans="1:38" ht="16">
      <c r="A293" s="131" t="s">
        <v>628</v>
      </c>
      <c r="B293" s="415" t="s">
        <v>333</v>
      </c>
      <c r="C293" s="174"/>
      <c r="D293" s="175"/>
      <c r="E293" s="381" t="e">
        <f>IF((#REF!-C293)/(D293-C293)&lt;0,0,IF((#REF!-C293)/(D293-C293)&gt;100%,100%,(#REF!-C293)/(D293-C293)))</f>
        <v>#REF!</v>
      </c>
      <c r="F293" s="188"/>
      <c r="G293" s="165"/>
      <c r="H293" s="381" t="e">
        <f>IF((#REF!-F293)/(G293-F293)&lt;0,0,IF((#REF!-F293)/(G293-F293)&gt;100%,100%,(#REF!-F293)/(G293-F293)))</f>
        <v>#REF!</v>
      </c>
      <c r="I293" s="182" t="e">
        <f t="shared" si="71"/>
        <v>#REF!</v>
      </c>
      <c r="J293" s="25">
        <f t="shared" si="77"/>
        <v>0</v>
      </c>
      <c r="K293" s="26">
        <f t="shared" si="77"/>
        <v>0</v>
      </c>
      <c r="L293" s="25">
        <f t="shared" si="77"/>
        <v>0</v>
      </c>
      <c r="M293" s="25">
        <f t="shared" si="79"/>
        <v>0</v>
      </c>
      <c r="N293" s="25">
        <f t="shared" si="79"/>
        <v>0</v>
      </c>
      <c r="O293" s="25">
        <f t="shared" si="79"/>
        <v>0</v>
      </c>
      <c r="P293" s="25">
        <f t="shared" si="79"/>
        <v>0</v>
      </c>
      <c r="Q293" s="25">
        <f t="shared" si="79"/>
        <v>0</v>
      </c>
      <c r="R293" s="25">
        <f t="shared" si="79"/>
        <v>0</v>
      </c>
      <c r="S293" s="25">
        <f t="shared" si="79"/>
        <v>0</v>
      </c>
      <c r="T293" s="25">
        <f t="shared" si="79"/>
        <v>0</v>
      </c>
      <c r="U293" s="25">
        <f t="shared" si="79"/>
        <v>0</v>
      </c>
      <c r="V293" s="25">
        <f t="shared" si="79"/>
        <v>0</v>
      </c>
      <c r="W293" s="26">
        <f t="shared" si="79"/>
        <v>0</v>
      </c>
      <c r="X293" s="27">
        <f t="shared" si="79"/>
        <v>0</v>
      </c>
      <c r="Y293" s="25">
        <f t="shared" si="79"/>
        <v>0</v>
      </c>
      <c r="Z293" s="25">
        <f t="shared" si="79"/>
        <v>0</v>
      </c>
      <c r="AA293" s="25">
        <f t="shared" si="80"/>
        <v>0</v>
      </c>
      <c r="AB293" s="25">
        <f t="shared" si="80"/>
        <v>0</v>
      </c>
      <c r="AC293" s="25">
        <f t="shared" si="80"/>
        <v>0</v>
      </c>
      <c r="AD293" s="25">
        <f t="shared" si="80"/>
        <v>0</v>
      </c>
      <c r="AE293" s="25">
        <f t="shared" si="80"/>
        <v>0</v>
      </c>
      <c r="AF293" s="25">
        <f t="shared" si="80"/>
        <v>0</v>
      </c>
      <c r="AG293" s="25">
        <f t="shared" si="80"/>
        <v>0</v>
      </c>
      <c r="AH293" s="25">
        <f t="shared" si="80"/>
        <v>0</v>
      </c>
      <c r="AI293" s="26">
        <f t="shared" si="80"/>
        <v>0</v>
      </c>
      <c r="AJ293" s="117"/>
      <c r="AK293" s="117"/>
      <c r="AL293" s="118"/>
    </row>
    <row r="294" spans="1:38" ht="16" hidden="1" outlineLevel="1">
      <c r="A294" s="113" t="s">
        <v>654</v>
      </c>
      <c r="B294" s="419" t="s">
        <v>150</v>
      </c>
      <c r="C294" s="172"/>
      <c r="D294" s="173"/>
      <c r="E294" s="378" t="e">
        <f>IF((#REF!-C294)/(D294-C294)&lt;0,0,IF((#REF!-C294)/(D294-C294)&gt;100%,100%,(#REF!-C294)/(D294-C294)))</f>
        <v>#REF!</v>
      </c>
      <c r="F294" s="186"/>
      <c r="G294" s="187"/>
      <c r="H294" s="378" t="e">
        <f>IF((#REF!-F294)/(G294-F294)&lt;0,0,IF((#REF!-F294)/(G294-F294)&gt;100%,100%,(#REF!-F294)/(G294-F294)))</f>
        <v>#REF!</v>
      </c>
      <c r="I294" s="182" t="e">
        <f t="shared" si="71"/>
        <v>#REF!</v>
      </c>
      <c r="J294" s="25">
        <f t="shared" si="77"/>
        <v>0</v>
      </c>
      <c r="K294" s="26">
        <f t="shared" si="77"/>
        <v>0</v>
      </c>
      <c r="L294" s="25">
        <f t="shared" si="77"/>
        <v>0</v>
      </c>
      <c r="M294" s="25">
        <f t="shared" si="79"/>
        <v>0</v>
      </c>
      <c r="N294" s="25">
        <f t="shared" si="79"/>
        <v>0</v>
      </c>
      <c r="O294" s="25">
        <f t="shared" si="79"/>
        <v>0</v>
      </c>
      <c r="P294" s="25">
        <f t="shared" si="79"/>
        <v>0</v>
      </c>
      <c r="Q294" s="25">
        <f t="shared" si="79"/>
        <v>0</v>
      </c>
      <c r="R294" s="25">
        <f t="shared" si="79"/>
        <v>0</v>
      </c>
      <c r="S294" s="25">
        <f t="shared" si="79"/>
        <v>0</v>
      </c>
      <c r="T294" s="25">
        <f t="shared" si="79"/>
        <v>0</v>
      </c>
      <c r="U294" s="25">
        <f t="shared" si="79"/>
        <v>0</v>
      </c>
      <c r="V294" s="25">
        <f t="shared" si="79"/>
        <v>0</v>
      </c>
      <c r="W294" s="26">
        <f t="shared" si="79"/>
        <v>0</v>
      </c>
      <c r="X294" s="27">
        <f t="shared" si="79"/>
        <v>0</v>
      </c>
      <c r="Y294" s="25">
        <f t="shared" si="79"/>
        <v>0</v>
      </c>
      <c r="Z294" s="25">
        <f t="shared" si="79"/>
        <v>0</v>
      </c>
      <c r="AA294" s="25">
        <f t="shared" si="80"/>
        <v>0</v>
      </c>
      <c r="AB294" s="25">
        <f t="shared" si="80"/>
        <v>0</v>
      </c>
      <c r="AC294" s="25">
        <f t="shared" si="80"/>
        <v>0</v>
      </c>
      <c r="AD294" s="25">
        <f t="shared" si="80"/>
        <v>0</v>
      </c>
      <c r="AE294" s="25">
        <f t="shared" si="80"/>
        <v>0</v>
      </c>
      <c r="AF294" s="25">
        <f t="shared" si="80"/>
        <v>0</v>
      </c>
      <c r="AG294" s="25">
        <f t="shared" si="80"/>
        <v>0</v>
      </c>
      <c r="AH294" s="25">
        <f t="shared" si="80"/>
        <v>0</v>
      </c>
      <c r="AI294" s="26">
        <f t="shared" si="80"/>
        <v>0</v>
      </c>
      <c r="AJ294" s="114"/>
      <c r="AK294" s="114"/>
      <c r="AL294" s="115"/>
    </row>
    <row r="295" spans="1:38" ht="30" hidden="1" outlineLevel="1">
      <c r="A295" s="113" t="s">
        <v>655</v>
      </c>
      <c r="B295" s="419" t="s">
        <v>151</v>
      </c>
      <c r="C295" s="172"/>
      <c r="D295" s="173"/>
      <c r="E295" s="378" t="e">
        <f>IF((#REF!-C295)/(D295-C295)&lt;0,0,IF((#REF!-C295)/(D295-C295)&gt;100%,100%,(#REF!-C295)/(D295-C295)))</f>
        <v>#REF!</v>
      </c>
      <c r="F295" s="186"/>
      <c r="G295" s="187"/>
      <c r="H295" s="378" t="e">
        <f>IF((#REF!-F295)/(G295-F295)&lt;0,0,IF((#REF!-F295)/(G295-F295)&gt;100%,100%,(#REF!-F295)/(G295-F295)))</f>
        <v>#REF!</v>
      </c>
      <c r="I295" s="182" t="e">
        <f t="shared" si="71"/>
        <v>#REF!</v>
      </c>
      <c r="J295" s="25">
        <f t="shared" si="77"/>
        <v>0</v>
      </c>
      <c r="K295" s="26">
        <f t="shared" si="77"/>
        <v>0</v>
      </c>
      <c r="L295" s="25">
        <f t="shared" si="77"/>
        <v>0</v>
      </c>
      <c r="M295" s="25">
        <f t="shared" si="79"/>
        <v>0</v>
      </c>
      <c r="N295" s="25">
        <f t="shared" si="79"/>
        <v>0</v>
      </c>
      <c r="O295" s="25">
        <f t="shared" si="79"/>
        <v>0</v>
      </c>
      <c r="P295" s="25">
        <f t="shared" si="79"/>
        <v>0</v>
      </c>
      <c r="Q295" s="25">
        <f t="shared" si="79"/>
        <v>0</v>
      </c>
      <c r="R295" s="25">
        <f t="shared" si="79"/>
        <v>0</v>
      </c>
      <c r="S295" s="25">
        <f t="shared" si="79"/>
        <v>0</v>
      </c>
      <c r="T295" s="25">
        <f t="shared" si="79"/>
        <v>0</v>
      </c>
      <c r="U295" s="25">
        <f t="shared" si="79"/>
        <v>0</v>
      </c>
      <c r="V295" s="25">
        <f t="shared" si="79"/>
        <v>0</v>
      </c>
      <c r="W295" s="26">
        <f t="shared" si="79"/>
        <v>0</v>
      </c>
      <c r="X295" s="27">
        <f t="shared" si="79"/>
        <v>0</v>
      </c>
      <c r="Y295" s="25">
        <f t="shared" si="79"/>
        <v>0</v>
      </c>
      <c r="Z295" s="25">
        <f t="shared" si="79"/>
        <v>0</v>
      </c>
      <c r="AA295" s="25">
        <f t="shared" si="80"/>
        <v>0</v>
      </c>
      <c r="AB295" s="25">
        <f t="shared" si="80"/>
        <v>0</v>
      </c>
      <c r="AC295" s="25">
        <f t="shared" si="80"/>
        <v>0</v>
      </c>
      <c r="AD295" s="25">
        <f t="shared" si="80"/>
        <v>0</v>
      </c>
      <c r="AE295" s="25">
        <f t="shared" si="80"/>
        <v>0</v>
      </c>
      <c r="AF295" s="25">
        <f t="shared" si="80"/>
        <v>0</v>
      </c>
      <c r="AG295" s="25">
        <f t="shared" si="80"/>
        <v>0</v>
      </c>
      <c r="AH295" s="25">
        <f t="shared" si="80"/>
        <v>0</v>
      </c>
      <c r="AI295" s="26">
        <f t="shared" si="80"/>
        <v>0</v>
      </c>
      <c r="AJ295" s="114"/>
      <c r="AK295" s="114"/>
      <c r="AL295" s="115"/>
    </row>
    <row r="296" spans="1:38" ht="30" collapsed="1">
      <c r="A296" s="131" t="s">
        <v>629</v>
      </c>
      <c r="B296" s="415" t="s">
        <v>152</v>
      </c>
      <c r="C296" s="174"/>
      <c r="D296" s="175"/>
      <c r="E296" s="381" t="e">
        <f>IF((#REF!-C296)/(D296-C296)&lt;0,0,IF((#REF!-C296)/(D296-C296)&gt;100%,100%,(#REF!-C296)/(D296-C296)))</f>
        <v>#REF!</v>
      </c>
      <c r="F296" s="188"/>
      <c r="G296" s="165"/>
      <c r="H296" s="381" t="e">
        <f>IF((#REF!-F296)/(G296-F296)&lt;0,0,IF((#REF!-F296)/(G296-F296)&gt;100%,100%,(#REF!-F296)/(G296-F296)))</f>
        <v>#REF!</v>
      </c>
      <c r="I296" s="182" t="e">
        <f t="shared" si="71"/>
        <v>#REF!</v>
      </c>
      <c r="J296" s="25">
        <f t="shared" si="77"/>
        <v>0</v>
      </c>
      <c r="K296" s="26">
        <f t="shared" si="77"/>
        <v>0</v>
      </c>
      <c r="L296" s="25">
        <f t="shared" si="77"/>
        <v>0</v>
      </c>
      <c r="M296" s="25">
        <f t="shared" si="79"/>
        <v>0</v>
      </c>
      <c r="N296" s="25">
        <f t="shared" si="79"/>
        <v>0</v>
      </c>
      <c r="O296" s="25">
        <f t="shared" si="79"/>
        <v>0</v>
      </c>
      <c r="P296" s="25">
        <f t="shared" si="79"/>
        <v>0</v>
      </c>
      <c r="Q296" s="25">
        <f t="shared" si="79"/>
        <v>0</v>
      </c>
      <c r="R296" s="25">
        <f t="shared" si="79"/>
        <v>0</v>
      </c>
      <c r="S296" s="25">
        <f t="shared" si="79"/>
        <v>0</v>
      </c>
      <c r="T296" s="25">
        <f t="shared" si="79"/>
        <v>0</v>
      </c>
      <c r="U296" s="25">
        <f t="shared" si="79"/>
        <v>0</v>
      </c>
      <c r="V296" s="25">
        <f t="shared" si="79"/>
        <v>0</v>
      </c>
      <c r="W296" s="26">
        <f t="shared" si="79"/>
        <v>0</v>
      </c>
      <c r="X296" s="27">
        <f t="shared" si="79"/>
        <v>0</v>
      </c>
      <c r="Y296" s="25">
        <f t="shared" si="79"/>
        <v>0</v>
      </c>
      <c r="Z296" s="25">
        <f t="shared" si="79"/>
        <v>0</v>
      </c>
      <c r="AA296" s="25">
        <f t="shared" si="80"/>
        <v>0</v>
      </c>
      <c r="AB296" s="25">
        <f t="shared" si="80"/>
        <v>0</v>
      </c>
      <c r="AC296" s="25">
        <f t="shared" si="80"/>
        <v>0</v>
      </c>
      <c r="AD296" s="25">
        <f t="shared" si="80"/>
        <v>0</v>
      </c>
      <c r="AE296" s="25">
        <f t="shared" si="80"/>
        <v>0</v>
      </c>
      <c r="AF296" s="25">
        <f t="shared" si="80"/>
        <v>0</v>
      </c>
      <c r="AG296" s="25">
        <f t="shared" si="80"/>
        <v>0</v>
      </c>
      <c r="AH296" s="25">
        <f t="shared" si="80"/>
        <v>0</v>
      </c>
      <c r="AI296" s="26">
        <f t="shared" si="80"/>
        <v>0</v>
      </c>
      <c r="AJ296" s="117"/>
      <c r="AK296" s="117"/>
      <c r="AL296" s="118"/>
    </row>
    <row r="297" spans="1:38" ht="16" hidden="1" outlineLevel="1">
      <c r="A297" s="113" t="s">
        <v>656</v>
      </c>
      <c r="B297" s="419" t="s">
        <v>153</v>
      </c>
      <c r="C297" s="172"/>
      <c r="D297" s="173"/>
      <c r="E297" s="378" t="e">
        <f>IF((#REF!-C297)/(D297-C297)&lt;0,0,IF((#REF!-C297)/(D297-C297)&gt;100%,100%,(#REF!-C297)/(D297-C297)))</f>
        <v>#REF!</v>
      </c>
      <c r="F297" s="186"/>
      <c r="G297" s="187"/>
      <c r="H297" s="378" t="e">
        <f>IF((#REF!-F297)/(G297-F297)&lt;0,0,IF((#REF!-F297)/(G297-F297)&gt;100%,100%,(#REF!-F297)/(G297-F297)))</f>
        <v>#REF!</v>
      </c>
      <c r="I297" s="182" t="e">
        <f t="shared" si="71"/>
        <v>#REF!</v>
      </c>
      <c r="J297" s="25">
        <f t="shared" si="77"/>
        <v>0</v>
      </c>
      <c r="K297" s="26">
        <f t="shared" si="77"/>
        <v>0</v>
      </c>
      <c r="L297" s="25">
        <f t="shared" si="77"/>
        <v>0</v>
      </c>
      <c r="M297" s="25">
        <f t="shared" si="79"/>
        <v>0</v>
      </c>
      <c r="N297" s="25">
        <f t="shared" si="79"/>
        <v>0</v>
      </c>
      <c r="O297" s="25">
        <f t="shared" si="79"/>
        <v>0</v>
      </c>
      <c r="P297" s="25">
        <f t="shared" si="79"/>
        <v>0</v>
      </c>
      <c r="Q297" s="25">
        <f t="shared" si="79"/>
        <v>0</v>
      </c>
      <c r="R297" s="25">
        <f t="shared" si="79"/>
        <v>0</v>
      </c>
      <c r="S297" s="25">
        <f t="shared" si="79"/>
        <v>0</v>
      </c>
      <c r="T297" s="25">
        <f t="shared" si="79"/>
        <v>0</v>
      </c>
      <c r="U297" s="25">
        <f t="shared" si="79"/>
        <v>0</v>
      </c>
      <c r="V297" s="25">
        <f t="shared" si="79"/>
        <v>0</v>
      </c>
      <c r="W297" s="26">
        <f t="shared" si="79"/>
        <v>0</v>
      </c>
      <c r="X297" s="27">
        <f t="shared" si="79"/>
        <v>0</v>
      </c>
      <c r="Y297" s="25">
        <f t="shared" si="79"/>
        <v>0</v>
      </c>
      <c r="Z297" s="25">
        <f t="shared" si="79"/>
        <v>0</v>
      </c>
      <c r="AA297" s="25">
        <f t="shared" si="80"/>
        <v>0</v>
      </c>
      <c r="AB297" s="25">
        <f t="shared" si="80"/>
        <v>0</v>
      </c>
      <c r="AC297" s="25">
        <f t="shared" si="80"/>
        <v>0</v>
      </c>
      <c r="AD297" s="25">
        <f t="shared" si="80"/>
        <v>0</v>
      </c>
      <c r="AE297" s="25">
        <f t="shared" si="80"/>
        <v>0</v>
      </c>
      <c r="AF297" s="25">
        <f t="shared" si="80"/>
        <v>0</v>
      </c>
      <c r="AG297" s="25">
        <f t="shared" si="80"/>
        <v>0</v>
      </c>
      <c r="AH297" s="25">
        <f t="shared" si="80"/>
        <v>0</v>
      </c>
      <c r="AI297" s="26">
        <f t="shared" si="80"/>
        <v>0</v>
      </c>
      <c r="AJ297" s="114"/>
      <c r="AK297" s="114"/>
      <c r="AL297" s="115"/>
    </row>
    <row r="298" spans="1:38" ht="30" hidden="1" outlineLevel="1">
      <c r="A298" s="113" t="s">
        <v>657</v>
      </c>
      <c r="B298" s="419" t="s">
        <v>154</v>
      </c>
      <c r="C298" s="172"/>
      <c r="D298" s="173"/>
      <c r="E298" s="378" t="e">
        <f>IF((#REF!-C298)/(D298-C298)&lt;0,0,IF((#REF!-C298)/(D298-C298)&gt;100%,100%,(#REF!-C298)/(D298-C298)))</f>
        <v>#REF!</v>
      </c>
      <c r="F298" s="186"/>
      <c r="G298" s="187"/>
      <c r="H298" s="378" t="e">
        <f>IF((#REF!-F298)/(G298-F298)&lt;0,0,IF((#REF!-F298)/(G298-F298)&gt;100%,100%,(#REF!-F298)/(G298-F298)))</f>
        <v>#REF!</v>
      </c>
      <c r="I298" s="182" t="e">
        <f t="shared" si="71"/>
        <v>#REF!</v>
      </c>
      <c r="J298" s="25">
        <f t="shared" si="77"/>
        <v>0</v>
      </c>
      <c r="K298" s="26">
        <f t="shared" si="77"/>
        <v>0</v>
      </c>
      <c r="L298" s="25">
        <f t="shared" si="77"/>
        <v>0</v>
      </c>
      <c r="M298" s="25">
        <f t="shared" si="79"/>
        <v>0</v>
      </c>
      <c r="N298" s="25">
        <f t="shared" si="79"/>
        <v>0</v>
      </c>
      <c r="O298" s="25">
        <f t="shared" si="79"/>
        <v>0</v>
      </c>
      <c r="P298" s="25">
        <f t="shared" si="79"/>
        <v>0</v>
      </c>
      <c r="Q298" s="25">
        <f t="shared" si="79"/>
        <v>0</v>
      </c>
      <c r="R298" s="25">
        <f t="shared" si="79"/>
        <v>0</v>
      </c>
      <c r="S298" s="25">
        <f t="shared" si="79"/>
        <v>0</v>
      </c>
      <c r="T298" s="25">
        <f t="shared" si="79"/>
        <v>0</v>
      </c>
      <c r="U298" s="25">
        <f t="shared" si="79"/>
        <v>0</v>
      </c>
      <c r="V298" s="25">
        <f t="shared" si="79"/>
        <v>0</v>
      </c>
      <c r="W298" s="26">
        <f t="shared" si="79"/>
        <v>0</v>
      </c>
      <c r="X298" s="27">
        <f t="shared" si="79"/>
        <v>0</v>
      </c>
      <c r="Y298" s="25">
        <f t="shared" si="79"/>
        <v>0</v>
      </c>
      <c r="Z298" s="25">
        <f t="shared" si="79"/>
        <v>0</v>
      </c>
      <c r="AA298" s="25">
        <f t="shared" si="80"/>
        <v>0</v>
      </c>
      <c r="AB298" s="25">
        <f t="shared" si="80"/>
        <v>0</v>
      </c>
      <c r="AC298" s="25">
        <f t="shared" si="80"/>
        <v>0</v>
      </c>
      <c r="AD298" s="25">
        <f t="shared" si="80"/>
        <v>0</v>
      </c>
      <c r="AE298" s="25">
        <f t="shared" si="80"/>
        <v>0</v>
      </c>
      <c r="AF298" s="25">
        <f t="shared" si="80"/>
        <v>0</v>
      </c>
      <c r="AG298" s="25">
        <f t="shared" si="80"/>
        <v>0</v>
      </c>
      <c r="AH298" s="25">
        <f t="shared" si="80"/>
        <v>0</v>
      </c>
      <c r="AI298" s="26">
        <f t="shared" si="80"/>
        <v>0</v>
      </c>
      <c r="AJ298" s="114"/>
      <c r="AK298" s="114"/>
      <c r="AL298" s="115"/>
    </row>
    <row r="299" spans="1:38" ht="16" hidden="1" outlineLevel="1">
      <c r="A299" s="113" t="s">
        <v>658</v>
      </c>
      <c r="B299" s="419" t="s">
        <v>155</v>
      </c>
      <c r="C299" s="172"/>
      <c r="D299" s="173"/>
      <c r="E299" s="378" t="e">
        <f>IF((#REF!-C299)/(D299-C299)&lt;0,0,IF((#REF!-C299)/(D299-C299)&gt;100%,100%,(#REF!-C299)/(D299-C299)))</f>
        <v>#REF!</v>
      </c>
      <c r="F299" s="186"/>
      <c r="G299" s="187"/>
      <c r="H299" s="378" t="e">
        <f>IF((#REF!-F299)/(G299-F299)&lt;0,0,IF((#REF!-F299)/(G299-F299)&gt;100%,100%,(#REF!-F299)/(G299-F299)))</f>
        <v>#REF!</v>
      </c>
      <c r="I299" s="182" t="e">
        <f t="shared" si="71"/>
        <v>#REF!</v>
      </c>
      <c r="J299" s="25">
        <f t="shared" si="77"/>
        <v>0</v>
      </c>
      <c r="K299" s="26">
        <f t="shared" si="77"/>
        <v>0</v>
      </c>
      <c r="L299" s="25">
        <f t="shared" si="77"/>
        <v>0</v>
      </c>
      <c r="M299" s="25">
        <f t="shared" si="79"/>
        <v>0</v>
      </c>
      <c r="N299" s="25">
        <f t="shared" si="79"/>
        <v>0</v>
      </c>
      <c r="O299" s="25">
        <f t="shared" si="79"/>
        <v>0</v>
      </c>
      <c r="P299" s="25">
        <f t="shared" si="79"/>
        <v>0</v>
      </c>
      <c r="Q299" s="25">
        <f t="shared" si="79"/>
        <v>0</v>
      </c>
      <c r="R299" s="25">
        <f t="shared" si="79"/>
        <v>0</v>
      </c>
      <c r="S299" s="25">
        <f t="shared" si="79"/>
        <v>0</v>
      </c>
      <c r="T299" s="25">
        <f t="shared" si="79"/>
        <v>0</v>
      </c>
      <c r="U299" s="25">
        <f t="shared" si="79"/>
        <v>0</v>
      </c>
      <c r="V299" s="25">
        <f t="shared" si="79"/>
        <v>0</v>
      </c>
      <c r="W299" s="26">
        <f t="shared" si="79"/>
        <v>0</v>
      </c>
      <c r="X299" s="27">
        <f t="shared" si="79"/>
        <v>0</v>
      </c>
      <c r="Y299" s="25">
        <f t="shared" si="79"/>
        <v>0</v>
      </c>
      <c r="Z299" s="25">
        <f t="shared" si="79"/>
        <v>0</v>
      </c>
      <c r="AA299" s="25">
        <f t="shared" si="80"/>
        <v>0</v>
      </c>
      <c r="AB299" s="25">
        <f t="shared" si="80"/>
        <v>0</v>
      </c>
      <c r="AC299" s="25">
        <f t="shared" si="80"/>
        <v>0</v>
      </c>
      <c r="AD299" s="25">
        <f t="shared" si="80"/>
        <v>0</v>
      </c>
      <c r="AE299" s="25">
        <f t="shared" si="80"/>
        <v>0</v>
      </c>
      <c r="AF299" s="25">
        <f t="shared" si="80"/>
        <v>0</v>
      </c>
      <c r="AG299" s="25">
        <f t="shared" si="80"/>
        <v>0</v>
      </c>
      <c r="AH299" s="25">
        <f t="shared" si="80"/>
        <v>0</v>
      </c>
      <c r="AI299" s="26">
        <f t="shared" si="80"/>
        <v>0</v>
      </c>
      <c r="AJ299" s="114"/>
      <c r="AK299" s="114"/>
      <c r="AL299" s="115"/>
    </row>
    <row r="300" spans="1:38" ht="16" hidden="1" outlineLevel="1">
      <c r="A300" s="113" t="s">
        <v>659</v>
      </c>
      <c r="B300" s="419" t="s">
        <v>296</v>
      </c>
      <c r="C300" s="172"/>
      <c r="D300" s="173"/>
      <c r="E300" s="378" t="e">
        <f>IF((#REF!-C300)/(D300-C300)&lt;0,0,IF((#REF!-C300)/(D300-C300)&gt;100%,100%,(#REF!-C300)/(D300-C300)))</f>
        <v>#REF!</v>
      </c>
      <c r="F300" s="186"/>
      <c r="G300" s="187"/>
      <c r="H300" s="378" t="e">
        <f>IF((#REF!-F300)/(G300-F300)&lt;0,0,IF((#REF!-F300)/(G300-F300)&gt;100%,100%,(#REF!-F300)/(G300-F300)))</f>
        <v>#REF!</v>
      </c>
      <c r="I300" s="182" t="e">
        <f t="shared" si="71"/>
        <v>#REF!</v>
      </c>
      <c r="J300" s="25">
        <f t="shared" si="77"/>
        <v>0</v>
      </c>
      <c r="K300" s="26">
        <f t="shared" si="77"/>
        <v>0</v>
      </c>
      <c r="L300" s="25">
        <f t="shared" si="77"/>
        <v>0</v>
      </c>
      <c r="M300" s="25">
        <f t="shared" si="79"/>
        <v>0</v>
      </c>
      <c r="N300" s="25">
        <f t="shared" si="79"/>
        <v>0</v>
      </c>
      <c r="O300" s="25">
        <f t="shared" si="79"/>
        <v>0</v>
      </c>
      <c r="P300" s="25">
        <f t="shared" si="79"/>
        <v>0</v>
      </c>
      <c r="Q300" s="25">
        <f t="shared" si="79"/>
        <v>0</v>
      </c>
      <c r="R300" s="25">
        <f t="shared" si="79"/>
        <v>0</v>
      </c>
      <c r="S300" s="25">
        <f t="shared" si="79"/>
        <v>0</v>
      </c>
      <c r="T300" s="25">
        <f t="shared" si="79"/>
        <v>0</v>
      </c>
      <c r="U300" s="25">
        <f t="shared" si="79"/>
        <v>0</v>
      </c>
      <c r="V300" s="25">
        <f t="shared" si="79"/>
        <v>0</v>
      </c>
      <c r="W300" s="26">
        <f t="shared" si="79"/>
        <v>0</v>
      </c>
      <c r="X300" s="27">
        <f t="shared" si="79"/>
        <v>0</v>
      </c>
      <c r="Y300" s="25">
        <f t="shared" si="79"/>
        <v>0</v>
      </c>
      <c r="Z300" s="25">
        <f t="shared" si="79"/>
        <v>0</v>
      </c>
      <c r="AA300" s="25">
        <f t="shared" si="80"/>
        <v>0</v>
      </c>
      <c r="AB300" s="25">
        <f t="shared" si="80"/>
        <v>0</v>
      </c>
      <c r="AC300" s="25">
        <f t="shared" si="80"/>
        <v>0</v>
      </c>
      <c r="AD300" s="25">
        <f t="shared" si="80"/>
        <v>0</v>
      </c>
      <c r="AE300" s="25">
        <f t="shared" si="80"/>
        <v>0</v>
      </c>
      <c r="AF300" s="25">
        <f t="shared" si="80"/>
        <v>0</v>
      </c>
      <c r="AG300" s="25">
        <f t="shared" si="80"/>
        <v>0</v>
      </c>
      <c r="AH300" s="25">
        <f t="shared" si="80"/>
        <v>0</v>
      </c>
      <c r="AI300" s="26">
        <f t="shared" si="80"/>
        <v>0</v>
      </c>
      <c r="AJ300" s="114"/>
      <c r="AK300" s="114"/>
      <c r="AL300" s="115"/>
    </row>
    <row r="301" spans="1:38" ht="16" collapsed="1">
      <c r="A301" s="131" t="s">
        <v>630</v>
      </c>
      <c r="B301" s="415" t="s">
        <v>156</v>
      </c>
      <c r="C301" s="174"/>
      <c r="D301" s="175"/>
      <c r="E301" s="381" t="e">
        <f>IF((#REF!-C301)/(D301-C301)&lt;0,0,IF((#REF!-C301)/(D301-C301)&gt;100%,100%,(#REF!-C301)/(D301-C301)))</f>
        <v>#REF!</v>
      </c>
      <c r="F301" s="188"/>
      <c r="G301" s="165"/>
      <c r="H301" s="381" t="e">
        <f>IF((#REF!-F301)/(G301-F301)&lt;0,0,IF((#REF!-F301)/(G301-F301)&gt;100%,100%,(#REF!-F301)/(G301-F301)))</f>
        <v>#REF!</v>
      </c>
      <c r="I301" s="182" t="e">
        <f t="shared" si="71"/>
        <v>#REF!</v>
      </c>
      <c r="J301" s="25">
        <f t="shared" si="77"/>
        <v>0</v>
      </c>
      <c r="K301" s="26">
        <f t="shared" si="77"/>
        <v>0</v>
      </c>
      <c r="L301" s="25">
        <f t="shared" si="77"/>
        <v>0</v>
      </c>
      <c r="M301" s="25">
        <f t="shared" si="79"/>
        <v>0</v>
      </c>
      <c r="N301" s="25">
        <f t="shared" si="79"/>
        <v>0</v>
      </c>
      <c r="O301" s="25">
        <f t="shared" si="79"/>
        <v>0</v>
      </c>
      <c r="P301" s="25">
        <f t="shared" si="79"/>
        <v>0</v>
      </c>
      <c r="Q301" s="25">
        <f t="shared" si="79"/>
        <v>0</v>
      </c>
      <c r="R301" s="25">
        <f t="shared" si="79"/>
        <v>0</v>
      </c>
      <c r="S301" s="25">
        <f t="shared" si="79"/>
        <v>0</v>
      </c>
      <c r="T301" s="25">
        <f t="shared" si="79"/>
        <v>0</v>
      </c>
      <c r="U301" s="25">
        <f t="shared" si="79"/>
        <v>0</v>
      </c>
      <c r="V301" s="25">
        <f t="shared" si="79"/>
        <v>0</v>
      </c>
      <c r="W301" s="26">
        <f t="shared" si="79"/>
        <v>0</v>
      </c>
      <c r="X301" s="27">
        <f t="shared" si="79"/>
        <v>0</v>
      </c>
      <c r="Y301" s="25">
        <f t="shared" si="79"/>
        <v>0</v>
      </c>
      <c r="Z301" s="25">
        <f t="shared" si="79"/>
        <v>0</v>
      </c>
      <c r="AA301" s="25">
        <f t="shared" si="80"/>
        <v>0</v>
      </c>
      <c r="AB301" s="25">
        <f t="shared" si="80"/>
        <v>0</v>
      </c>
      <c r="AC301" s="25">
        <f t="shared" si="80"/>
        <v>0</v>
      </c>
      <c r="AD301" s="25">
        <f t="shared" si="80"/>
        <v>0</v>
      </c>
      <c r="AE301" s="25">
        <f t="shared" si="80"/>
        <v>0</v>
      </c>
      <c r="AF301" s="25">
        <f t="shared" si="80"/>
        <v>0</v>
      </c>
      <c r="AG301" s="25">
        <f t="shared" si="80"/>
        <v>0</v>
      </c>
      <c r="AH301" s="25">
        <f t="shared" si="80"/>
        <v>0</v>
      </c>
      <c r="AI301" s="26">
        <f t="shared" si="80"/>
        <v>0</v>
      </c>
      <c r="AJ301" s="117"/>
      <c r="AK301" s="117"/>
      <c r="AL301" s="118"/>
    </row>
    <row r="302" spans="1:38" ht="55.75" hidden="1" customHeight="1" outlineLevel="1">
      <c r="A302" s="113" t="s">
        <v>660</v>
      </c>
      <c r="B302" s="419" t="s">
        <v>157</v>
      </c>
      <c r="C302" s="172"/>
      <c r="D302" s="173"/>
      <c r="E302" s="378" t="e">
        <f>IF((#REF!-C302)/(D302-C302)&lt;0,0,IF((#REF!-C302)/(D302-C302)&gt;100%,100%,(#REF!-C302)/(D302-C302)))</f>
        <v>#REF!</v>
      </c>
      <c r="F302" s="186"/>
      <c r="G302" s="187"/>
      <c r="H302" s="378" t="e">
        <f>IF((#REF!-F302)/(G302-F302)&lt;0,0,IF((#REF!-F302)/(G302-F302)&gt;100%,100%,(#REF!-F302)/(G302-F302)))</f>
        <v>#REF!</v>
      </c>
      <c r="I302" s="182" t="e">
        <f t="shared" si="71"/>
        <v>#REF!</v>
      </c>
      <c r="J302" s="25">
        <f t="shared" ref="J302:L321" si="81">+IF(J$3&gt;=$C302,IF(J$3&lt;=$D302,1,0),0)</f>
        <v>0</v>
      </c>
      <c r="K302" s="26">
        <f t="shared" si="81"/>
        <v>0</v>
      </c>
      <c r="L302" s="25">
        <f t="shared" si="81"/>
        <v>0</v>
      </c>
      <c r="M302" s="25">
        <f t="shared" si="79"/>
        <v>0</v>
      </c>
      <c r="N302" s="25">
        <f t="shared" si="79"/>
        <v>0</v>
      </c>
      <c r="O302" s="25">
        <f t="shared" si="79"/>
        <v>0</v>
      </c>
      <c r="P302" s="25">
        <f t="shared" si="79"/>
        <v>0</v>
      </c>
      <c r="Q302" s="25">
        <f t="shared" si="79"/>
        <v>0</v>
      </c>
      <c r="R302" s="25">
        <f t="shared" si="79"/>
        <v>0</v>
      </c>
      <c r="S302" s="25">
        <f t="shared" si="79"/>
        <v>0</v>
      </c>
      <c r="T302" s="25">
        <f t="shared" si="79"/>
        <v>0</v>
      </c>
      <c r="U302" s="25">
        <f t="shared" si="79"/>
        <v>0</v>
      </c>
      <c r="V302" s="25">
        <f t="shared" si="79"/>
        <v>0</v>
      </c>
      <c r="W302" s="26">
        <f t="shared" si="79"/>
        <v>0</v>
      </c>
      <c r="X302" s="27">
        <f t="shared" si="79"/>
        <v>0</v>
      </c>
      <c r="Y302" s="25">
        <f t="shared" si="79"/>
        <v>0</v>
      </c>
      <c r="Z302" s="25">
        <f t="shared" si="79"/>
        <v>0</v>
      </c>
      <c r="AA302" s="25">
        <f t="shared" si="80"/>
        <v>0</v>
      </c>
      <c r="AB302" s="25">
        <f t="shared" si="80"/>
        <v>0</v>
      </c>
      <c r="AC302" s="25">
        <f t="shared" si="80"/>
        <v>0</v>
      </c>
      <c r="AD302" s="25">
        <f t="shared" si="80"/>
        <v>0</v>
      </c>
      <c r="AE302" s="25">
        <f t="shared" si="80"/>
        <v>0</v>
      </c>
      <c r="AF302" s="25">
        <f t="shared" si="80"/>
        <v>0</v>
      </c>
      <c r="AG302" s="25">
        <f t="shared" si="80"/>
        <v>0</v>
      </c>
      <c r="AH302" s="25">
        <f t="shared" si="80"/>
        <v>0</v>
      </c>
      <c r="AI302" s="26">
        <f t="shared" si="80"/>
        <v>0</v>
      </c>
      <c r="AJ302" s="114"/>
      <c r="AK302" s="114"/>
      <c r="AL302" s="115"/>
    </row>
    <row r="303" spans="1:38" ht="18.5" customHeight="1" collapsed="1">
      <c r="A303" s="131" t="s">
        <v>631</v>
      </c>
      <c r="B303" s="415" t="s">
        <v>158</v>
      </c>
      <c r="C303" s="174"/>
      <c r="D303" s="175"/>
      <c r="E303" s="381" t="e">
        <f>IF((#REF!-C303)/(D303-C303)&lt;0,0,IF((#REF!-C303)/(D303-C303)&gt;100%,100%,(#REF!-C303)/(D303-C303)))</f>
        <v>#REF!</v>
      </c>
      <c r="F303" s="188"/>
      <c r="G303" s="165"/>
      <c r="H303" s="381" t="e">
        <f>IF((#REF!-F303)/(G303-F303)&lt;0,0,IF((#REF!-F303)/(G303-F303)&gt;100%,100%,(#REF!-F303)/(G303-F303)))</f>
        <v>#REF!</v>
      </c>
      <c r="I303" s="182" t="e">
        <f t="shared" si="71"/>
        <v>#REF!</v>
      </c>
      <c r="J303" s="25">
        <f t="shared" si="81"/>
        <v>0</v>
      </c>
      <c r="K303" s="26">
        <f t="shared" si="81"/>
        <v>0</v>
      </c>
      <c r="L303" s="25">
        <f t="shared" si="81"/>
        <v>0</v>
      </c>
      <c r="M303" s="25">
        <f t="shared" si="79"/>
        <v>0</v>
      </c>
      <c r="N303" s="25">
        <f t="shared" si="79"/>
        <v>0</v>
      </c>
      <c r="O303" s="25">
        <f t="shared" si="79"/>
        <v>0</v>
      </c>
      <c r="P303" s="25">
        <f t="shared" si="79"/>
        <v>0</v>
      </c>
      <c r="Q303" s="25">
        <f t="shared" si="79"/>
        <v>0</v>
      </c>
      <c r="R303" s="25">
        <f t="shared" si="79"/>
        <v>0</v>
      </c>
      <c r="S303" s="25">
        <f t="shared" si="79"/>
        <v>0</v>
      </c>
      <c r="T303" s="25">
        <f t="shared" si="79"/>
        <v>0</v>
      </c>
      <c r="U303" s="25">
        <f t="shared" si="79"/>
        <v>0</v>
      </c>
      <c r="V303" s="25">
        <f t="shared" si="79"/>
        <v>0</v>
      </c>
      <c r="W303" s="26">
        <f t="shared" si="79"/>
        <v>0</v>
      </c>
      <c r="X303" s="27">
        <f t="shared" si="79"/>
        <v>0</v>
      </c>
      <c r="Y303" s="25">
        <f t="shared" si="79"/>
        <v>0</v>
      </c>
      <c r="Z303" s="25">
        <f t="shared" si="79"/>
        <v>0</v>
      </c>
      <c r="AA303" s="25">
        <f t="shared" si="80"/>
        <v>0</v>
      </c>
      <c r="AB303" s="25">
        <f t="shared" si="80"/>
        <v>0</v>
      </c>
      <c r="AC303" s="25">
        <f t="shared" si="80"/>
        <v>0</v>
      </c>
      <c r="AD303" s="25">
        <f t="shared" si="80"/>
        <v>0</v>
      </c>
      <c r="AE303" s="25">
        <f t="shared" si="80"/>
        <v>0</v>
      </c>
      <c r="AF303" s="25">
        <f t="shared" si="80"/>
        <v>0</v>
      </c>
      <c r="AG303" s="25">
        <f t="shared" si="80"/>
        <v>0</v>
      </c>
      <c r="AH303" s="25">
        <f t="shared" si="80"/>
        <v>0</v>
      </c>
      <c r="AI303" s="26">
        <f t="shared" si="80"/>
        <v>0</v>
      </c>
      <c r="AJ303" s="117"/>
      <c r="AK303" s="117"/>
      <c r="AL303" s="118"/>
    </row>
    <row r="304" spans="1:38" ht="30" hidden="1" outlineLevel="1">
      <c r="A304" s="113" t="s">
        <v>661</v>
      </c>
      <c r="B304" s="419" t="s">
        <v>159</v>
      </c>
      <c r="C304" s="172"/>
      <c r="D304" s="173"/>
      <c r="E304" s="378" t="e">
        <f>IF((#REF!-C304)/(D304-C304)&lt;0,0,IF((#REF!-C304)/(D304-C304)&gt;100%,100%,(#REF!-C304)/(D304-C304)))</f>
        <v>#REF!</v>
      </c>
      <c r="F304" s="186"/>
      <c r="G304" s="187"/>
      <c r="H304" s="378" t="e">
        <f>IF((#REF!-F304)/(G304-F304)&lt;0,0,IF((#REF!-F304)/(G304-F304)&gt;100%,100%,(#REF!-F304)/(G304-F304)))</f>
        <v>#REF!</v>
      </c>
      <c r="I304" s="182" t="e">
        <f t="shared" si="71"/>
        <v>#REF!</v>
      </c>
      <c r="J304" s="25">
        <f t="shared" si="81"/>
        <v>0</v>
      </c>
      <c r="K304" s="26">
        <f t="shared" si="81"/>
        <v>0</v>
      </c>
      <c r="L304" s="25">
        <f t="shared" si="81"/>
        <v>0</v>
      </c>
      <c r="M304" s="25">
        <f t="shared" si="79"/>
        <v>0</v>
      </c>
      <c r="N304" s="25">
        <f t="shared" si="79"/>
        <v>0</v>
      </c>
      <c r="O304" s="25">
        <f t="shared" si="79"/>
        <v>0</v>
      </c>
      <c r="P304" s="25">
        <f t="shared" si="79"/>
        <v>0</v>
      </c>
      <c r="Q304" s="25">
        <f t="shared" si="79"/>
        <v>0</v>
      </c>
      <c r="R304" s="25">
        <f t="shared" si="79"/>
        <v>0</v>
      </c>
      <c r="S304" s="25">
        <f t="shared" si="79"/>
        <v>0</v>
      </c>
      <c r="T304" s="25">
        <f t="shared" si="79"/>
        <v>0</v>
      </c>
      <c r="U304" s="25">
        <f t="shared" si="79"/>
        <v>0</v>
      </c>
      <c r="V304" s="25">
        <f t="shared" si="79"/>
        <v>0</v>
      </c>
      <c r="W304" s="26">
        <f t="shared" si="79"/>
        <v>0</v>
      </c>
      <c r="X304" s="27">
        <f t="shared" si="79"/>
        <v>0</v>
      </c>
      <c r="Y304" s="25">
        <f t="shared" si="79"/>
        <v>0</v>
      </c>
      <c r="Z304" s="25">
        <f t="shared" si="79"/>
        <v>0</v>
      </c>
      <c r="AA304" s="25">
        <f t="shared" si="80"/>
        <v>0</v>
      </c>
      <c r="AB304" s="25">
        <f t="shared" si="80"/>
        <v>0</v>
      </c>
      <c r="AC304" s="25">
        <f t="shared" si="80"/>
        <v>0</v>
      </c>
      <c r="AD304" s="25">
        <f t="shared" si="80"/>
        <v>0</v>
      </c>
      <c r="AE304" s="25">
        <f t="shared" si="80"/>
        <v>0</v>
      </c>
      <c r="AF304" s="25">
        <f t="shared" si="80"/>
        <v>0</v>
      </c>
      <c r="AG304" s="25">
        <f t="shared" si="80"/>
        <v>0</v>
      </c>
      <c r="AH304" s="25">
        <f t="shared" si="80"/>
        <v>0</v>
      </c>
      <c r="AI304" s="26">
        <f t="shared" si="80"/>
        <v>0</v>
      </c>
      <c r="AJ304" s="114"/>
      <c r="AK304" s="114"/>
      <c r="AL304" s="115"/>
    </row>
    <row r="305" spans="1:38" ht="43.75" hidden="1" customHeight="1" outlineLevel="1">
      <c r="A305" s="113" t="s">
        <v>662</v>
      </c>
      <c r="B305" s="419" t="s">
        <v>160</v>
      </c>
      <c r="C305" s="172"/>
      <c r="D305" s="173"/>
      <c r="E305" s="378" t="e">
        <f>IF((#REF!-C305)/(D305-C305)&lt;0,0,IF((#REF!-C305)/(D305-C305)&gt;100%,100%,(#REF!-C305)/(D305-C305)))</f>
        <v>#REF!</v>
      </c>
      <c r="F305" s="186"/>
      <c r="G305" s="187"/>
      <c r="H305" s="378" t="e">
        <f>IF((#REF!-F305)/(G305-F305)&lt;0,0,IF((#REF!-F305)/(G305-F305)&gt;100%,100%,(#REF!-F305)/(G305-F305)))</f>
        <v>#REF!</v>
      </c>
      <c r="I305" s="182" t="e">
        <f t="shared" ref="I305:I367" si="82">(D305-C305)/100%*(H305-E305)</f>
        <v>#REF!</v>
      </c>
      <c r="J305" s="25">
        <f t="shared" si="81"/>
        <v>0</v>
      </c>
      <c r="K305" s="26">
        <f t="shared" si="81"/>
        <v>0</v>
      </c>
      <c r="L305" s="25">
        <f t="shared" si="81"/>
        <v>0</v>
      </c>
      <c r="M305" s="25">
        <f t="shared" si="79"/>
        <v>0</v>
      </c>
      <c r="N305" s="25">
        <f t="shared" si="79"/>
        <v>0</v>
      </c>
      <c r="O305" s="25">
        <f t="shared" si="79"/>
        <v>0</v>
      </c>
      <c r="P305" s="25">
        <f t="shared" si="79"/>
        <v>0</v>
      </c>
      <c r="Q305" s="25">
        <f t="shared" si="79"/>
        <v>0</v>
      </c>
      <c r="R305" s="25">
        <f t="shared" si="79"/>
        <v>0</v>
      </c>
      <c r="S305" s="25">
        <f t="shared" si="79"/>
        <v>0</v>
      </c>
      <c r="T305" s="25">
        <f t="shared" si="79"/>
        <v>0</v>
      </c>
      <c r="U305" s="25">
        <f t="shared" si="79"/>
        <v>0</v>
      </c>
      <c r="V305" s="25">
        <f t="shared" si="79"/>
        <v>0</v>
      </c>
      <c r="W305" s="26">
        <f t="shared" si="79"/>
        <v>0</v>
      </c>
      <c r="X305" s="27">
        <f t="shared" si="79"/>
        <v>0</v>
      </c>
      <c r="Y305" s="25">
        <f t="shared" si="79"/>
        <v>0</v>
      </c>
      <c r="Z305" s="25">
        <f t="shared" si="79"/>
        <v>0</v>
      </c>
      <c r="AA305" s="25">
        <f t="shared" si="80"/>
        <v>0</v>
      </c>
      <c r="AB305" s="25">
        <f t="shared" si="80"/>
        <v>0</v>
      </c>
      <c r="AC305" s="25">
        <f t="shared" si="80"/>
        <v>0</v>
      </c>
      <c r="AD305" s="25">
        <f t="shared" si="80"/>
        <v>0</v>
      </c>
      <c r="AE305" s="25">
        <f t="shared" si="80"/>
        <v>0</v>
      </c>
      <c r="AF305" s="25">
        <f t="shared" si="80"/>
        <v>0</v>
      </c>
      <c r="AG305" s="25">
        <f t="shared" si="80"/>
        <v>0</v>
      </c>
      <c r="AH305" s="25">
        <f t="shared" si="80"/>
        <v>0</v>
      </c>
      <c r="AI305" s="26">
        <f t="shared" si="80"/>
        <v>0</v>
      </c>
      <c r="AJ305" s="114"/>
      <c r="AK305" s="114"/>
      <c r="AL305" s="115"/>
    </row>
    <row r="306" spans="1:38" ht="16" collapsed="1">
      <c r="A306" s="110" t="s">
        <v>346</v>
      </c>
      <c r="B306" s="407" t="s">
        <v>339</v>
      </c>
      <c r="C306" s="170">
        <v>46132</v>
      </c>
      <c r="D306" s="171">
        <v>46193</v>
      </c>
      <c r="E306" s="380" t="e">
        <f>IF((#REF!-C306)/(D306-C306)&lt;0,0,IF((#REF!-C306)/(D306-C306)&gt;100%,100%,(#REF!-C306)/(D306-C306)))</f>
        <v>#REF!</v>
      </c>
      <c r="F306" s="189"/>
      <c r="G306" s="190"/>
      <c r="H306" s="380" t="e">
        <f>IF((#REF!-F306)/(G306-F306)&lt;0,0,IF((#REF!-F306)/(G306-F306)&gt;100%,100%,(#REF!-F306)/(G306-F306)))</f>
        <v>#REF!</v>
      </c>
      <c r="I306" s="182" t="e">
        <f t="shared" si="82"/>
        <v>#REF!</v>
      </c>
      <c r="J306" s="25">
        <f t="shared" si="81"/>
        <v>0</v>
      </c>
      <c r="K306" s="26">
        <f t="shared" si="81"/>
        <v>0</v>
      </c>
      <c r="L306" s="25">
        <f t="shared" si="81"/>
        <v>0</v>
      </c>
      <c r="M306" s="25">
        <f t="shared" si="79"/>
        <v>0</v>
      </c>
      <c r="N306" s="25">
        <f t="shared" si="79"/>
        <v>0</v>
      </c>
      <c r="O306" s="25">
        <f t="shared" ref="M306:Z324" si="83">+IF(O$3&gt;=$C306,IF(O$3&lt;=$D306,1,0),0)</f>
        <v>1</v>
      </c>
      <c r="P306" s="25">
        <f t="shared" si="83"/>
        <v>1</v>
      </c>
      <c r="Q306" s="25">
        <f t="shared" si="83"/>
        <v>0</v>
      </c>
      <c r="R306" s="25">
        <f t="shared" si="83"/>
        <v>0</v>
      </c>
      <c r="S306" s="25">
        <f t="shared" si="83"/>
        <v>0</v>
      </c>
      <c r="T306" s="25">
        <f t="shared" si="83"/>
        <v>0</v>
      </c>
      <c r="U306" s="25">
        <f t="shared" si="83"/>
        <v>0</v>
      </c>
      <c r="V306" s="25">
        <f t="shared" si="83"/>
        <v>0</v>
      </c>
      <c r="W306" s="26">
        <f t="shared" si="83"/>
        <v>0</v>
      </c>
      <c r="X306" s="27">
        <f t="shared" si="83"/>
        <v>0</v>
      </c>
      <c r="Y306" s="25">
        <f t="shared" si="83"/>
        <v>0</v>
      </c>
      <c r="Z306" s="25">
        <f t="shared" si="83"/>
        <v>0</v>
      </c>
      <c r="AA306" s="25">
        <f t="shared" si="80"/>
        <v>0</v>
      </c>
      <c r="AB306" s="25">
        <f t="shared" si="80"/>
        <v>0</v>
      </c>
      <c r="AC306" s="25">
        <f t="shared" si="80"/>
        <v>0</v>
      </c>
      <c r="AD306" s="25">
        <f t="shared" si="80"/>
        <v>0</v>
      </c>
      <c r="AE306" s="25">
        <f t="shared" si="80"/>
        <v>0</v>
      </c>
      <c r="AF306" s="25">
        <f t="shared" si="80"/>
        <v>0</v>
      </c>
      <c r="AG306" s="25">
        <f t="shared" si="80"/>
        <v>0</v>
      </c>
      <c r="AH306" s="25">
        <f t="shared" si="80"/>
        <v>0</v>
      </c>
      <c r="AI306" s="26">
        <f t="shared" si="80"/>
        <v>0</v>
      </c>
      <c r="AJ306" s="111"/>
      <c r="AK306" s="111"/>
      <c r="AL306" s="112"/>
    </row>
    <row r="307" spans="1:38" ht="16" hidden="1" outlineLevel="1">
      <c r="A307" s="113" t="s">
        <v>349</v>
      </c>
      <c r="B307" s="420" t="s">
        <v>302</v>
      </c>
      <c r="C307" s="172"/>
      <c r="D307" s="173"/>
      <c r="E307" s="378" t="e">
        <f>IF((#REF!-C307)/(D307-C307)&lt;0,0,IF((#REF!-C307)/(D307-C307)&gt;100%,100%,(#REF!-C307)/(D307-C307)))</f>
        <v>#REF!</v>
      </c>
      <c r="F307" s="186"/>
      <c r="G307" s="187"/>
      <c r="H307" s="378" t="e">
        <f>IF((#REF!-F307)/(G307-F307)&lt;0,0,IF((#REF!-F307)/(G307-F307)&gt;100%,100%,(#REF!-F307)/(G307-F307)))</f>
        <v>#REF!</v>
      </c>
      <c r="I307" s="182" t="e">
        <f t="shared" si="82"/>
        <v>#REF!</v>
      </c>
      <c r="J307" s="25">
        <f t="shared" si="81"/>
        <v>0</v>
      </c>
      <c r="K307" s="26">
        <f t="shared" si="81"/>
        <v>0</v>
      </c>
      <c r="L307" s="25">
        <f t="shared" si="81"/>
        <v>0</v>
      </c>
      <c r="M307" s="25">
        <f t="shared" si="83"/>
        <v>0</v>
      </c>
      <c r="N307" s="25">
        <f t="shared" si="83"/>
        <v>0</v>
      </c>
      <c r="O307" s="25">
        <f t="shared" si="83"/>
        <v>0</v>
      </c>
      <c r="P307" s="25">
        <f t="shared" si="83"/>
        <v>0</v>
      </c>
      <c r="Q307" s="25">
        <f t="shared" si="83"/>
        <v>0</v>
      </c>
      <c r="R307" s="25">
        <f t="shared" si="83"/>
        <v>0</v>
      </c>
      <c r="S307" s="25">
        <f t="shared" si="83"/>
        <v>0</v>
      </c>
      <c r="T307" s="25">
        <f t="shared" si="83"/>
        <v>0</v>
      </c>
      <c r="U307" s="25">
        <f t="shared" si="83"/>
        <v>0</v>
      </c>
      <c r="V307" s="25">
        <f t="shared" si="83"/>
        <v>0</v>
      </c>
      <c r="W307" s="26">
        <f t="shared" si="83"/>
        <v>0</v>
      </c>
      <c r="X307" s="27">
        <f t="shared" si="83"/>
        <v>0</v>
      </c>
      <c r="Y307" s="25">
        <f t="shared" si="83"/>
        <v>0</v>
      </c>
      <c r="Z307" s="25">
        <f t="shared" si="83"/>
        <v>0</v>
      </c>
      <c r="AA307" s="25">
        <f t="shared" si="80"/>
        <v>0</v>
      </c>
      <c r="AB307" s="25">
        <f t="shared" si="80"/>
        <v>0</v>
      </c>
      <c r="AC307" s="25">
        <f t="shared" si="80"/>
        <v>0</v>
      </c>
      <c r="AD307" s="25">
        <f t="shared" si="80"/>
        <v>0</v>
      </c>
      <c r="AE307" s="25">
        <f t="shared" si="80"/>
        <v>0</v>
      </c>
      <c r="AF307" s="25">
        <f t="shared" si="80"/>
        <v>0</v>
      </c>
      <c r="AG307" s="25">
        <f t="shared" si="80"/>
        <v>0</v>
      </c>
      <c r="AH307" s="25">
        <f t="shared" si="80"/>
        <v>0</v>
      </c>
      <c r="AI307" s="26">
        <f t="shared" si="80"/>
        <v>0</v>
      </c>
      <c r="AJ307" s="114"/>
      <c r="AK307" s="114"/>
      <c r="AL307" s="115"/>
    </row>
    <row r="308" spans="1:38" ht="58.25" hidden="1" customHeight="1" outlineLevel="1">
      <c r="A308" s="113" t="s">
        <v>350</v>
      </c>
      <c r="B308" s="420" t="s">
        <v>741</v>
      </c>
      <c r="C308" s="172"/>
      <c r="D308" s="173"/>
      <c r="E308" s="378" t="e">
        <f>IF((#REF!-C308)/(D308-C308)&lt;0,0,IF((#REF!-C308)/(D308-C308)&gt;100%,100%,(#REF!-C308)/(D308-C308)))</f>
        <v>#REF!</v>
      </c>
      <c r="F308" s="186"/>
      <c r="G308" s="187"/>
      <c r="H308" s="378" t="e">
        <f>IF((#REF!-F308)/(G308-F308)&lt;0,0,IF((#REF!-F308)/(G308-F308)&gt;100%,100%,(#REF!-F308)/(G308-F308)))</f>
        <v>#REF!</v>
      </c>
      <c r="I308" s="182" t="e">
        <f t="shared" si="82"/>
        <v>#REF!</v>
      </c>
      <c r="J308" s="25">
        <f t="shared" si="81"/>
        <v>0</v>
      </c>
      <c r="K308" s="26">
        <f t="shared" si="81"/>
        <v>0</v>
      </c>
      <c r="L308" s="25">
        <f t="shared" si="81"/>
        <v>0</v>
      </c>
      <c r="M308" s="25">
        <f t="shared" si="83"/>
        <v>0</v>
      </c>
      <c r="N308" s="25">
        <f t="shared" si="83"/>
        <v>0</v>
      </c>
      <c r="O308" s="25">
        <f t="shared" si="83"/>
        <v>0</v>
      </c>
      <c r="P308" s="25">
        <f t="shared" si="83"/>
        <v>0</v>
      </c>
      <c r="Q308" s="25">
        <f t="shared" si="83"/>
        <v>0</v>
      </c>
      <c r="R308" s="25">
        <f t="shared" si="83"/>
        <v>0</v>
      </c>
      <c r="S308" s="25">
        <f t="shared" si="83"/>
        <v>0</v>
      </c>
      <c r="T308" s="25">
        <f t="shared" si="83"/>
        <v>0</v>
      </c>
      <c r="U308" s="25">
        <f t="shared" si="83"/>
        <v>0</v>
      </c>
      <c r="V308" s="25">
        <f t="shared" si="83"/>
        <v>0</v>
      </c>
      <c r="W308" s="26">
        <f t="shared" si="83"/>
        <v>0</v>
      </c>
      <c r="X308" s="27">
        <f t="shared" si="83"/>
        <v>0</v>
      </c>
      <c r="Y308" s="25">
        <f t="shared" si="83"/>
        <v>0</v>
      </c>
      <c r="Z308" s="25">
        <f t="shared" si="83"/>
        <v>0</v>
      </c>
      <c r="AA308" s="25">
        <f t="shared" si="80"/>
        <v>0</v>
      </c>
      <c r="AB308" s="25">
        <f t="shared" si="80"/>
        <v>0</v>
      </c>
      <c r="AC308" s="25">
        <f t="shared" si="80"/>
        <v>0</v>
      </c>
      <c r="AD308" s="25">
        <f t="shared" si="80"/>
        <v>0</v>
      </c>
      <c r="AE308" s="25">
        <f t="shared" si="80"/>
        <v>0</v>
      </c>
      <c r="AF308" s="25">
        <f t="shared" si="80"/>
        <v>0</v>
      </c>
      <c r="AG308" s="25">
        <f t="shared" si="80"/>
        <v>0</v>
      </c>
      <c r="AH308" s="25">
        <f t="shared" si="80"/>
        <v>0</v>
      </c>
      <c r="AI308" s="26">
        <f t="shared" si="80"/>
        <v>0</v>
      </c>
      <c r="AJ308" s="114"/>
      <c r="AK308" s="114"/>
      <c r="AL308" s="115"/>
    </row>
    <row r="309" spans="1:38" ht="16" hidden="1" outlineLevel="1">
      <c r="A309" s="113" t="s">
        <v>663</v>
      </c>
      <c r="B309" s="420" t="s">
        <v>303</v>
      </c>
      <c r="C309" s="172"/>
      <c r="D309" s="173"/>
      <c r="E309" s="378" t="e">
        <f>IF((#REF!-C309)/(D309-C309)&lt;0,0,IF((#REF!-C309)/(D309-C309)&gt;100%,100%,(#REF!-C309)/(D309-C309)))</f>
        <v>#REF!</v>
      </c>
      <c r="F309" s="186"/>
      <c r="G309" s="187"/>
      <c r="H309" s="378" t="e">
        <f>IF((#REF!-F309)/(G309-F309)&lt;0,0,IF((#REF!-F309)/(G309-F309)&gt;100%,100%,(#REF!-F309)/(G309-F309)))</f>
        <v>#REF!</v>
      </c>
      <c r="I309" s="182" t="e">
        <f t="shared" si="82"/>
        <v>#REF!</v>
      </c>
      <c r="J309" s="25">
        <f t="shared" si="81"/>
        <v>0</v>
      </c>
      <c r="K309" s="26">
        <f t="shared" si="81"/>
        <v>0</v>
      </c>
      <c r="L309" s="25">
        <f t="shared" si="81"/>
        <v>0</v>
      </c>
      <c r="M309" s="25">
        <f t="shared" si="83"/>
        <v>0</v>
      </c>
      <c r="N309" s="25">
        <f t="shared" si="83"/>
        <v>0</v>
      </c>
      <c r="O309" s="25">
        <f t="shared" si="83"/>
        <v>0</v>
      </c>
      <c r="P309" s="25">
        <f t="shared" si="83"/>
        <v>0</v>
      </c>
      <c r="Q309" s="25">
        <f t="shared" si="83"/>
        <v>0</v>
      </c>
      <c r="R309" s="25">
        <f t="shared" si="83"/>
        <v>0</v>
      </c>
      <c r="S309" s="25">
        <f t="shared" si="83"/>
        <v>0</v>
      </c>
      <c r="T309" s="25">
        <f t="shared" si="83"/>
        <v>0</v>
      </c>
      <c r="U309" s="25">
        <f t="shared" si="83"/>
        <v>0</v>
      </c>
      <c r="V309" s="25">
        <f t="shared" si="83"/>
        <v>0</v>
      </c>
      <c r="W309" s="26">
        <f t="shared" si="83"/>
        <v>0</v>
      </c>
      <c r="X309" s="27">
        <f t="shared" si="83"/>
        <v>0</v>
      </c>
      <c r="Y309" s="25">
        <f t="shared" si="83"/>
        <v>0</v>
      </c>
      <c r="Z309" s="25">
        <f t="shared" si="83"/>
        <v>0</v>
      </c>
      <c r="AA309" s="25">
        <f t="shared" si="80"/>
        <v>0</v>
      </c>
      <c r="AB309" s="25">
        <f t="shared" si="80"/>
        <v>0</v>
      </c>
      <c r="AC309" s="25">
        <f t="shared" si="80"/>
        <v>0</v>
      </c>
      <c r="AD309" s="25">
        <f t="shared" si="80"/>
        <v>0</v>
      </c>
      <c r="AE309" s="25">
        <f t="shared" si="80"/>
        <v>0</v>
      </c>
      <c r="AF309" s="25">
        <f t="shared" si="80"/>
        <v>0</v>
      </c>
      <c r="AG309" s="25">
        <f t="shared" si="80"/>
        <v>0</v>
      </c>
      <c r="AH309" s="25">
        <f t="shared" si="80"/>
        <v>0</v>
      </c>
      <c r="AI309" s="26">
        <f t="shared" si="80"/>
        <v>0</v>
      </c>
      <c r="AJ309" s="114"/>
      <c r="AK309" s="114"/>
      <c r="AL309" s="115"/>
    </row>
    <row r="310" spans="1:38" ht="16" hidden="1" outlineLevel="1">
      <c r="A310" s="113" t="s">
        <v>664</v>
      </c>
      <c r="B310" s="420" t="s">
        <v>163</v>
      </c>
      <c r="C310" s="172"/>
      <c r="D310" s="173"/>
      <c r="E310" s="378" t="e">
        <f>IF((#REF!-C310)/(D310-C310)&lt;0,0,IF((#REF!-C310)/(D310-C310)&gt;100%,100%,(#REF!-C310)/(D310-C310)))</f>
        <v>#REF!</v>
      </c>
      <c r="F310" s="186"/>
      <c r="G310" s="187"/>
      <c r="H310" s="378" t="e">
        <f>IF((#REF!-F310)/(G310-F310)&lt;0,0,IF((#REF!-F310)/(G310-F310)&gt;100%,100%,(#REF!-F310)/(G310-F310)))</f>
        <v>#REF!</v>
      </c>
      <c r="I310" s="182" t="e">
        <f t="shared" si="82"/>
        <v>#REF!</v>
      </c>
      <c r="J310" s="25">
        <f t="shared" si="81"/>
        <v>0</v>
      </c>
      <c r="K310" s="26">
        <f t="shared" si="81"/>
        <v>0</v>
      </c>
      <c r="L310" s="25">
        <f t="shared" si="81"/>
        <v>0</v>
      </c>
      <c r="M310" s="25">
        <f t="shared" si="83"/>
        <v>0</v>
      </c>
      <c r="N310" s="25">
        <f t="shared" si="83"/>
        <v>0</v>
      </c>
      <c r="O310" s="25">
        <f t="shared" si="83"/>
        <v>0</v>
      </c>
      <c r="P310" s="25">
        <f t="shared" si="83"/>
        <v>0</v>
      </c>
      <c r="Q310" s="25">
        <f t="shared" si="83"/>
        <v>0</v>
      </c>
      <c r="R310" s="25">
        <f t="shared" si="83"/>
        <v>0</v>
      </c>
      <c r="S310" s="25">
        <f t="shared" si="83"/>
        <v>0</v>
      </c>
      <c r="T310" s="25">
        <f t="shared" si="83"/>
        <v>0</v>
      </c>
      <c r="U310" s="25">
        <f t="shared" si="83"/>
        <v>0</v>
      </c>
      <c r="V310" s="25">
        <f t="shared" si="83"/>
        <v>0</v>
      </c>
      <c r="W310" s="26">
        <f t="shared" si="83"/>
        <v>0</v>
      </c>
      <c r="X310" s="27">
        <f t="shared" si="83"/>
        <v>0</v>
      </c>
      <c r="Y310" s="25">
        <f t="shared" si="83"/>
        <v>0</v>
      </c>
      <c r="Z310" s="25">
        <f t="shared" si="83"/>
        <v>0</v>
      </c>
      <c r="AA310" s="25">
        <f t="shared" si="80"/>
        <v>0</v>
      </c>
      <c r="AB310" s="25">
        <f t="shared" si="80"/>
        <v>0</v>
      </c>
      <c r="AC310" s="25">
        <f t="shared" si="80"/>
        <v>0</v>
      </c>
      <c r="AD310" s="25">
        <f t="shared" si="80"/>
        <v>0</v>
      </c>
      <c r="AE310" s="25">
        <f t="shared" si="80"/>
        <v>0</v>
      </c>
      <c r="AF310" s="25">
        <f t="shared" si="80"/>
        <v>0</v>
      </c>
      <c r="AG310" s="25">
        <f t="shared" si="80"/>
        <v>0</v>
      </c>
      <c r="AH310" s="25">
        <f t="shared" si="80"/>
        <v>0</v>
      </c>
      <c r="AI310" s="26">
        <f t="shared" si="80"/>
        <v>0</v>
      </c>
      <c r="AJ310" s="114"/>
      <c r="AK310" s="114"/>
      <c r="AL310" s="115"/>
    </row>
    <row r="311" spans="1:38" ht="18" hidden="1" customHeight="1" outlineLevel="1">
      <c r="A311" s="113" t="s">
        <v>665</v>
      </c>
      <c r="B311" s="420" t="s">
        <v>164</v>
      </c>
      <c r="C311" s="172"/>
      <c r="D311" s="173"/>
      <c r="E311" s="378" t="e">
        <f>IF((#REF!-C311)/(D311-C311)&lt;0,0,IF((#REF!-C311)/(D311-C311)&gt;100%,100%,(#REF!-C311)/(D311-C311)))</f>
        <v>#REF!</v>
      </c>
      <c r="F311" s="186"/>
      <c r="G311" s="187"/>
      <c r="H311" s="378" t="e">
        <f>IF((#REF!-F311)/(G311-F311)&lt;0,0,IF((#REF!-F311)/(G311-F311)&gt;100%,100%,(#REF!-F311)/(G311-F311)))</f>
        <v>#REF!</v>
      </c>
      <c r="I311" s="182" t="e">
        <f t="shared" si="82"/>
        <v>#REF!</v>
      </c>
      <c r="J311" s="25">
        <f t="shared" si="81"/>
        <v>0</v>
      </c>
      <c r="K311" s="26">
        <f t="shared" si="81"/>
        <v>0</v>
      </c>
      <c r="L311" s="25">
        <f t="shared" si="81"/>
        <v>0</v>
      </c>
      <c r="M311" s="25">
        <f t="shared" si="83"/>
        <v>0</v>
      </c>
      <c r="N311" s="25">
        <f t="shared" si="83"/>
        <v>0</v>
      </c>
      <c r="O311" s="25">
        <f t="shared" si="83"/>
        <v>0</v>
      </c>
      <c r="P311" s="25">
        <f t="shared" si="83"/>
        <v>0</v>
      </c>
      <c r="Q311" s="25">
        <f t="shared" si="83"/>
        <v>0</v>
      </c>
      <c r="R311" s="25">
        <f t="shared" si="83"/>
        <v>0</v>
      </c>
      <c r="S311" s="25">
        <f t="shared" si="83"/>
        <v>0</v>
      </c>
      <c r="T311" s="25">
        <f t="shared" si="83"/>
        <v>0</v>
      </c>
      <c r="U311" s="25">
        <f t="shared" si="83"/>
        <v>0</v>
      </c>
      <c r="V311" s="25">
        <f t="shared" si="83"/>
        <v>0</v>
      </c>
      <c r="W311" s="26">
        <f t="shared" si="83"/>
        <v>0</v>
      </c>
      <c r="X311" s="27">
        <f t="shared" si="83"/>
        <v>0</v>
      </c>
      <c r="Y311" s="25">
        <f t="shared" si="83"/>
        <v>0</v>
      </c>
      <c r="Z311" s="25">
        <f t="shared" si="83"/>
        <v>0</v>
      </c>
      <c r="AA311" s="25">
        <f t="shared" si="80"/>
        <v>0</v>
      </c>
      <c r="AB311" s="25">
        <f t="shared" si="80"/>
        <v>0</v>
      </c>
      <c r="AC311" s="25">
        <f t="shared" si="80"/>
        <v>0</v>
      </c>
      <c r="AD311" s="25">
        <f t="shared" si="80"/>
        <v>0</v>
      </c>
      <c r="AE311" s="25">
        <f t="shared" si="80"/>
        <v>0</v>
      </c>
      <c r="AF311" s="25">
        <f t="shared" si="80"/>
        <v>0</v>
      </c>
      <c r="AG311" s="25">
        <f t="shared" si="80"/>
        <v>0</v>
      </c>
      <c r="AH311" s="25">
        <f t="shared" si="80"/>
        <v>0</v>
      </c>
      <c r="AI311" s="26">
        <f t="shared" si="80"/>
        <v>0</v>
      </c>
      <c r="AJ311" s="114"/>
      <c r="AK311" s="114"/>
      <c r="AL311" s="115"/>
    </row>
    <row r="312" spans="1:38" ht="16" hidden="1" outlineLevel="1">
      <c r="A312" s="113" t="s">
        <v>666</v>
      </c>
      <c r="B312" s="420" t="s">
        <v>301</v>
      </c>
      <c r="C312" s="172"/>
      <c r="D312" s="173"/>
      <c r="E312" s="378" t="e">
        <f>IF((#REF!-C312)/(D312-C312)&lt;0,0,IF((#REF!-C312)/(D312-C312)&gt;100%,100%,(#REF!-C312)/(D312-C312)))</f>
        <v>#REF!</v>
      </c>
      <c r="F312" s="186"/>
      <c r="G312" s="187"/>
      <c r="H312" s="378" t="e">
        <f>IF((#REF!-F312)/(G312-F312)&lt;0,0,IF((#REF!-F312)/(G312-F312)&gt;100%,100%,(#REF!-F312)/(G312-F312)))</f>
        <v>#REF!</v>
      </c>
      <c r="I312" s="182" t="e">
        <f t="shared" si="82"/>
        <v>#REF!</v>
      </c>
      <c r="J312" s="25">
        <f t="shared" si="81"/>
        <v>0</v>
      </c>
      <c r="K312" s="26">
        <f t="shared" si="81"/>
        <v>0</v>
      </c>
      <c r="L312" s="25">
        <f t="shared" si="81"/>
        <v>0</v>
      </c>
      <c r="M312" s="25">
        <f t="shared" si="83"/>
        <v>0</v>
      </c>
      <c r="N312" s="25">
        <f t="shared" si="83"/>
        <v>0</v>
      </c>
      <c r="O312" s="25">
        <f t="shared" si="83"/>
        <v>0</v>
      </c>
      <c r="P312" s="25">
        <f t="shared" si="83"/>
        <v>0</v>
      </c>
      <c r="Q312" s="25">
        <f t="shared" si="83"/>
        <v>0</v>
      </c>
      <c r="R312" s="25">
        <f t="shared" si="83"/>
        <v>0</v>
      </c>
      <c r="S312" s="25">
        <f t="shared" si="83"/>
        <v>0</v>
      </c>
      <c r="T312" s="25">
        <f t="shared" si="83"/>
        <v>0</v>
      </c>
      <c r="U312" s="25">
        <f t="shared" si="83"/>
        <v>0</v>
      </c>
      <c r="V312" s="25">
        <f t="shared" si="83"/>
        <v>0</v>
      </c>
      <c r="W312" s="26">
        <f t="shared" si="83"/>
        <v>0</v>
      </c>
      <c r="X312" s="27">
        <f t="shared" si="83"/>
        <v>0</v>
      </c>
      <c r="Y312" s="25">
        <f t="shared" si="83"/>
        <v>0</v>
      </c>
      <c r="Z312" s="25">
        <f t="shared" si="83"/>
        <v>0</v>
      </c>
      <c r="AA312" s="25">
        <f t="shared" si="80"/>
        <v>0</v>
      </c>
      <c r="AB312" s="25">
        <f t="shared" si="80"/>
        <v>0</v>
      </c>
      <c r="AC312" s="25">
        <f t="shared" si="80"/>
        <v>0</v>
      </c>
      <c r="AD312" s="25">
        <f t="shared" si="80"/>
        <v>0</v>
      </c>
      <c r="AE312" s="25">
        <f t="shared" si="80"/>
        <v>0</v>
      </c>
      <c r="AF312" s="25">
        <f t="shared" si="80"/>
        <v>0</v>
      </c>
      <c r="AG312" s="25">
        <f t="shared" si="80"/>
        <v>0</v>
      </c>
      <c r="AH312" s="25">
        <f t="shared" si="80"/>
        <v>0</v>
      </c>
      <c r="AI312" s="26">
        <f t="shared" si="80"/>
        <v>0</v>
      </c>
      <c r="AJ312" s="114"/>
      <c r="AK312" s="114"/>
      <c r="AL312" s="115"/>
    </row>
    <row r="313" spans="1:38" ht="16" hidden="1" outlineLevel="1">
      <c r="A313" s="113" t="s">
        <v>667</v>
      </c>
      <c r="B313" s="420" t="s">
        <v>165</v>
      </c>
      <c r="C313" s="172"/>
      <c r="D313" s="173"/>
      <c r="E313" s="378" t="e">
        <f>IF((#REF!-C313)/(D313-C313)&lt;0,0,IF((#REF!-C313)/(D313-C313)&gt;100%,100%,(#REF!-C313)/(D313-C313)))</f>
        <v>#REF!</v>
      </c>
      <c r="F313" s="186"/>
      <c r="G313" s="187"/>
      <c r="H313" s="378" t="e">
        <f>IF((#REF!-F313)/(G313-F313)&lt;0,0,IF((#REF!-F313)/(G313-F313)&gt;100%,100%,(#REF!-F313)/(G313-F313)))</f>
        <v>#REF!</v>
      </c>
      <c r="I313" s="182" t="e">
        <f t="shared" si="82"/>
        <v>#REF!</v>
      </c>
      <c r="J313" s="25">
        <f t="shared" si="81"/>
        <v>0</v>
      </c>
      <c r="K313" s="26">
        <f t="shared" si="81"/>
        <v>0</v>
      </c>
      <c r="L313" s="25">
        <f t="shared" si="81"/>
        <v>0</v>
      </c>
      <c r="M313" s="25">
        <f t="shared" si="83"/>
        <v>0</v>
      </c>
      <c r="N313" s="25">
        <f t="shared" si="83"/>
        <v>0</v>
      </c>
      <c r="O313" s="25">
        <f t="shared" si="83"/>
        <v>0</v>
      </c>
      <c r="P313" s="25">
        <f t="shared" si="83"/>
        <v>0</v>
      </c>
      <c r="Q313" s="25">
        <f t="shared" si="83"/>
        <v>0</v>
      </c>
      <c r="R313" s="25">
        <f t="shared" si="83"/>
        <v>0</v>
      </c>
      <c r="S313" s="25">
        <f t="shared" si="83"/>
        <v>0</v>
      </c>
      <c r="T313" s="25">
        <f t="shared" si="83"/>
        <v>0</v>
      </c>
      <c r="U313" s="25">
        <f t="shared" si="83"/>
        <v>0</v>
      </c>
      <c r="V313" s="25">
        <f t="shared" si="83"/>
        <v>0</v>
      </c>
      <c r="W313" s="26">
        <f t="shared" si="83"/>
        <v>0</v>
      </c>
      <c r="X313" s="27">
        <f t="shared" si="83"/>
        <v>0</v>
      </c>
      <c r="Y313" s="25">
        <f t="shared" si="83"/>
        <v>0</v>
      </c>
      <c r="Z313" s="25">
        <f t="shared" si="83"/>
        <v>0</v>
      </c>
      <c r="AA313" s="25">
        <f t="shared" si="80"/>
        <v>0</v>
      </c>
      <c r="AB313" s="25">
        <f t="shared" si="80"/>
        <v>0</v>
      </c>
      <c r="AC313" s="25">
        <f t="shared" si="80"/>
        <v>0</v>
      </c>
      <c r="AD313" s="25">
        <f t="shared" si="80"/>
        <v>0</v>
      </c>
      <c r="AE313" s="25">
        <f t="shared" si="80"/>
        <v>0</v>
      </c>
      <c r="AF313" s="25">
        <f t="shared" si="80"/>
        <v>0</v>
      </c>
      <c r="AG313" s="25">
        <f t="shared" si="80"/>
        <v>0</v>
      </c>
      <c r="AH313" s="25">
        <f t="shared" si="80"/>
        <v>0</v>
      </c>
      <c r="AI313" s="26">
        <f t="shared" si="80"/>
        <v>0</v>
      </c>
      <c r="AJ313" s="114"/>
      <c r="AK313" s="114"/>
      <c r="AL313" s="115"/>
    </row>
    <row r="314" spans="1:38" ht="16" collapsed="1">
      <c r="A314" s="110" t="s">
        <v>351</v>
      </c>
      <c r="B314" s="407" t="s">
        <v>342</v>
      </c>
      <c r="C314" s="170">
        <v>46188</v>
      </c>
      <c r="D314" s="171">
        <v>46198</v>
      </c>
      <c r="E314" s="380" t="e">
        <f>IF((#REF!-C314)/(D314-C314)&lt;0,0,IF((#REF!-C314)/(D314-C314)&gt;100%,100%,(#REF!-C314)/(D314-C314)))</f>
        <v>#REF!</v>
      </c>
      <c r="F314" s="189"/>
      <c r="G314" s="190"/>
      <c r="H314" s="380" t="e">
        <f>IF((#REF!-F314)/(G314-F314)&lt;0,0,IF((#REF!-F314)/(G314-F314)&gt;100%,100%,(#REF!-F314)/(G314-F314)))</f>
        <v>#REF!</v>
      </c>
      <c r="I314" s="182" t="e">
        <f t="shared" si="82"/>
        <v>#REF!</v>
      </c>
      <c r="J314" s="25">
        <f t="shared" si="81"/>
        <v>0</v>
      </c>
      <c r="K314" s="26">
        <f t="shared" si="81"/>
        <v>0</v>
      </c>
      <c r="L314" s="25">
        <f t="shared" si="81"/>
        <v>0</v>
      </c>
      <c r="M314" s="25">
        <f t="shared" si="83"/>
        <v>0</v>
      </c>
      <c r="N314" s="25">
        <f t="shared" si="83"/>
        <v>0</v>
      </c>
      <c r="O314" s="25">
        <f t="shared" si="83"/>
        <v>0</v>
      </c>
      <c r="P314" s="25">
        <f t="shared" si="83"/>
        <v>0</v>
      </c>
      <c r="Q314" s="25">
        <f t="shared" si="83"/>
        <v>0</v>
      </c>
      <c r="R314" s="25">
        <f t="shared" si="83"/>
        <v>0</v>
      </c>
      <c r="S314" s="25">
        <f t="shared" si="83"/>
        <v>0</v>
      </c>
      <c r="T314" s="25">
        <f t="shared" si="83"/>
        <v>0</v>
      </c>
      <c r="U314" s="25">
        <f t="shared" si="83"/>
        <v>0</v>
      </c>
      <c r="V314" s="25">
        <f t="shared" si="83"/>
        <v>0</v>
      </c>
      <c r="W314" s="26">
        <f t="shared" si="83"/>
        <v>0</v>
      </c>
      <c r="X314" s="27">
        <f t="shared" si="83"/>
        <v>0</v>
      </c>
      <c r="Y314" s="25">
        <f t="shared" si="83"/>
        <v>0</v>
      </c>
      <c r="Z314" s="25">
        <f t="shared" si="83"/>
        <v>0</v>
      </c>
      <c r="AA314" s="25">
        <f t="shared" si="80"/>
        <v>0</v>
      </c>
      <c r="AB314" s="25">
        <f t="shared" si="80"/>
        <v>0</v>
      </c>
      <c r="AC314" s="25">
        <f t="shared" si="80"/>
        <v>0</v>
      </c>
      <c r="AD314" s="25">
        <f t="shared" si="80"/>
        <v>0</v>
      </c>
      <c r="AE314" s="25">
        <f t="shared" si="80"/>
        <v>0</v>
      </c>
      <c r="AF314" s="25">
        <f t="shared" si="80"/>
        <v>0</v>
      </c>
      <c r="AG314" s="25">
        <f t="shared" si="80"/>
        <v>0</v>
      </c>
      <c r="AH314" s="25">
        <f t="shared" si="80"/>
        <v>0</v>
      </c>
      <c r="AI314" s="26">
        <f t="shared" si="80"/>
        <v>0</v>
      </c>
      <c r="AJ314" s="111"/>
      <c r="AK314" s="111"/>
      <c r="AL314" s="112"/>
    </row>
    <row r="315" spans="1:38" ht="16" hidden="1" outlineLevel="1">
      <c r="A315" s="113" t="s">
        <v>668</v>
      </c>
      <c r="B315" s="409" t="s">
        <v>166</v>
      </c>
      <c r="C315" s="172"/>
      <c r="D315" s="173"/>
      <c r="E315" s="378" t="e">
        <f>IF((#REF!-C315)/(D315-C315)&lt;0,0,IF((#REF!-C315)/(D315-C315)&gt;100%,100%,(#REF!-C315)/(D315-C315)))</f>
        <v>#REF!</v>
      </c>
      <c r="F315" s="186"/>
      <c r="G315" s="187"/>
      <c r="H315" s="378" t="e">
        <f>IF((#REF!-F315)/(G315-F315)&lt;0,0,IF((#REF!-F315)/(G315-F315)&gt;100%,100%,(#REF!-F315)/(G315-F315)))</f>
        <v>#REF!</v>
      </c>
      <c r="I315" s="182" t="e">
        <f t="shared" si="82"/>
        <v>#REF!</v>
      </c>
      <c r="J315" s="25">
        <f t="shared" si="81"/>
        <v>0</v>
      </c>
      <c r="K315" s="26">
        <f t="shared" si="81"/>
        <v>0</v>
      </c>
      <c r="L315" s="25">
        <f t="shared" si="81"/>
        <v>0</v>
      </c>
      <c r="M315" s="25">
        <f t="shared" si="83"/>
        <v>0</v>
      </c>
      <c r="N315" s="25">
        <f t="shared" si="83"/>
        <v>0</v>
      </c>
      <c r="O315" s="25">
        <f t="shared" si="83"/>
        <v>0</v>
      </c>
      <c r="P315" s="25">
        <f t="shared" si="83"/>
        <v>0</v>
      </c>
      <c r="Q315" s="25">
        <f t="shared" si="83"/>
        <v>0</v>
      </c>
      <c r="R315" s="25">
        <f t="shared" si="83"/>
        <v>0</v>
      </c>
      <c r="S315" s="25">
        <f t="shared" si="83"/>
        <v>0</v>
      </c>
      <c r="T315" s="25">
        <f t="shared" si="83"/>
        <v>0</v>
      </c>
      <c r="U315" s="25">
        <f t="shared" si="83"/>
        <v>0</v>
      </c>
      <c r="V315" s="25">
        <f t="shared" si="83"/>
        <v>0</v>
      </c>
      <c r="W315" s="26">
        <f t="shared" si="83"/>
        <v>0</v>
      </c>
      <c r="X315" s="27">
        <f t="shared" si="83"/>
        <v>0</v>
      </c>
      <c r="Y315" s="25">
        <f t="shared" si="83"/>
        <v>0</v>
      </c>
      <c r="Z315" s="25">
        <f t="shared" si="83"/>
        <v>0</v>
      </c>
      <c r="AA315" s="25">
        <f t="shared" si="80"/>
        <v>0</v>
      </c>
      <c r="AB315" s="25">
        <f t="shared" si="80"/>
        <v>0</v>
      </c>
      <c r="AC315" s="25">
        <f t="shared" si="80"/>
        <v>0</v>
      </c>
      <c r="AD315" s="25">
        <f t="shared" si="80"/>
        <v>0</v>
      </c>
      <c r="AE315" s="25">
        <f t="shared" si="80"/>
        <v>0</v>
      </c>
      <c r="AF315" s="25">
        <f t="shared" si="80"/>
        <v>0</v>
      </c>
      <c r="AG315" s="25">
        <f t="shared" si="80"/>
        <v>0</v>
      </c>
      <c r="AH315" s="25">
        <f t="shared" si="80"/>
        <v>0</v>
      </c>
      <c r="AI315" s="26">
        <f t="shared" si="80"/>
        <v>0</v>
      </c>
      <c r="AJ315" s="114"/>
      <c r="AK315" s="114"/>
      <c r="AL315" s="115"/>
    </row>
    <row r="316" spans="1:38" ht="16" hidden="1" outlineLevel="1">
      <c r="A316" s="113" t="s">
        <v>669</v>
      </c>
      <c r="B316" s="409" t="s">
        <v>124</v>
      </c>
      <c r="C316" s="172"/>
      <c r="D316" s="173"/>
      <c r="E316" s="378" t="e">
        <f>IF((#REF!-C316)/(D316-C316)&lt;0,0,IF((#REF!-C316)/(D316-C316)&gt;100%,100%,(#REF!-C316)/(D316-C316)))</f>
        <v>#REF!</v>
      </c>
      <c r="F316" s="186"/>
      <c r="G316" s="187"/>
      <c r="H316" s="378" t="e">
        <f>IF((#REF!-F316)/(G316-F316)&lt;0,0,IF((#REF!-F316)/(G316-F316)&gt;100%,100%,(#REF!-F316)/(G316-F316)))</f>
        <v>#REF!</v>
      </c>
      <c r="I316" s="182" t="e">
        <f t="shared" si="82"/>
        <v>#REF!</v>
      </c>
      <c r="J316" s="25">
        <f t="shared" si="81"/>
        <v>0</v>
      </c>
      <c r="K316" s="26">
        <f t="shared" si="81"/>
        <v>0</v>
      </c>
      <c r="L316" s="25">
        <f t="shared" si="81"/>
        <v>0</v>
      </c>
      <c r="M316" s="25">
        <f t="shared" si="83"/>
        <v>0</v>
      </c>
      <c r="N316" s="25">
        <f t="shared" si="83"/>
        <v>0</v>
      </c>
      <c r="O316" s="25">
        <f t="shared" si="83"/>
        <v>0</v>
      </c>
      <c r="P316" s="25">
        <f t="shared" si="83"/>
        <v>0</v>
      </c>
      <c r="Q316" s="25">
        <f t="shared" si="83"/>
        <v>0</v>
      </c>
      <c r="R316" s="25">
        <f t="shared" si="83"/>
        <v>0</v>
      </c>
      <c r="S316" s="25">
        <f t="shared" si="83"/>
        <v>0</v>
      </c>
      <c r="T316" s="25">
        <f t="shared" si="83"/>
        <v>0</v>
      </c>
      <c r="U316" s="25">
        <f t="shared" si="83"/>
        <v>0</v>
      </c>
      <c r="V316" s="25">
        <f t="shared" si="83"/>
        <v>0</v>
      </c>
      <c r="W316" s="26">
        <f t="shared" si="83"/>
        <v>0</v>
      </c>
      <c r="X316" s="27">
        <f t="shared" si="83"/>
        <v>0</v>
      </c>
      <c r="Y316" s="25">
        <f t="shared" si="83"/>
        <v>0</v>
      </c>
      <c r="Z316" s="25">
        <f t="shared" si="83"/>
        <v>0</v>
      </c>
      <c r="AA316" s="25">
        <f t="shared" si="80"/>
        <v>0</v>
      </c>
      <c r="AB316" s="25">
        <f t="shared" si="80"/>
        <v>0</v>
      </c>
      <c r="AC316" s="25">
        <f t="shared" si="80"/>
        <v>0</v>
      </c>
      <c r="AD316" s="25">
        <f t="shared" si="80"/>
        <v>0</v>
      </c>
      <c r="AE316" s="25">
        <f t="shared" si="80"/>
        <v>0</v>
      </c>
      <c r="AF316" s="25">
        <f t="shared" si="80"/>
        <v>0</v>
      </c>
      <c r="AG316" s="25">
        <f t="shared" si="80"/>
        <v>0</v>
      </c>
      <c r="AH316" s="25">
        <f t="shared" si="80"/>
        <v>0</v>
      </c>
      <c r="AI316" s="26">
        <f t="shared" ref="AA316:AI344" si="84">+IF(AI$3&gt;=$C316,IF(AI$3&lt;=$D316,1,0),0)</f>
        <v>0</v>
      </c>
      <c r="AJ316" s="114"/>
      <c r="AK316" s="114"/>
      <c r="AL316" s="115"/>
    </row>
    <row r="317" spans="1:38" ht="16" hidden="1" outlineLevel="1">
      <c r="A317" s="113" t="s">
        <v>670</v>
      </c>
      <c r="B317" s="409" t="s">
        <v>167</v>
      </c>
      <c r="C317" s="172"/>
      <c r="D317" s="173"/>
      <c r="E317" s="378" t="e">
        <f>IF((#REF!-C317)/(D317-C317)&lt;0,0,IF((#REF!-C317)/(D317-C317)&gt;100%,100%,(#REF!-C317)/(D317-C317)))</f>
        <v>#REF!</v>
      </c>
      <c r="F317" s="186"/>
      <c r="G317" s="187"/>
      <c r="H317" s="378" t="e">
        <f>IF((#REF!-F317)/(G317-F317)&lt;0,0,IF((#REF!-F317)/(G317-F317)&gt;100%,100%,(#REF!-F317)/(G317-F317)))</f>
        <v>#REF!</v>
      </c>
      <c r="I317" s="182" t="e">
        <f t="shared" si="82"/>
        <v>#REF!</v>
      </c>
      <c r="J317" s="25">
        <f t="shared" si="81"/>
        <v>0</v>
      </c>
      <c r="K317" s="26">
        <f t="shared" si="81"/>
        <v>0</v>
      </c>
      <c r="L317" s="25">
        <f t="shared" si="81"/>
        <v>0</v>
      </c>
      <c r="M317" s="25">
        <f t="shared" si="83"/>
        <v>0</v>
      </c>
      <c r="N317" s="25">
        <f t="shared" si="83"/>
        <v>0</v>
      </c>
      <c r="O317" s="25">
        <f t="shared" si="83"/>
        <v>0</v>
      </c>
      <c r="P317" s="25">
        <f t="shared" si="83"/>
        <v>0</v>
      </c>
      <c r="Q317" s="25">
        <f t="shared" si="83"/>
        <v>0</v>
      </c>
      <c r="R317" s="25">
        <f t="shared" si="83"/>
        <v>0</v>
      </c>
      <c r="S317" s="25">
        <f t="shared" si="83"/>
        <v>0</v>
      </c>
      <c r="T317" s="25">
        <f t="shared" si="83"/>
        <v>0</v>
      </c>
      <c r="U317" s="25">
        <f t="shared" si="83"/>
        <v>0</v>
      </c>
      <c r="V317" s="25">
        <f t="shared" si="83"/>
        <v>0</v>
      </c>
      <c r="W317" s="26">
        <f t="shared" si="83"/>
        <v>0</v>
      </c>
      <c r="X317" s="27">
        <f t="shared" si="83"/>
        <v>0</v>
      </c>
      <c r="Y317" s="25">
        <f t="shared" si="83"/>
        <v>0</v>
      </c>
      <c r="Z317" s="25">
        <f t="shared" si="83"/>
        <v>0</v>
      </c>
      <c r="AA317" s="25">
        <f t="shared" si="84"/>
        <v>0</v>
      </c>
      <c r="AB317" s="25">
        <f t="shared" si="84"/>
        <v>0</v>
      </c>
      <c r="AC317" s="25">
        <f t="shared" si="84"/>
        <v>0</v>
      </c>
      <c r="AD317" s="25">
        <f t="shared" si="84"/>
        <v>0</v>
      </c>
      <c r="AE317" s="25">
        <f t="shared" si="84"/>
        <v>0</v>
      </c>
      <c r="AF317" s="25">
        <f t="shared" si="84"/>
        <v>0</v>
      </c>
      <c r="AG317" s="25">
        <f t="shared" si="84"/>
        <v>0</v>
      </c>
      <c r="AH317" s="25">
        <f t="shared" si="84"/>
        <v>0</v>
      </c>
      <c r="AI317" s="26">
        <f t="shared" si="84"/>
        <v>0</v>
      </c>
      <c r="AJ317" s="114"/>
      <c r="AK317" s="114"/>
      <c r="AL317" s="115"/>
    </row>
    <row r="318" spans="1:38" ht="17.5" hidden="1" customHeight="1" outlineLevel="1">
      <c r="A318" s="113" t="s">
        <v>671</v>
      </c>
      <c r="B318" s="421" t="s">
        <v>168</v>
      </c>
      <c r="C318" s="172"/>
      <c r="D318" s="173"/>
      <c r="E318" s="378" t="e">
        <f>IF((#REF!-C318)/(D318-C318)&lt;0,0,IF((#REF!-C318)/(D318-C318)&gt;100%,100%,(#REF!-C318)/(D318-C318)))</f>
        <v>#REF!</v>
      </c>
      <c r="F318" s="186"/>
      <c r="G318" s="187"/>
      <c r="H318" s="378" t="e">
        <f>IF((#REF!-F318)/(G318-F318)&lt;0,0,IF((#REF!-F318)/(G318-F318)&gt;100%,100%,(#REF!-F318)/(G318-F318)))</f>
        <v>#REF!</v>
      </c>
      <c r="I318" s="182" t="e">
        <f t="shared" si="82"/>
        <v>#REF!</v>
      </c>
      <c r="J318" s="25">
        <f t="shared" si="81"/>
        <v>0</v>
      </c>
      <c r="K318" s="26">
        <f t="shared" si="81"/>
        <v>0</v>
      </c>
      <c r="L318" s="25">
        <f t="shared" si="81"/>
        <v>0</v>
      </c>
      <c r="M318" s="25">
        <f t="shared" si="83"/>
        <v>0</v>
      </c>
      <c r="N318" s="25">
        <f t="shared" si="83"/>
        <v>0</v>
      </c>
      <c r="O318" s="25">
        <f t="shared" si="83"/>
        <v>0</v>
      </c>
      <c r="P318" s="25">
        <f t="shared" si="83"/>
        <v>0</v>
      </c>
      <c r="Q318" s="25">
        <f t="shared" si="83"/>
        <v>0</v>
      </c>
      <c r="R318" s="25">
        <f t="shared" si="83"/>
        <v>0</v>
      </c>
      <c r="S318" s="25">
        <f t="shared" si="83"/>
        <v>0</v>
      </c>
      <c r="T318" s="25">
        <f t="shared" si="83"/>
        <v>0</v>
      </c>
      <c r="U318" s="25">
        <f t="shared" si="83"/>
        <v>0</v>
      </c>
      <c r="V318" s="25">
        <f t="shared" si="83"/>
        <v>0</v>
      </c>
      <c r="W318" s="26">
        <f t="shared" si="83"/>
        <v>0</v>
      </c>
      <c r="X318" s="27">
        <f t="shared" si="83"/>
        <v>0</v>
      </c>
      <c r="Y318" s="25">
        <f t="shared" si="83"/>
        <v>0</v>
      </c>
      <c r="Z318" s="25">
        <f t="shared" si="83"/>
        <v>0</v>
      </c>
      <c r="AA318" s="25">
        <f t="shared" si="84"/>
        <v>0</v>
      </c>
      <c r="AB318" s="25">
        <f t="shared" si="84"/>
        <v>0</v>
      </c>
      <c r="AC318" s="25">
        <f t="shared" si="84"/>
        <v>0</v>
      </c>
      <c r="AD318" s="25">
        <f t="shared" si="84"/>
        <v>0</v>
      </c>
      <c r="AE318" s="25">
        <f t="shared" si="84"/>
        <v>0</v>
      </c>
      <c r="AF318" s="25">
        <f t="shared" si="84"/>
        <v>0</v>
      </c>
      <c r="AG318" s="25">
        <f t="shared" si="84"/>
        <v>0</v>
      </c>
      <c r="AH318" s="25">
        <f t="shared" si="84"/>
        <v>0</v>
      </c>
      <c r="AI318" s="26">
        <f t="shared" si="84"/>
        <v>0</v>
      </c>
      <c r="AJ318" s="114"/>
      <c r="AK318" s="114"/>
      <c r="AL318" s="115"/>
    </row>
    <row r="319" spans="1:38" ht="16.25" hidden="1" customHeight="1" outlineLevel="1">
      <c r="A319" s="113" t="s">
        <v>672</v>
      </c>
      <c r="B319" s="421" t="s">
        <v>169</v>
      </c>
      <c r="C319" s="172"/>
      <c r="D319" s="173"/>
      <c r="E319" s="378" t="e">
        <f>IF((#REF!-C319)/(D319-C319)&lt;0,0,IF((#REF!-C319)/(D319-C319)&gt;100%,100%,(#REF!-C319)/(D319-C319)))</f>
        <v>#REF!</v>
      </c>
      <c r="F319" s="186"/>
      <c r="G319" s="187"/>
      <c r="H319" s="378" t="e">
        <f>IF((#REF!-F319)/(G319-F319)&lt;0,0,IF((#REF!-F319)/(G319-F319)&gt;100%,100%,(#REF!-F319)/(G319-F319)))</f>
        <v>#REF!</v>
      </c>
      <c r="I319" s="182" t="e">
        <f t="shared" si="82"/>
        <v>#REF!</v>
      </c>
      <c r="J319" s="25">
        <f t="shared" si="81"/>
        <v>0</v>
      </c>
      <c r="K319" s="26">
        <f t="shared" si="81"/>
        <v>0</v>
      </c>
      <c r="L319" s="25">
        <f t="shared" si="81"/>
        <v>0</v>
      </c>
      <c r="M319" s="25">
        <f t="shared" si="83"/>
        <v>0</v>
      </c>
      <c r="N319" s="25">
        <f t="shared" si="83"/>
        <v>0</v>
      </c>
      <c r="O319" s="25">
        <f t="shared" si="83"/>
        <v>0</v>
      </c>
      <c r="P319" s="25">
        <f t="shared" si="83"/>
        <v>0</v>
      </c>
      <c r="Q319" s="25">
        <f t="shared" si="83"/>
        <v>0</v>
      </c>
      <c r="R319" s="25">
        <f t="shared" si="83"/>
        <v>0</v>
      </c>
      <c r="S319" s="25">
        <f t="shared" si="83"/>
        <v>0</v>
      </c>
      <c r="T319" s="25">
        <f t="shared" si="83"/>
        <v>0</v>
      </c>
      <c r="U319" s="25">
        <f t="shared" si="83"/>
        <v>0</v>
      </c>
      <c r="V319" s="25">
        <f t="shared" si="83"/>
        <v>0</v>
      </c>
      <c r="W319" s="26">
        <f t="shared" si="83"/>
        <v>0</v>
      </c>
      <c r="X319" s="27">
        <f t="shared" si="83"/>
        <v>0</v>
      </c>
      <c r="Y319" s="25">
        <f t="shared" si="83"/>
        <v>0</v>
      </c>
      <c r="Z319" s="25">
        <f t="shared" si="83"/>
        <v>0</v>
      </c>
      <c r="AA319" s="25">
        <f t="shared" si="84"/>
        <v>0</v>
      </c>
      <c r="AB319" s="25">
        <f t="shared" si="84"/>
        <v>0</v>
      </c>
      <c r="AC319" s="25">
        <f t="shared" si="84"/>
        <v>0</v>
      </c>
      <c r="AD319" s="25">
        <f t="shared" si="84"/>
        <v>0</v>
      </c>
      <c r="AE319" s="25">
        <f t="shared" si="84"/>
        <v>0</v>
      </c>
      <c r="AF319" s="25">
        <f t="shared" si="84"/>
        <v>0</v>
      </c>
      <c r="AG319" s="25">
        <f t="shared" si="84"/>
        <v>0</v>
      </c>
      <c r="AH319" s="25">
        <f t="shared" si="84"/>
        <v>0</v>
      </c>
      <c r="AI319" s="26">
        <f t="shared" si="84"/>
        <v>0</v>
      </c>
      <c r="AJ319" s="114"/>
      <c r="AK319" s="114"/>
      <c r="AL319" s="115"/>
    </row>
    <row r="320" spans="1:38" ht="17.5" hidden="1" customHeight="1" outlineLevel="1">
      <c r="A320" s="113" t="s">
        <v>673</v>
      </c>
      <c r="B320" s="420" t="s">
        <v>170</v>
      </c>
      <c r="C320" s="172"/>
      <c r="D320" s="173"/>
      <c r="E320" s="378" t="e">
        <f>IF((#REF!-C320)/(D320-C320)&lt;0,0,IF((#REF!-C320)/(D320-C320)&gt;100%,100%,(#REF!-C320)/(D320-C320)))</f>
        <v>#REF!</v>
      </c>
      <c r="F320" s="186"/>
      <c r="G320" s="187"/>
      <c r="H320" s="378" t="e">
        <f>IF((#REF!-F320)/(G320-F320)&lt;0,0,IF((#REF!-F320)/(G320-F320)&gt;100%,100%,(#REF!-F320)/(G320-F320)))</f>
        <v>#REF!</v>
      </c>
      <c r="I320" s="182" t="e">
        <f t="shared" si="82"/>
        <v>#REF!</v>
      </c>
      <c r="J320" s="25">
        <f t="shared" si="81"/>
        <v>0</v>
      </c>
      <c r="K320" s="26">
        <f t="shared" si="81"/>
        <v>0</v>
      </c>
      <c r="L320" s="25">
        <f t="shared" si="81"/>
        <v>0</v>
      </c>
      <c r="M320" s="25">
        <f t="shared" si="83"/>
        <v>0</v>
      </c>
      <c r="N320" s="25">
        <f t="shared" si="83"/>
        <v>0</v>
      </c>
      <c r="O320" s="25">
        <f t="shared" si="83"/>
        <v>0</v>
      </c>
      <c r="P320" s="25">
        <f t="shared" si="83"/>
        <v>0</v>
      </c>
      <c r="Q320" s="25">
        <f t="shared" si="83"/>
        <v>0</v>
      </c>
      <c r="R320" s="25">
        <f t="shared" si="83"/>
        <v>0</v>
      </c>
      <c r="S320" s="25">
        <f t="shared" si="83"/>
        <v>0</v>
      </c>
      <c r="T320" s="25">
        <f t="shared" si="83"/>
        <v>0</v>
      </c>
      <c r="U320" s="25">
        <f t="shared" si="83"/>
        <v>0</v>
      </c>
      <c r="V320" s="25">
        <f t="shared" si="83"/>
        <v>0</v>
      </c>
      <c r="W320" s="26">
        <f t="shared" si="83"/>
        <v>0</v>
      </c>
      <c r="X320" s="27">
        <f t="shared" si="83"/>
        <v>0</v>
      </c>
      <c r="Y320" s="25">
        <f t="shared" si="83"/>
        <v>0</v>
      </c>
      <c r="Z320" s="25">
        <f t="shared" si="83"/>
        <v>0</v>
      </c>
      <c r="AA320" s="25">
        <f t="shared" si="84"/>
        <v>0</v>
      </c>
      <c r="AB320" s="25">
        <f t="shared" si="84"/>
        <v>0</v>
      </c>
      <c r="AC320" s="25">
        <f t="shared" si="84"/>
        <v>0</v>
      </c>
      <c r="AD320" s="25">
        <f t="shared" si="84"/>
        <v>0</v>
      </c>
      <c r="AE320" s="25">
        <f t="shared" si="84"/>
        <v>0</v>
      </c>
      <c r="AF320" s="25">
        <f t="shared" si="84"/>
        <v>0</v>
      </c>
      <c r="AG320" s="25">
        <f t="shared" si="84"/>
        <v>0</v>
      </c>
      <c r="AH320" s="25">
        <f t="shared" si="84"/>
        <v>0</v>
      </c>
      <c r="AI320" s="26">
        <f t="shared" si="84"/>
        <v>0</v>
      </c>
      <c r="AJ320" s="114"/>
      <c r="AK320" s="114"/>
      <c r="AL320" s="115"/>
    </row>
    <row r="321" spans="1:38" ht="16" hidden="1" outlineLevel="1">
      <c r="A321" s="113" t="s">
        <v>674</v>
      </c>
      <c r="B321" s="420" t="s">
        <v>171</v>
      </c>
      <c r="C321" s="172"/>
      <c r="D321" s="173"/>
      <c r="E321" s="378" t="e">
        <f>IF((#REF!-C321)/(D321-C321)&lt;0,0,IF((#REF!-C321)/(D321-C321)&gt;100%,100%,(#REF!-C321)/(D321-C321)))</f>
        <v>#REF!</v>
      </c>
      <c r="F321" s="186"/>
      <c r="G321" s="187"/>
      <c r="H321" s="378" t="e">
        <f>IF((#REF!-F321)/(G321-F321)&lt;0,0,IF((#REF!-F321)/(G321-F321)&gt;100%,100%,(#REF!-F321)/(G321-F321)))</f>
        <v>#REF!</v>
      </c>
      <c r="I321" s="182" t="e">
        <f t="shared" si="82"/>
        <v>#REF!</v>
      </c>
      <c r="J321" s="25">
        <f t="shared" si="81"/>
        <v>0</v>
      </c>
      <c r="K321" s="26">
        <f t="shared" si="81"/>
        <v>0</v>
      </c>
      <c r="L321" s="25">
        <f t="shared" si="81"/>
        <v>0</v>
      </c>
      <c r="M321" s="25">
        <f t="shared" si="83"/>
        <v>0</v>
      </c>
      <c r="N321" s="25">
        <f t="shared" si="83"/>
        <v>0</v>
      </c>
      <c r="O321" s="25">
        <f t="shared" si="83"/>
        <v>0</v>
      </c>
      <c r="P321" s="25">
        <f t="shared" si="83"/>
        <v>0</v>
      </c>
      <c r="Q321" s="25">
        <f t="shared" si="83"/>
        <v>0</v>
      </c>
      <c r="R321" s="25">
        <f t="shared" si="83"/>
        <v>0</v>
      </c>
      <c r="S321" s="25">
        <f t="shared" si="83"/>
        <v>0</v>
      </c>
      <c r="T321" s="25">
        <f t="shared" si="83"/>
        <v>0</v>
      </c>
      <c r="U321" s="25">
        <f t="shared" si="83"/>
        <v>0</v>
      </c>
      <c r="V321" s="25">
        <f t="shared" si="83"/>
        <v>0</v>
      </c>
      <c r="W321" s="26">
        <f t="shared" si="83"/>
        <v>0</v>
      </c>
      <c r="X321" s="27">
        <f t="shared" si="83"/>
        <v>0</v>
      </c>
      <c r="Y321" s="25">
        <f t="shared" si="83"/>
        <v>0</v>
      </c>
      <c r="Z321" s="25">
        <f t="shared" si="83"/>
        <v>0</v>
      </c>
      <c r="AA321" s="25">
        <f t="shared" si="84"/>
        <v>0</v>
      </c>
      <c r="AB321" s="25">
        <f t="shared" si="84"/>
        <v>0</v>
      </c>
      <c r="AC321" s="25">
        <f t="shared" si="84"/>
        <v>0</v>
      </c>
      <c r="AD321" s="25">
        <f t="shared" si="84"/>
        <v>0</v>
      </c>
      <c r="AE321" s="25">
        <f t="shared" si="84"/>
        <v>0</v>
      </c>
      <c r="AF321" s="25">
        <f t="shared" si="84"/>
        <v>0</v>
      </c>
      <c r="AG321" s="25">
        <f t="shared" si="84"/>
        <v>0</v>
      </c>
      <c r="AH321" s="25">
        <f t="shared" si="84"/>
        <v>0</v>
      </c>
      <c r="AI321" s="26">
        <f t="shared" si="84"/>
        <v>0</v>
      </c>
      <c r="AJ321" s="114"/>
      <c r="AK321" s="114"/>
      <c r="AL321" s="115"/>
    </row>
    <row r="322" spans="1:38" ht="16" hidden="1" outlineLevel="1">
      <c r="A322" s="113" t="s">
        <v>675</v>
      </c>
      <c r="B322" s="420" t="s">
        <v>172</v>
      </c>
      <c r="C322" s="172"/>
      <c r="D322" s="173"/>
      <c r="E322" s="378" t="e">
        <f>IF((#REF!-C322)/(D322-C322)&lt;0,0,IF((#REF!-C322)/(D322-C322)&gt;100%,100%,(#REF!-C322)/(D322-C322)))</f>
        <v>#REF!</v>
      </c>
      <c r="F322" s="186"/>
      <c r="G322" s="187"/>
      <c r="H322" s="378" t="e">
        <f>IF((#REF!-F322)/(G322-F322)&lt;0,0,IF((#REF!-F322)/(G322-F322)&gt;100%,100%,(#REF!-F322)/(G322-F322)))</f>
        <v>#REF!</v>
      </c>
      <c r="I322" s="182" t="e">
        <f t="shared" si="82"/>
        <v>#REF!</v>
      </c>
      <c r="J322" s="25">
        <f t="shared" ref="J322:L341" si="85">+IF(J$3&gt;=$C322,IF(J$3&lt;=$D322,1,0),0)</f>
        <v>0</v>
      </c>
      <c r="K322" s="26">
        <f t="shared" si="85"/>
        <v>0</v>
      </c>
      <c r="L322" s="25">
        <f t="shared" si="85"/>
        <v>0</v>
      </c>
      <c r="M322" s="25">
        <f t="shared" si="83"/>
        <v>0</v>
      </c>
      <c r="N322" s="25">
        <f t="shared" si="83"/>
        <v>0</v>
      </c>
      <c r="O322" s="25">
        <f t="shared" si="83"/>
        <v>0</v>
      </c>
      <c r="P322" s="25">
        <f t="shared" si="83"/>
        <v>0</v>
      </c>
      <c r="Q322" s="25">
        <f t="shared" si="83"/>
        <v>0</v>
      </c>
      <c r="R322" s="25">
        <f t="shared" si="83"/>
        <v>0</v>
      </c>
      <c r="S322" s="25">
        <f t="shared" si="83"/>
        <v>0</v>
      </c>
      <c r="T322" s="25">
        <f t="shared" si="83"/>
        <v>0</v>
      </c>
      <c r="U322" s="25">
        <f t="shared" si="83"/>
        <v>0</v>
      </c>
      <c r="V322" s="25">
        <f t="shared" si="83"/>
        <v>0</v>
      </c>
      <c r="W322" s="26">
        <f t="shared" si="83"/>
        <v>0</v>
      </c>
      <c r="X322" s="27">
        <f t="shared" si="83"/>
        <v>0</v>
      </c>
      <c r="Y322" s="25">
        <f t="shared" si="83"/>
        <v>0</v>
      </c>
      <c r="Z322" s="25">
        <f t="shared" si="83"/>
        <v>0</v>
      </c>
      <c r="AA322" s="25">
        <f t="shared" si="84"/>
        <v>0</v>
      </c>
      <c r="AB322" s="25">
        <f t="shared" si="84"/>
        <v>0</v>
      </c>
      <c r="AC322" s="25">
        <f t="shared" si="84"/>
        <v>0</v>
      </c>
      <c r="AD322" s="25">
        <f t="shared" si="84"/>
        <v>0</v>
      </c>
      <c r="AE322" s="25">
        <f t="shared" si="84"/>
        <v>0</v>
      </c>
      <c r="AF322" s="25">
        <f t="shared" si="84"/>
        <v>0</v>
      </c>
      <c r="AG322" s="25">
        <f t="shared" si="84"/>
        <v>0</v>
      </c>
      <c r="AH322" s="25">
        <f t="shared" si="84"/>
        <v>0</v>
      </c>
      <c r="AI322" s="26">
        <f t="shared" si="84"/>
        <v>0</v>
      </c>
      <c r="AJ322" s="114"/>
      <c r="AK322" s="114"/>
      <c r="AL322" s="115"/>
    </row>
    <row r="323" spans="1:38" ht="16" hidden="1" outlineLevel="1">
      <c r="A323" s="113" t="s">
        <v>676</v>
      </c>
      <c r="B323" s="422" t="s">
        <v>173</v>
      </c>
      <c r="C323" s="178"/>
      <c r="D323" s="179"/>
      <c r="E323" s="378" t="e">
        <f>IF((#REF!-C323)/(D323-C323)&lt;0,0,IF((#REF!-C323)/(D323-C323)&gt;100%,100%,(#REF!-C323)/(D323-C323)))</f>
        <v>#REF!</v>
      </c>
      <c r="F323" s="191"/>
      <c r="G323" s="192"/>
      <c r="H323" s="378" t="e">
        <f>IF((#REF!-F323)/(G323-F323)&lt;0,0,IF((#REF!-F323)/(G323-F323)&gt;100%,100%,(#REF!-F323)/(G323-F323)))</f>
        <v>#REF!</v>
      </c>
      <c r="I323" s="182" t="e">
        <f t="shared" si="82"/>
        <v>#REF!</v>
      </c>
      <c r="J323" s="25">
        <f t="shared" si="85"/>
        <v>0</v>
      </c>
      <c r="K323" s="26">
        <f t="shared" si="85"/>
        <v>0</v>
      </c>
      <c r="L323" s="25">
        <f t="shared" si="85"/>
        <v>0</v>
      </c>
      <c r="M323" s="25">
        <f t="shared" si="83"/>
        <v>0</v>
      </c>
      <c r="N323" s="25">
        <f t="shared" si="83"/>
        <v>0</v>
      </c>
      <c r="O323" s="25">
        <f t="shared" si="83"/>
        <v>0</v>
      </c>
      <c r="P323" s="25">
        <f t="shared" si="83"/>
        <v>0</v>
      </c>
      <c r="Q323" s="25">
        <f t="shared" si="83"/>
        <v>0</v>
      </c>
      <c r="R323" s="25">
        <f t="shared" si="83"/>
        <v>0</v>
      </c>
      <c r="S323" s="25">
        <f t="shared" si="83"/>
        <v>0</v>
      </c>
      <c r="T323" s="25">
        <f t="shared" si="83"/>
        <v>0</v>
      </c>
      <c r="U323" s="25">
        <f t="shared" si="83"/>
        <v>0</v>
      </c>
      <c r="V323" s="25">
        <f t="shared" si="83"/>
        <v>0</v>
      </c>
      <c r="W323" s="26">
        <f t="shared" si="83"/>
        <v>0</v>
      </c>
      <c r="X323" s="27">
        <f t="shared" si="83"/>
        <v>0</v>
      </c>
      <c r="Y323" s="25">
        <f t="shared" si="83"/>
        <v>0</v>
      </c>
      <c r="Z323" s="25">
        <f t="shared" si="83"/>
        <v>0</v>
      </c>
      <c r="AA323" s="25">
        <f t="shared" si="84"/>
        <v>0</v>
      </c>
      <c r="AB323" s="25">
        <f t="shared" si="84"/>
        <v>0</v>
      </c>
      <c r="AC323" s="25">
        <f t="shared" si="84"/>
        <v>0</v>
      </c>
      <c r="AD323" s="25">
        <f t="shared" si="84"/>
        <v>0</v>
      </c>
      <c r="AE323" s="25">
        <f t="shared" si="84"/>
        <v>0</v>
      </c>
      <c r="AF323" s="25">
        <f t="shared" si="84"/>
        <v>0</v>
      </c>
      <c r="AG323" s="25">
        <f t="shared" si="84"/>
        <v>0</v>
      </c>
      <c r="AH323" s="25">
        <f t="shared" si="84"/>
        <v>0</v>
      </c>
      <c r="AI323" s="26">
        <f t="shared" si="84"/>
        <v>0</v>
      </c>
      <c r="AJ323" s="117"/>
      <c r="AK323" s="117"/>
      <c r="AL323" s="118"/>
    </row>
    <row r="324" spans="1:38" ht="16" collapsed="1">
      <c r="A324" s="391" t="s">
        <v>340</v>
      </c>
      <c r="B324" s="407" t="s">
        <v>341</v>
      </c>
      <c r="C324" s="176"/>
      <c r="D324" s="177"/>
      <c r="E324" s="380" t="e">
        <f>IF((#REF!-C324)/(D324-C324)&lt;0,0,IF((#REF!-C324)/(D324-C324)&gt;100%,100%,(#REF!-C324)/(D324-C324)))</f>
        <v>#REF!</v>
      </c>
      <c r="F324" s="189"/>
      <c r="G324" s="190"/>
      <c r="H324" s="380" t="e">
        <f>IF((#REF!-F324)/(G324-F324)&lt;0,0,IF((#REF!-F324)/(G324-F324)&gt;100%,100%,(#REF!-F324)/(G324-F324)))</f>
        <v>#REF!</v>
      </c>
      <c r="I324" s="182" t="e">
        <f t="shared" si="82"/>
        <v>#REF!</v>
      </c>
      <c r="J324" s="25">
        <f t="shared" si="85"/>
        <v>0</v>
      </c>
      <c r="K324" s="26">
        <f t="shared" si="85"/>
        <v>0</v>
      </c>
      <c r="L324" s="25">
        <f t="shared" si="85"/>
        <v>0</v>
      </c>
      <c r="M324" s="25">
        <f t="shared" si="83"/>
        <v>0</v>
      </c>
      <c r="N324" s="25">
        <f t="shared" si="83"/>
        <v>0</v>
      </c>
      <c r="O324" s="25">
        <f t="shared" si="83"/>
        <v>0</v>
      </c>
      <c r="P324" s="25">
        <f t="shared" si="83"/>
        <v>0</v>
      </c>
      <c r="Q324" s="25">
        <f t="shared" si="83"/>
        <v>0</v>
      </c>
      <c r="R324" s="25">
        <f t="shared" ref="M324:Z341" si="86">+IF(R$3&gt;=$C324,IF(R$3&lt;=$D324,1,0),0)</f>
        <v>0</v>
      </c>
      <c r="S324" s="25">
        <f t="shared" si="86"/>
        <v>0</v>
      </c>
      <c r="T324" s="25">
        <f t="shared" si="86"/>
        <v>0</v>
      </c>
      <c r="U324" s="25">
        <f t="shared" si="86"/>
        <v>0</v>
      </c>
      <c r="V324" s="25">
        <f t="shared" si="86"/>
        <v>0</v>
      </c>
      <c r="W324" s="26">
        <f t="shared" si="86"/>
        <v>0</v>
      </c>
      <c r="X324" s="27">
        <f t="shared" si="86"/>
        <v>0</v>
      </c>
      <c r="Y324" s="25">
        <f t="shared" si="86"/>
        <v>0</v>
      </c>
      <c r="Z324" s="25">
        <f t="shared" si="86"/>
        <v>0</v>
      </c>
      <c r="AA324" s="25">
        <f t="shared" si="84"/>
        <v>0</v>
      </c>
      <c r="AB324" s="25">
        <f t="shared" si="84"/>
        <v>0</v>
      </c>
      <c r="AC324" s="25">
        <f t="shared" si="84"/>
        <v>0</v>
      </c>
      <c r="AD324" s="25">
        <f t="shared" si="84"/>
        <v>0</v>
      </c>
      <c r="AE324" s="25">
        <f t="shared" si="84"/>
        <v>0</v>
      </c>
      <c r="AF324" s="25">
        <f t="shared" si="84"/>
        <v>0</v>
      </c>
      <c r="AG324" s="25">
        <f t="shared" si="84"/>
        <v>0</v>
      </c>
      <c r="AH324" s="25">
        <f t="shared" si="84"/>
        <v>0</v>
      </c>
      <c r="AI324" s="26">
        <f t="shared" si="84"/>
        <v>0</v>
      </c>
      <c r="AJ324" s="111"/>
      <c r="AK324" s="111"/>
      <c r="AL324" s="112"/>
    </row>
    <row r="325" spans="1:38" ht="18.5" customHeight="1">
      <c r="A325" s="110" t="s">
        <v>343</v>
      </c>
      <c r="B325" s="407" t="s">
        <v>174</v>
      </c>
      <c r="C325" s="176"/>
      <c r="D325" s="177"/>
      <c r="E325" s="380" t="e">
        <f>IF((#REF!-C325)/(D325-C325)&lt;0,0,IF((#REF!-C325)/(D325-C325)&gt;100%,100%,(#REF!-C325)/(D325-C325)))</f>
        <v>#REF!</v>
      </c>
      <c r="F325" s="189"/>
      <c r="G325" s="190"/>
      <c r="H325" s="380" t="e">
        <f>IF((#REF!-F325)/(G325-F325)&lt;0,0,IF((#REF!-F325)/(G325-F325)&gt;100%,100%,(#REF!-F325)/(G325-F325)))</f>
        <v>#REF!</v>
      </c>
      <c r="I325" s="182" t="e">
        <f t="shared" si="82"/>
        <v>#REF!</v>
      </c>
      <c r="J325" s="25">
        <f t="shared" si="85"/>
        <v>0</v>
      </c>
      <c r="K325" s="26">
        <f t="shared" si="85"/>
        <v>0</v>
      </c>
      <c r="L325" s="25">
        <f t="shared" si="85"/>
        <v>0</v>
      </c>
      <c r="M325" s="25">
        <f t="shared" si="86"/>
        <v>0</v>
      </c>
      <c r="N325" s="25">
        <f t="shared" si="86"/>
        <v>0</v>
      </c>
      <c r="O325" s="25">
        <f t="shared" si="86"/>
        <v>0</v>
      </c>
      <c r="P325" s="25">
        <f t="shared" si="86"/>
        <v>0</v>
      </c>
      <c r="Q325" s="25">
        <f t="shared" si="86"/>
        <v>0</v>
      </c>
      <c r="R325" s="25">
        <f t="shared" si="86"/>
        <v>0</v>
      </c>
      <c r="S325" s="25">
        <f t="shared" si="86"/>
        <v>0</v>
      </c>
      <c r="T325" s="25">
        <f t="shared" si="86"/>
        <v>0</v>
      </c>
      <c r="U325" s="25">
        <f t="shared" si="86"/>
        <v>0</v>
      </c>
      <c r="V325" s="25">
        <f t="shared" si="86"/>
        <v>0</v>
      </c>
      <c r="W325" s="26">
        <f t="shared" si="86"/>
        <v>0</v>
      </c>
      <c r="X325" s="27">
        <f t="shared" si="86"/>
        <v>0</v>
      </c>
      <c r="Y325" s="25">
        <f t="shared" si="86"/>
        <v>0</v>
      </c>
      <c r="Z325" s="25">
        <f t="shared" si="86"/>
        <v>0</v>
      </c>
      <c r="AA325" s="25">
        <f t="shared" si="84"/>
        <v>0</v>
      </c>
      <c r="AB325" s="25">
        <f t="shared" si="84"/>
        <v>0</v>
      </c>
      <c r="AC325" s="25">
        <f t="shared" si="84"/>
        <v>0</v>
      </c>
      <c r="AD325" s="25">
        <f t="shared" si="84"/>
        <v>0</v>
      </c>
      <c r="AE325" s="25">
        <f t="shared" si="84"/>
        <v>0</v>
      </c>
      <c r="AF325" s="25">
        <f t="shared" si="84"/>
        <v>0</v>
      </c>
      <c r="AG325" s="25">
        <f t="shared" si="84"/>
        <v>0</v>
      </c>
      <c r="AH325" s="25">
        <f t="shared" si="84"/>
        <v>0</v>
      </c>
      <c r="AI325" s="26">
        <f t="shared" si="84"/>
        <v>0</v>
      </c>
      <c r="AJ325" s="111"/>
      <c r="AK325" s="111"/>
      <c r="AL325" s="112"/>
    </row>
    <row r="326" spans="1:38" ht="16" hidden="1" outlineLevel="1">
      <c r="A326" s="113" t="s">
        <v>344</v>
      </c>
      <c r="B326" s="418" t="s">
        <v>304</v>
      </c>
      <c r="C326" s="172"/>
      <c r="D326" s="173"/>
      <c r="E326" s="380" t="e">
        <f>IF((#REF!-C326)/(D326-C326)&lt;0,0,IF((#REF!-C326)/(D326-C326)&gt;100%,100%,(#REF!-C326)/(D326-C326)))</f>
        <v>#REF!</v>
      </c>
      <c r="F326" s="186"/>
      <c r="G326" s="187"/>
      <c r="H326" s="380" t="e">
        <f>IF((#REF!-F326)/(G326-F326)&lt;0,0,IF((#REF!-F326)/(G326-F326)&gt;100%,100%,(#REF!-F326)/(G326-F326)))</f>
        <v>#REF!</v>
      </c>
      <c r="I326" s="182" t="e">
        <f t="shared" si="82"/>
        <v>#REF!</v>
      </c>
      <c r="J326" s="25">
        <f t="shared" si="85"/>
        <v>0</v>
      </c>
      <c r="K326" s="26">
        <f t="shared" si="85"/>
        <v>0</v>
      </c>
      <c r="L326" s="25">
        <f t="shared" si="85"/>
        <v>0</v>
      </c>
      <c r="M326" s="25">
        <f t="shared" si="86"/>
        <v>0</v>
      </c>
      <c r="N326" s="25">
        <f t="shared" si="86"/>
        <v>0</v>
      </c>
      <c r="O326" s="25">
        <f t="shared" si="86"/>
        <v>0</v>
      </c>
      <c r="P326" s="25">
        <f t="shared" si="86"/>
        <v>0</v>
      </c>
      <c r="Q326" s="25">
        <f t="shared" si="86"/>
        <v>0</v>
      </c>
      <c r="R326" s="25">
        <f t="shared" si="86"/>
        <v>0</v>
      </c>
      <c r="S326" s="25">
        <f t="shared" si="86"/>
        <v>0</v>
      </c>
      <c r="T326" s="25">
        <f t="shared" si="86"/>
        <v>0</v>
      </c>
      <c r="U326" s="25">
        <f t="shared" si="86"/>
        <v>0</v>
      </c>
      <c r="V326" s="25">
        <f t="shared" si="86"/>
        <v>0</v>
      </c>
      <c r="W326" s="26">
        <f t="shared" si="86"/>
        <v>0</v>
      </c>
      <c r="X326" s="27">
        <f t="shared" si="86"/>
        <v>0</v>
      </c>
      <c r="Y326" s="25">
        <f t="shared" si="86"/>
        <v>0</v>
      </c>
      <c r="Z326" s="25">
        <f t="shared" si="86"/>
        <v>0</v>
      </c>
      <c r="AA326" s="25">
        <f t="shared" si="84"/>
        <v>0</v>
      </c>
      <c r="AB326" s="25">
        <f t="shared" si="84"/>
        <v>0</v>
      </c>
      <c r="AC326" s="25">
        <f t="shared" si="84"/>
        <v>0</v>
      </c>
      <c r="AD326" s="25">
        <f t="shared" si="84"/>
        <v>0</v>
      </c>
      <c r="AE326" s="25">
        <f t="shared" si="84"/>
        <v>0</v>
      </c>
      <c r="AF326" s="25">
        <f t="shared" si="84"/>
        <v>0</v>
      </c>
      <c r="AG326" s="25">
        <f t="shared" si="84"/>
        <v>0</v>
      </c>
      <c r="AH326" s="25">
        <f t="shared" si="84"/>
        <v>0</v>
      </c>
      <c r="AI326" s="26">
        <f t="shared" si="84"/>
        <v>0</v>
      </c>
      <c r="AJ326" s="114"/>
      <c r="AK326" s="114"/>
      <c r="AL326" s="115"/>
    </row>
    <row r="327" spans="1:38" ht="16" hidden="1" outlineLevel="1">
      <c r="A327" s="113" t="s">
        <v>345</v>
      </c>
      <c r="B327" s="418" t="s">
        <v>305</v>
      </c>
      <c r="C327" s="172"/>
      <c r="D327" s="173"/>
      <c r="E327" s="380" t="e">
        <f>IF((#REF!-C327)/(D327-C327)&lt;0,0,IF((#REF!-C327)/(D327-C327)&gt;100%,100%,(#REF!-C327)/(D327-C327)))</f>
        <v>#REF!</v>
      </c>
      <c r="F327" s="186"/>
      <c r="G327" s="187"/>
      <c r="H327" s="380" t="e">
        <f>IF((#REF!-F327)/(G327-F327)&lt;0,0,IF((#REF!-F327)/(G327-F327)&gt;100%,100%,(#REF!-F327)/(G327-F327)))</f>
        <v>#REF!</v>
      </c>
      <c r="I327" s="182" t="e">
        <f t="shared" si="82"/>
        <v>#REF!</v>
      </c>
      <c r="J327" s="25">
        <f t="shared" si="85"/>
        <v>0</v>
      </c>
      <c r="K327" s="26">
        <f t="shared" si="85"/>
        <v>0</v>
      </c>
      <c r="L327" s="25">
        <f t="shared" si="85"/>
        <v>0</v>
      </c>
      <c r="M327" s="25">
        <f t="shared" si="86"/>
        <v>0</v>
      </c>
      <c r="N327" s="25">
        <f t="shared" si="86"/>
        <v>0</v>
      </c>
      <c r="O327" s="25">
        <f t="shared" si="86"/>
        <v>0</v>
      </c>
      <c r="P327" s="25">
        <f t="shared" si="86"/>
        <v>0</v>
      </c>
      <c r="Q327" s="25">
        <f t="shared" si="86"/>
        <v>0</v>
      </c>
      <c r="R327" s="25">
        <f t="shared" si="86"/>
        <v>0</v>
      </c>
      <c r="S327" s="25">
        <f t="shared" si="86"/>
        <v>0</v>
      </c>
      <c r="T327" s="25">
        <f t="shared" si="86"/>
        <v>0</v>
      </c>
      <c r="U327" s="25">
        <f t="shared" si="86"/>
        <v>0</v>
      </c>
      <c r="V327" s="25">
        <f t="shared" si="86"/>
        <v>0</v>
      </c>
      <c r="W327" s="26">
        <f t="shared" si="86"/>
        <v>0</v>
      </c>
      <c r="X327" s="27">
        <f t="shared" si="86"/>
        <v>0</v>
      </c>
      <c r="Y327" s="25">
        <f t="shared" si="86"/>
        <v>0</v>
      </c>
      <c r="Z327" s="25">
        <f t="shared" si="86"/>
        <v>0</v>
      </c>
      <c r="AA327" s="25">
        <f t="shared" si="84"/>
        <v>0</v>
      </c>
      <c r="AB327" s="25">
        <f t="shared" si="84"/>
        <v>0</v>
      </c>
      <c r="AC327" s="25">
        <f t="shared" si="84"/>
        <v>0</v>
      </c>
      <c r="AD327" s="25">
        <f t="shared" si="84"/>
        <v>0</v>
      </c>
      <c r="AE327" s="25">
        <f t="shared" si="84"/>
        <v>0</v>
      </c>
      <c r="AF327" s="25">
        <f t="shared" si="84"/>
        <v>0</v>
      </c>
      <c r="AG327" s="25">
        <f t="shared" si="84"/>
        <v>0</v>
      </c>
      <c r="AH327" s="25">
        <f t="shared" si="84"/>
        <v>0</v>
      </c>
      <c r="AI327" s="26">
        <f t="shared" si="84"/>
        <v>0</v>
      </c>
      <c r="AJ327" s="114"/>
      <c r="AK327" s="114"/>
      <c r="AL327" s="115"/>
    </row>
    <row r="328" spans="1:38" ht="16" collapsed="1">
      <c r="A328" s="110" t="s">
        <v>346</v>
      </c>
      <c r="B328" s="407" t="s">
        <v>347</v>
      </c>
      <c r="C328" s="170">
        <v>46198</v>
      </c>
      <c r="D328" s="171">
        <v>46203</v>
      </c>
      <c r="E328" s="380" t="e">
        <f>IF((#REF!-C328)/(D328-C328)&lt;0,0,IF((#REF!-C328)/(D328-C328)&gt;100%,100%,(#REF!-C328)/(D328-C328)))</f>
        <v>#REF!</v>
      </c>
      <c r="F328" s="189"/>
      <c r="G328" s="190"/>
      <c r="H328" s="380" t="e">
        <f>IF((#REF!-F328)/(G328-F328)&lt;0,0,IF((#REF!-F328)/(G328-F328)&gt;100%,100%,(#REF!-F328)/(G328-F328)))</f>
        <v>#REF!</v>
      </c>
      <c r="I328" s="182" t="e">
        <f t="shared" si="82"/>
        <v>#REF!</v>
      </c>
      <c r="J328" s="25">
        <f t="shared" si="85"/>
        <v>0</v>
      </c>
      <c r="K328" s="26">
        <f t="shared" si="85"/>
        <v>0</v>
      </c>
      <c r="L328" s="25">
        <f t="shared" si="85"/>
        <v>0</v>
      </c>
      <c r="M328" s="25">
        <f t="shared" si="86"/>
        <v>0</v>
      </c>
      <c r="N328" s="25">
        <f t="shared" si="86"/>
        <v>0</v>
      </c>
      <c r="O328" s="25">
        <f t="shared" si="86"/>
        <v>0</v>
      </c>
      <c r="P328" s="25">
        <f t="shared" si="86"/>
        <v>0</v>
      </c>
      <c r="Q328" s="25">
        <f t="shared" si="86"/>
        <v>1</v>
      </c>
      <c r="R328" s="25">
        <f t="shared" si="86"/>
        <v>0</v>
      </c>
      <c r="S328" s="25">
        <f t="shared" si="86"/>
        <v>0</v>
      </c>
      <c r="T328" s="25">
        <f t="shared" si="86"/>
        <v>0</v>
      </c>
      <c r="U328" s="25">
        <f t="shared" si="86"/>
        <v>0</v>
      </c>
      <c r="V328" s="25">
        <f t="shared" si="86"/>
        <v>0</v>
      </c>
      <c r="W328" s="26">
        <f t="shared" si="86"/>
        <v>0</v>
      </c>
      <c r="X328" s="27">
        <f t="shared" si="86"/>
        <v>0</v>
      </c>
      <c r="Y328" s="25">
        <f t="shared" si="86"/>
        <v>0</v>
      </c>
      <c r="Z328" s="25">
        <f t="shared" si="86"/>
        <v>0</v>
      </c>
      <c r="AA328" s="25">
        <f t="shared" si="84"/>
        <v>0</v>
      </c>
      <c r="AB328" s="25">
        <f t="shared" si="84"/>
        <v>0</v>
      </c>
      <c r="AC328" s="25">
        <f t="shared" si="84"/>
        <v>0</v>
      </c>
      <c r="AD328" s="25">
        <f t="shared" si="84"/>
        <v>0</v>
      </c>
      <c r="AE328" s="25">
        <f t="shared" si="84"/>
        <v>0</v>
      </c>
      <c r="AF328" s="25">
        <f t="shared" si="84"/>
        <v>0</v>
      </c>
      <c r="AG328" s="25">
        <f t="shared" si="84"/>
        <v>0</v>
      </c>
      <c r="AH328" s="25">
        <f t="shared" si="84"/>
        <v>0</v>
      </c>
      <c r="AI328" s="26">
        <f t="shared" si="84"/>
        <v>0</v>
      </c>
      <c r="AJ328" s="111"/>
      <c r="AK328" s="111"/>
      <c r="AL328" s="112"/>
    </row>
    <row r="329" spans="1:38" s="30" customFormat="1" ht="16" hidden="1" outlineLevel="1">
      <c r="A329" s="205" t="s">
        <v>349</v>
      </c>
      <c r="B329" s="416" t="s">
        <v>348</v>
      </c>
      <c r="C329" s="168">
        <v>46198</v>
      </c>
      <c r="D329" s="169">
        <v>46199</v>
      </c>
      <c r="E329" s="385" t="e">
        <f>IF((#REF!-C329)/(D329-C329)&lt;0,0,IF((#REF!-C329)/(D329-C329)&gt;100%,100%,(#REF!-C329)/(D329-C329)))</f>
        <v>#REF!</v>
      </c>
      <c r="F329" s="183"/>
      <c r="G329" s="166"/>
      <c r="H329" s="385" t="e">
        <f>IF((#REF!-F329)/(G329-F329)&lt;0,0,IF((#REF!-F329)/(G329-F329)&gt;100%,100%,(#REF!-F329)/(G329-F329)))</f>
        <v>#REF!</v>
      </c>
      <c r="I329" s="182" t="e">
        <f t="shared" si="82"/>
        <v>#REF!</v>
      </c>
      <c r="J329" s="25">
        <f t="shared" si="85"/>
        <v>0</v>
      </c>
      <c r="K329" s="26">
        <f t="shared" si="85"/>
        <v>0</v>
      </c>
      <c r="L329" s="25">
        <f t="shared" si="85"/>
        <v>0</v>
      </c>
      <c r="M329" s="25">
        <f t="shared" si="86"/>
        <v>0</v>
      </c>
      <c r="N329" s="25">
        <f t="shared" si="86"/>
        <v>0</v>
      </c>
      <c r="O329" s="25">
        <f t="shared" si="86"/>
        <v>0</v>
      </c>
      <c r="P329" s="25">
        <f t="shared" si="86"/>
        <v>0</v>
      </c>
      <c r="Q329" s="25">
        <f t="shared" si="86"/>
        <v>0</v>
      </c>
      <c r="R329" s="25">
        <f t="shared" si="86"/>
        <v>0</v>
      </c>
      <c r="S329" s="25">
        <f t="shared" si="86"/>
        <v>0</v>
      </c>
      <c r="T329" s="25">
        <f t="shared" si="86"/>
        <v>0</v>
      </c>
      <c r="U329" s="25">
        <f t="shared" si="86"/>
        <v>0</v>
      </c>
      <c r="V329" s="25">
        <f t="shared" si="86"/>
        <v>0</v>
      </c>
      <c r="W329" s="26">
        <f t="shared" si="86"/>
        <v>0</v>
      </c>
      <c r="X329" s="27">
        <f t="shared" si="86"/>
        <v>0</v>
      </c>
      <c r="Y329" s="25">
        <f t="shared" si="86"/>
        <v>0</v>
      </c>
      <c r="Z329" s="25">
        <f t="shared" si="86"/>
        <v>0</v>
      </c>
      <c r="AA329" s="25">
        <f t="shared" si="84"/>
        <v>0</v>
      </c>
      <c r="AB329" s="25">
        <f t="shared" si="84"/>
        <v>0</v>
      </c>
      <c r="AC329" s="25">
        <f t="shared" si="84"/>
        <v>0</v>
      </c>
      <c r="AD329" s="25">
        <f t="shared" si="84"/>
        <v>0</v>
      </c>
      <c r="AE329" s="25">
        <f t="shared" si="84"/>
        <v>0</v>
      </c>
      <c r="AF329" s="25">
        <f t="shared" si="84"/>
        <v>0</v>
      </c>
      <c r="AG329" s="25">
        <f t="shared" si="84"/>
        <v>0</v>
      </c>
      <c r="AH329" s="25">
        <f t="shared" si="84"/>
        <v>0</v>
      </c>
      <c r="AI329" s="26">
        <f t="shared" si="84"/>
        <v>0</v>
      </c>
      <c r="AJ329" s="91"/>
      <c r="AK329" s="91"/>
      <c r="AL329" s="92"/>
    </row>
    <row r="330" spans="1:38" s="30" customFormat="1" ht="16" hidden="1" outlineLevel="1">
      <c r="A330" s="205" t="s">
        <v>350</v>
      </c>
      <c r="B330" s="416" t="s">
        <v>180</v>
      </c>
      <c r="C330" s="168">
        <v>46199</v>
      </c>
      <c r="D330" s="169">
        <v>46203</v>
      </c>
      <c r="E330" s="385" t="e">
        <f>IF((#REF!-C330)/(D330-C330)&lt;0,0,IF((#REF!-C330)/(D330-C330)&gt;100%,100%,(#REF!-C330)/(D330-C330)))</f>
        <v>#REF!</v>
      </c>
      <c r="F330" s="183"/>
      <c r="G330" s="166"/>
      <c r="H330" s="385" t="e">
        <f>IF((#REF!-F330)/(G330-F330)&lt;0,0,IF((#REF!-F330)/(G330-F330)&gt;100%,100%,(#REF!-F330)/(G330-F330)))</f>
        <v>#REF!</v>
      </c>
      <c r="I330" s="182" t="e">
        <f t="shared" si="82"/>
        <v>#REF!</v>
      </c>
      <c r="J330" s="25">
        <f t="shared" si="85"/>
        <v>0</v>
      </c>
      <c r="K330" s="26">
        <f t="shared" si="85"/>
        <v>0</v>
      </c>
      <c r="L330" s="25">
        <f t="shared" si="85"/>
        <v>0</v>
      </c>
      <c r="M330" s="25">
        <f t="shared" si="86"/>
        <v>0</v>
      </c>
      <c r="N330" s="25">
        <f t="shared" si="86"/>
        <v>0</v>
      </c>
      <c r="O330" s="25">
        <f t="shared" si="86"/>
        <v>0</v>
      </c>
      <c r="P330" s="25">
        <f t="shared" si="86"/>
        <v>0</v>
      </c>
      <c r="Q330" s="25">
        <f t="shared" si="86"/>
        <v>1</v>
      </c>
      <c r="R330" s="25">
        <f t="shared" si="86"/>
        <v>0</v>
      </c>
      <c r="S330" s="25">
        <f t="shared" si="86"/>
        <v>0</v>
      </c>
      <c r="T330" s="25">
        <f t="shared" si="86"/>
        <v>0</v>
      </c>
      <c r="U330" s="25">
        <f t="shared" si="86"/>
        <v>0</v>
      </c>
      <c r="V330" s="25">
        <f t="shared" si="86"/>
        <v>0</v>
      </c>
      <c r="W330" s="26">
        <f t="shared" si="86"/>
        <v>0</v>
      </c>
      <c r="X330" s="27">
        <f t="shared" si="86"/>
        <v>0</v>
      </c>
      <c r="Y330" s="25">
        <f t="shared" si="86"/>
        <v>0</v>
      </c>
      <c r="Z330" s="25">
        <f t="shared" si="86"/>
        <v>0</v>
      </c>
      <c r="AA330" s="25">
        <f t="shared" si="84"/>
        <v>0</v>
      </c>
      <c r="AB330" s="25">
        <f t="shared" si="84"/>
        <v>0</v>
      </c>
      <c r="AC330" s="25">
        <f t="shared" si="84"/>
        <v>0</v>
      </c>
      <c r="AD330" s="25">
        <f t="shared" si="84"/>
        <v>0</v>
      </c>
      <c r="AE330" s="25">
        <f t="shared" si="84"/>
        <v>0</v>
      </c>
      <c r="AF330" s="25">
        <f t="shared" si="84"/>
        <v>0</v>
      </c>
      <c r="AG330" s="25">
        <f t="shared" si="84"/>
        <v>0</v>
      </c>
      <c r="AH330" s="25">
        <f t="shared" si="84"/>
        <v>0</v>
      </c>
      <c r="AI330" s="26">
        <f t="shared" si="84"/>
        <v>0</v>
      </c>
      <c r="AJ330" s="91"/>
      <c r="AK330" s="91"/>
      <c r="AL330" s="92"/>
    </row>
    <row r="331" spans="1:38" s="373" customFormat="1" ht="16" collapsed="1">
      <c r="A331" s="404" t="s">
        <v>663</v>
      </c>
      <c r="B331" s="423" t="s">
        <v>185</v>
      </c>
      <c r="C331" s="322">
        <v>46203</v>
      </c>
      <c r="D331" s="323">
        <v>46213</v>
      </c>
      <c r="E331" s="381" t="e">
        <f>IF((#REF!-C331)/(D331-C331)&lt;0,0,IF((#REF!-C331)/(D331-C331)&gt;100%,100%,(#REF!-C331)/(D331-C331)))</f>
        <v>#REF!</v>
      </c>
      <c r="F331" s="264"/>
      <c r="G331" s="265"/>
      <c r="H331" s="381" t="e">
        <f>IF((#REF!-F331)/(G331-F331)&lt;0,0,IF((#REF!-F331)/(G331-F331)&gt;100%,100%,(#REF!-F331)/(G331-F331)))</f>
        <v>#REF!</v>
      </c>
      <c r="I331" s="201" t="e">
        <f>(D331-C331)/100%*(H331-E331)</f>
        <v>#REF!</v>
      </c>
      <c r="J331" s="49">
        <f t="shared" ref="J331:AI331" si="87">+IF(J$3&gt;=$C331,IF(J$3&lt;=$D331,1,0),0)</f>
        <v>0</v>
      </c>
      <c r="K331" s="50">
        <f t="shared" si="87"/>
        <v>0</v>
      </c>
      <c r="L331" s="49">
        <f t="shared" si="87"/>
        <v>0</v>
      </c>
      <c r="M331" s="49">
        <f t="shared" si="87"/>
        <v>0</v>
      </c>
      <c r="N331" s="49">
        <f t="shared" si="87"/>
        <v>0</v>
      </c>
      <c r="O331" s="49">
        <f t="shared" si="87"/>
        <v>0</v>
      </c>
      <c r="P331" s="49">
        <f t="shared" si="87"/>
        <v>0</v>
      </c>
      <c r="Q331" s="49">
        <f t="shared" si="87"/>
        <v>1</v>
      </c>
      <c r="R331" s="49">
        <f t="shared" si="87"/>
        <v>0</v>
      </c>
      <c r="S331" s="49">
        <f t="shared" si="87"/>
        <v>0</v>
      </c>
      <c r="T331" s="49">
        <f t="shared" si="87"/>
        <v>0</v>
      </c>
      <c r="U331" s="49">
        <f t="shared" si="87"/>
        <v>0</v>
      </c>
      <c r="V331" s="49">
        <f t="shared" si="87"/>
        <v>0</v>
      </c>
      <c r="W331" s="50">
        <f t="shared" si="87"/>
        <v>0</v>
      </c>
      <c r="X331" s="51">
        <f t="shared" si="87"/>
        <v>0</v>
      </c>
      <c r="Y331" s="49">
        <f t="shared" si="87"/>
        <v>0</v>
      </c>
      <c r="Z331" s="49">
        <f t="shared" si="87"/>
        <v>0</v>
      </c>
      <c r="AA331" s="49">
        <f t="shared" si="87"/>
        <v>0</v>
      </c>
      <c r="AB331" s="49">
        <f t="shared" si="87"/>
        <v>0</v>
      </c>
      <c r="AC331" s="49">
        <f t="shared" si="87"/>
        <v>0</v>
      </c>
      <c r="AD331" s="49">
        <f t="shared" si="87"/>
        <v>0</v>
      </c>
      <c r="AE331" s="49">
        <f t="shared" si="87"/>
        <v>0</v>
      </c>
      <c r="AF331" s="49">
        <f t="shared" si="87"/>
        <v>0</v>
      </c>
      <c r="AG331" s="49">
        <f t="shared" si="87"/>
        <v>0</v>
      </c>
      <c r="AH331" s="49">
        <f t="shared" si="87"/>
        <v>0</v>
      </c>
      <c r="AI331" s="50">
        <f t="shared" si="87"/>
        <v>0</v>
      </c>
      <c r="AJ331" s="117"/>
      <c r="AK331" s="117"/>
      <c r="AL331" s="118"/>
    </row>
    <row r="332" spans="1:38" ht="16">
      <c r="A332" s="110" t="s">
        <v>351</v>
      </c>
      <c r="B332" s="407" t="s">
        <v>181</v>
      </c>
      <c r="C332" s="170">
        <v>46203</v>
      </c>
      <c r="D332" s="171">
        <v>46211</v>
      </c>
      <c r="E332" s="380" t="e">
        <f>IF((#REF!-C332)/(D332-C332)&lt;0,0,IF((#REF!-C332)/(D332-C332)&gt;100%,100%,(#REF!-C332)/(D332-C332)))</f>
        <v>#REF!</v>
      </c>
      <c r="F332" s="189"/>
      <c r="G332" s="190"/>
      <c r="H332" s="380" t="e">
        <f>IF((#REF!-F332)/(G332-F332)&lt;0,0,IF((#REF!-F332)/(G332-F332)&gt;100%,100%,(#REF!-F332)/(G332-F332)))</f>
        <v>#REF!</v>
      </c>
      <c r="I332" s="182" t="e">
        <f t="shared" si="82"/>
        <v>#REF!</v>
      </c>
      <c r="J332" s="25">
        <f t="shared" si="85"/>
        <v>0</v>
      </c>
      <c r="K332" s="26">
        <f t="shared" si="85"/>
        <v>0</v>
      </c>
      <c r="L332" s="25">
        <f t="shared" si="85"/>
        <v>0</v>
      </c>
      <c r="M332" s="25">
        <f t="shared" si="86"/>
        <v>0</v>
      </c>
      <c r="N332" s="25">
        <f t="shared" si="86"/>
        <v>0</v>
      </c>
      <c r="O332" s="25">
        <f t="shared" si="86"/>
        <v>0</v>
      </c>
      <c r="P332" s="25">
        <f t="shared" si="86"/>
        <v>0</v>
      </c>
      <c r="Q332" s="25">
        <f t="shared" si="86"/>
        <v>1</v>
      </c>
      <c r="R332" s="25">
        <f t="shared" si="86"/>
        <v>0</v>
      </c>
      <c r="S332" s="25">
        <f t="shared" si="86"/>
        <v>0</v>
      </c>
      <c r="T332" s="25">
        <f t="shared" si="86"/>
        <v>0</v>
      </c>
      <c r="U332" s="25">
        <f t="shared" si="86"/>
        <v>0</v>
      </c>
      <c r="V332" s="25">
        <f t="shared" si="86"/>
        <v>0</v>
      </c>
      <c r="W332" s="26">
        <f t="shared" si="86"/>
        <v>0</v>
      </c>
      <c r="X332" s="27">
        <f t="shared" si="86"/>
        <v>0</v>
      </c>
      <c r="Y332" s="25">
        <f t="shared" si="86"/>
        <v>0</v>
      </c>
      <c r="Z332" s="25">
        <f t="shared" si="86"/>
        <v>0</v>
      </c>
      <c r="AA332" s="25">
        <f t="shared" si="84"/>
        <v>0</v>
      </c>
      <c r="AB332" s="25">
        <f t="shared" si="84"/>
        <v>0</v>
      </c>
      <c r="AC332" s="25">
        <f t="shared" si="84"/>
        <v>0</v>
      </c>
      <c r="AD332" s="25">
        <f t="shared" si="84"/>
        <v>0</v>
      </c>
      <c r="AE332" s="25">
        <f t="shared" si="84"/>
        <v>0</v>
      </c>
      <c r="AF332" s="25">
        <f t="shared" si="84"/>
        <v>0</v>
      </c>
      <c r="AG332" s="25">
        <f t="shared" si="84"/>
        <v>0</v>
      </c>
      <c r="AH332" s="25">
        <f t="shared" si="84"/>
        <v>0</v>
      </c>
      <c r="AI332" s="26">
        <f t="shared" si="84"/>
        <v>0</v>
      </c>
      <c r="AJ332" s="111"/>
      <c r="AK332" s="111"/>
      <c r="AL332" s="112"/>
    </row>
    <row r="333" spans="1:38" ht="16">
      <c r="A333" s="390" t="s">
        <v>668</v>
      </c>
      <c r="B333" s="424" t="s">
        <v>748</v>
      </c>
      <c r="C333" s="431">
        <v>46203</v>
      </c>
      <c r="D333" s="405">
        <v>46218</v>
      </c>
      <c r="E333" s="389" t="e">
        <f>IF((#REF!-C333)/(D333-C333)&lt;0,0,IF((#REF!-C333)/(D333-C333)&gt;100%,100%,(#REF!-C333)/(D333-C333)))</f>
        <v>#REF!</v>
      </c>
      <c r="F333" s="375"/>
      <c r="G333" s="375"/>
      <c r="H333" s="385" t="e">
        <f>IF((#REF!-F333)/(G333-F333)&lt;0,0,IF((#REF!-F333)/(G333-F333)&gt;100%,100%,(#REF!-F333)/(G333-F333)))</f>
        <v>#REF!</v>
      </c>
      <c r="I333" s="182" t="e">
        <f t="shared" si="82"/>
        <v>#REF!</v>
      </c>
      <c r="J333" s="25">
        <f t="shared" si="85"/>
        <v>0</v>
      </c>
      <c r="K333" s="26">
        <f t="shared" si="85"/>
        <v>0</v>
      </c>
      <c r="L333" s="25">
        <f t="shared" si="85"/>
        <v>0</v>
      </c>
      <c r="M333" s="25">
        <f t="shared" si="86"/>
        <v>0</v>
      </c>
      <c r="N333" s="25">
        <f t="shared" si="86"/>
        <v>0</v>
      </c>
      <c r="O333" s="25">
        <f t="shared" si="86"/>
        <v>0</v>
      </c>
      <c r="P333" s="25">
        <f t="shared" si="86"/>
        <v>0</v>
      </c>
      <c r="Q333" s="25">
        <f t="shared" si="86"/>
        <v>1</v>
      </c>
      <c r="R333" s="25">
        <f t="shared" si="86"/>
        <v>0</v>
      </c>
      <c r="S333" s="25">
        <f t="shared" si="86"/>
        <v>0</v>
      </c>
      <c r="T333" s="25">
        <f t="shared" si="86"/>
        <v>0</v>
      </c>
      <c r="U333" s="25">
        <f t="shared" si="86"/>
        <v>0</v>
      </c>
      <c r="V333" s="25">
        <f t="shared" si="86"/>
        <v>0</v>
      </c>
      <c r="W333" s="26">
        <f t="shared" si="86"/>
        <v>0</v>
      </c>
      <c r="X333" s="27">
        <f t="shared" si="86"/>
        <v>0</v>
      </c>
      <c r="Y333" s="25">
        <f t="shared" si="86"/>
        <v>0</v>
      </c>
      <c r="Z333" s="25">
        <f t="shared" si="86"/>
        <v>0</v>
      </c>
      <c r="AA333" s="25">
        <f t="shared" si="84"/>
        <v>0</v>
      </c>
      <c r="AB333" s="25">
        <f t="shared" si="84"/>
        <v>0</v>
      </c>
      <c r="AC333" s="25">
        <f t="shared" si="84"/>
        <v>0</v>
      </c>
      <c r="AD333" s="25">
        <f t="shared" si="84"/>
        <v>0</v>
      </c>
      <c r="AE333" s="25">
        <f t="shared" si="84"/>
        <v>0</v>
      </c>
      <c r="AF333" s="25">
        <f t="shared" si="84"/>
        <v>0</v>
      </c>
      <c r="AG333" s="25">
        <f t="shared" si="84"/>
        <v>0</v>
      </c>
      <c r="AH333" s="25">
        <f t="shared" si="84"/>
        <v>0</v>
      </c>
      <c r="AI333" s="26">
        <f t="shared" si="84"/>
        <v>0</v>
      </c>
      <c r="AJ333" s="111"/>
      <c r="AK333" s="111"/>
      <c r="AL333" s="112"/>
    </row>
    <row r="334" spans="1:38" ht="30" hidden="1" outlineLevel="1">
      <c r="A334" s="113"/>
      <c r="B334" s="417" t="s">
        <v>186</v>
      </c>
      <c r="C334" s="172"/>
      <c r="D334" s="173"/>
      <c r="E334" s="380" t="e">
        <f>IF((#REF!-C334)/(D334-C334)&lt;0,0,IF((#REF!-C334)/(D334-C334)&gt;100%,100%,(#REF!-C334)/(D334-C334)))</f>
        <v>#REF!</v>
      </c>
      <c r="F334" s="186"/>
      <c r="G334" s="187"/>
      <c r="H334" s="380" t="e">
        <f>IF((#REF!-F334)/(G334-F334)&lt;0,0,IF((#REF!-F334)/(G334-F334)&gt;100%,100%,(#REF!-F334)/(G334-F334)))</f>
        <v>#REF!</v>
      </c>
      <c r="I334" s="182" t="e">
        <f t="shared" si="82"/>
        <v>#REF!</v>
      </c>
      <c r="J334" s="25">
        <f t="shared" si="85"/>
        <v>0</v>
      </c>
      <c r="K334" s="26">
        <f t="shared" si="85"/>
        <v>0</v>
      </c>
      <c r="L334" s="25">
        <f t="shared" si="85"/>
        <v>0</v>
      </c>
      <c r="M334" s="25">
        <f t="shared" si="86"/>
        <v>0</v>
      </c>
      <c r="N334" s="25">
        <f t="shared" si="86"/>
        <v>0</v>
      </c>
      <c r="O334" s="25">
        <f t="shared" si="86"/>
        <v>0</v>
      </c>
      <c r="P334" s="25">
        <f t="shared" si="86"/>
        <v>0</v>
      </c>
      <c r="Q334" s="25">
        <f t="shared" si="86"/>
        <v>0</v>
      </c>
      <c r="R334" s="25">
        <f t="shared" si="86"/>
        <v>0</v>
      </c>
      <c r="S334" s="25">
        <f t="shared" si="86"/>
        <v>0</v>
      </c>
      <c r="T334" s="25">
        <f t="shared" si="86"/>
        <v>0</v>
      </c>
      <c r="U334" s="25">
        <f t="shared" si="86"/>
        <v>0</v>
      </c>
      <c r="V334" s="25">
        <f t="shared" si="86"/>
        <v>0</v>
      </c>
      <c r="W334" s="26">
        <f t="shared" si="86"/>
        <v>0</v>
      </c>
      <c r="X334" s="27">
        <f t="shared" si="86"/>
        <v>0</v>
      </c>
      <c r="Y334" s="25">
        <f t="shared" si="86"/>
        <v>0</v>
      </c>
      <c r="Z334" s="25">
        <f t="shared" si="86"/>
        <v>0</v>
      </c>
      <c r="AA334" s="25">
        <f t="shared" si="84"/>
        <v>0</v>
      </c>
      <c r="AB334" s="25">
        <f t="shared" si="84"/>
        <v>0</v>
      </c>
      <c r="AC334" s="25">
        <f t="shared" si="84"/>
        <v>0</v>
      </c>
      <c r="AD334" s="25">
        <f t="shared" si="84"/>
        <v>0</v>
      </c>
      <c r="AE334" s="25">
        <f t="shared" si="84"/>
        <v>0</v>
      </c>
      <c r="AF334" s="25">
        <f t="shared" si="84"/>
        <v>0</v>
      </c>
      <c r="AG334" s="25">
        <f t="shared" si="84"/>
        <v>0</v>
      </c>
      <c r="AH334" s="25">
        <f t="shared" si="84"/>
        <v>0</v>
      </c>
      <c r="AI334" s="26">
        <f t="shared" si="84"/>
        <v>0</v>
      </c>
      <c r="AJ334" s="114"/>
      <c r="AK334" s="114"/>
      <c r="AL334" s="115"/>
    </row>
    <row r="335" spans="1:38" ht="30" hidden="1" outlineLevel="1">
      <c r="A335" s="113"/>
      <c r="B335" s="417" t="s">
        <v>187</v>
      </c>
      <c r="C335" s="172"/>
      <c r="D335" s="173"/>
      <c r="E335" s="380" t="e">
        <f>IF((#REF!-C335)/(D335-C335)&lt;0,0,IF((#REF!-C335)/(D335-C335)&gt;100%,100%,(#REF!-C335)/(D335-C335)))</f>
        <v>#REF!</v>
      </c>
      <c r="F335" s="186"/>
      <c r="G335" s="187"/>
      <c r="H335" s="380" t="e">
        <f>IF((#REF!-F335)/(G335-F335)&lt;0,0,IF((#REF!-F335)/(G335-F335)&gt;100%,100%,(#REF!-F335)/(G335-F335)))</f>
        <v>#REF!</v>
      </c>
      <c r="I335" s="182" t="e">
        <f t="shared" si="82"/>
        <v>#REF!</v>
      </c>
      <c r="J335" s="25">
        <f t="shared" si="85"/>
        <v>0</v>
      </c>
      <c r="K335" s="26">
        <f t="shared" si="85"/>
        <v>0</v>
      </c>
      <c r="L335" s="25">
        <f t="shared" si="85"/>
        <v>0</v>
      </c>
      <c r="M335" s="25">
        <f t="shared" si="86"/>
        <v>0</v>
      </c>
      <c r="N335" s="25">
        <f t="shared" si="86"/>
        <v>0</v>
      </c>
      <c r="O335" s="25">
        <f t="shared" si="86"/>
        <v>0</v>
      </c>
      <c r="P335" s="25">
        <f t="shared" si="86"/>
        <v>0</v>
      </c>
      <c r="Q335" s="25">
        <f t="shared" si="86"/>
        <v>0</v>
      </c>
      <c r="R335" s="25">
        <f t="shared" si="86"/>
        <v>0</v>
      </c>
      <c r="S335" s="25">
        <f t="shared" si="86"/>
        <v>0</v>
      </c>
      <c r="T335" s="25">
        <f t="shared" si="86"/>
        <v>0</v>
      </c>
      <c r="U335" s="25">
        <f t="shared" si="86"/>
        <v>0</v>
      </c>
      <c r="V335" s="25">
        <f t="shared" si="86"/>
        <v>0</v>
      </c>
      <c r="W335" s="26">
        <f t="shared" si="86"/>
        <v>0</v>
      </c>
      <c r="X335" s="27">
        <f t="shared" si="86"/>
        <v>0</v>
      </c>
      <c r="Y335" s="25">
        <f t="shared" si="86"/>
        <v>0</v>
      </c>
      <c r="Z335" s="25">
        <f t="shared" si="86"/>
        <v>0</v>
      </c>
      <c r="AA335" s="25">
        <f t="shared" si="84"/>
        <v>0</v>
      </c>
      <c r="AB335" s="25">
        <f t="shared" si="84"/>
        <v>0</v>
      </c>
      <c r="AC335" s="25">
        <f t="shared" si="84"/>
        <v>0</v>
      </c>
      <c r="AD335" s="25">
        <f t="shared" si="84"/>
        <v>0</v>
      </c>
      <c r="AE335" s="25">
        <f t="shared" si="84"/>
        <v>0</v>
      </c>
      <c r="AF335" s="25">
        <f t="shared" si="84"/>
        <v>0</v>
      </c>
      <c r="AG335" s="25">
        <f t="shared" si="84"/>
        <v>0</v>
      </c>
      <c r="AH335" s="25">
        <f t="shared" si="84"/>
        <v>0</v>
      </c>
      <c r="AI335" s="26">
        <f t="shared" si="84"/>
        <v>0</v>
      </c>
      <c r="AJ335" s="114"/>
      <c r="AK335" s="114"/>
      <c r="AL335" s="115"/>
    </row>
    <row r="336" spans="1:38" ht="30" hidden="1" outlineLevel="1">
      <c r="A336" s="113"/>
      <c r="B336" s="417" t="s">
        <v>188</v>
      </c>
      <c r="C336" s="172"/>
      <c r="D336" s="173"/>
      <c r="E336" s="380" t="e">
        <f>IF((#REF!-C336)/(D336-C336)&lt;0,0,IF((#REF!-C336)/(D336-C336)&gt;100%,100%,(#REF!-C336)/(D336-C336)))</f>
        <v>#REF!</v>
      </c>
      <c r="F336" s="186"/>
      <c r="G336" s="187"/>
      <c r="H336" s="380" t="e">
        <f>IF((#REF!-F336)/(G336-F336)&lt;0,0,IF((#REF!-F336)/(G336-F336)&gt;100%,100%,(#REF!-F336)/(G336-F336)))</f>
        <v>#REF!</v>
      </c>
      <c r="I336" s="182" t="e">
        <f t="shared" si="82"/>
        <v>#REF!</v>
      </c>
      <c r="J336" s="25">
        <f t="shared" si="85"/>
        <v>0</v>
      </c>
      <c r="K336" s="26">
        <f t="shared" si="85"/>
        <v>0</v>
      </c>
      <c r="L336" s="25">
        <f t="shared" si="85"/>
        <v>0</v>
      </c>
      <c r="M336" s="25">
        <f t="shared" si="86"/>
        <v>0</v>
      </c>
      <c r="N336" s="25">
        <f t="shared" si="86"/>
        <v>0</v>
      </c>
      <c r="O336" s="25">
        <f t="shared" si="86"/>
        <v>0</v>
      </c>
      <c r="P336" s="25">
        <f t="shared" si="86"/>
        <v>0</v>
      </c>
      <c r="Q336" s="25">
        <f t="shared" si="86"/>
        <v>0</v>
      </c>
      <c r="R336" s="25">
        <f t="shared" si="86"/>
        <v>0</v>
      </c>
      <c r="S336" s="25">
        <f t="shared" si="86"/>
        <v>0</v>
      </c>
      <c r="T336" s="25">
        <f t="shared" si="86"/>
        <v>0</v>
      </c>
      <c r="U336" s="25">
        <f t="shared" si="86"/>
        <v>0</v>
      </c>
      <c r="V336" s="25">
        <f t="shared" si="86"/>
        <v>0</v>
      </c>
      <c r="W336" s="26">
        <f t="shared" si="86"/>
        <v>0</v>
      </c>
      <c r="X336" s="27">
        <f t="shared" si="86"/>
        <v>0</v>
      </c>
      <c r="Y336" s="25">
        <f t="shared" si="86"/>
        <v>0</v>
      </c>
      <c r="Z336" s="25">
        <f t="shared" si="86"/>
        <v>0</v>
      </c>
      <c r="AA336" s="25">
        <f t="shared" si="84"/>
        <v>0</v>
      </c>
      <c r="AB336" s="25">
        <f t="shared" si="84"/>
        <v>0</v>
      </c>
      <c r="AC336" s="25">
        <f t="shared" si="84"/>
        <v>0</v>
      </c>
      <c r="AD336" s="25">
        <f t="shared" si="84"/>
        <v>0</v>
      </c>
      <c r="AE336" s="25">
        <f t="shared" si="84"/>
        <v>0</v>
      </c>
      <c r="AF336" s="25">
        <f t="shared" si="84"/>
        <v>0</v>
      </c>
      <c r="AG336" s="25">
        <f t="shared" si="84"/>
        <v>0</v>
      </c>
      <c r="AH336" s="25">
        <f t="shared" si="84"/>
        <v>0</v>
      </c>
      <c r="AI336" s="26">
        <f t="shared" si="84"/>
        <v>0</v>
      </c>
      <c r="AJ336" s="114"/>
      <c r="AK336" s="114"/>
      <c r="AL336" s="115"/>
    </row>
    <row r="337" spans="1:38" ht="16" hidden="1" outlineLevel="1">
      <c r="A337" s="113"/>
      <c r="B337" s="417" t="s">
        <v>189</v>
      </c>
      <c r="C337" s="172"/>
      <c r="D337" s="173"/>
      <c r="E337" s="380" t="e">
        <f>IF((#REF!-C337)/(D337-C337)&lt;0,0,IF((#REF!-C337)/(D337-C337)&gt;100%,100%,(#REF!-C337)/(D337-C337)))</f>
        <v>#REF!</v>
      </c>
      <c r="F337" s="186"/>
      <c r="G337" s="187"/>
      <c r="H337" s="380" t="e">
        <f>IF((#REF!-F337)/(G337-F337)&lt;0,0,IF((#REF!-F337)/(G337-F337)&gt;100%,100%,(#REF!-F337)/(G337-F337)))</f>
        <v>#REF!</v>
      </c>
      <c r="I337" s="182" t="e">
        <f t="shared" si="82"/>
        <v>#REF!</v>
      </c>
      <c r="J337" s="25">
        <f t="shared" si="85"/>
        <v>0</v>
      </c>
      <c r="K337" s="26">
        <f t="shared" si="85"/>
        <v>0</v>
      </c>
      <c r="L337" s="25">
        <f t="shared" si="85"/>
        <v>0</v>
      </c>
      <c r="M337" s="25">
        <f t="shared" si="86"/>
        <v>0</v>
      </c>
      <c r="N337" s="25">
        <f t="shared" si="86"/>
        <v>0</v>
      </c>
      <c r="O337" s="25">
        <f t="shared" si="86"/>
        <v>0</v>
      </c>
      <c r="P337" s="25">
        <f t="shared" si="86"/>
        <v>0</v>
      </c>
      <c r="Q337" s="25">
        <f t="shared" si="86"/>
        <v>0</v>
      </c>
      <c r="R337" s="25">
        <f t="shared" si="86"/>
        <v>0</v>
      </c>
      <c r="S337" s="25">
        <f t="shared" si="86"/>
        <v>0</v>
      </c>
      <c r="T337" s="25">
        <f t="shared" si="86"/>
        <v>0</v>
      </c>
      <c r="U337" s="25">
        <f t="shared" si="86"/>
        <v>0</v>
      </c>
      <c r="V337" s="25">
        <f t="shared" si="86"/>
        <v>0</v>
      </c>
      <c r="W337" s="26">
        <f t="shared" si="86"/>
        <v>0</v>
      </c>
      <c r="X337" s="27">
        <f t="shared" si="86"/>
        <v>0</v>
      </c>
      <c r="Y337" s="25">
        <f t="shared" si="86"/>
        <v>0</v>
      </c>
      <c r="Z337" s="25">
        <f t="shared" si="86"/>
        <v>0</v>
      </c>
      <c r="AA337" s="25">
        <f t="shared" si="84"/>
        <v>0</v>
      </c>
      <c r="AB337" s="25">
        <f t="shared" si="84"/>
        <v>0</v>
      </c>
      <c r="AC337" s="25">
        <f t="shared" si="84"/>
        <v>0</v>
      </c>
      <c r="AD337" s="25">
        <f t="shared" si="84"/>
        <v>0</v>
      </c>
      <c r="AE337" s="25">
        <f t="shared" si="84"/>
        <v>0</v>
      </c>
      <c r="AF337" s="25">
        <f t="shared" si="84"/>
        <v>0</v>
      </c>
      <c r="AG337" s="25">
        <f t="shared" si="84"/>
        <v>0</v>
      </c>
      <c r="AH337" s="25">
        <f t="shared" si="84"/>
        <v>0</v>
      </c>
      <c r="AI337" s="26">
        <f t="shared" si="84"/>
        <v>0</v>
      </c>
      <c r="AJ337" s="114"/>
      <c r="AK337" s="114"/>
      <c r="AL337" s="115"/>
    </row>
    <row r="338" spans="1:38" ht="16" hidden="1" outlineLevel="1">
      <c r="A338" s="113"/>
      <c r="B338" s="417" t="s">
        <v>190</v>
      </c>
      <c r="C338" s="172"/>
      <c r="D338" s="173"/>
      <c r="E338" s="380" t="e">
        <f>IF((#REF!-C338)/(D338-C338)&lt;0,0,IF((#REF!-C338)/(D338-C338)&gt;100%,100%,(#REF!-C338)/(D338-C338)))</f>
        <v>#REF!</v>
      </c>
      <c r="F338" s="186"/>
      <c r="G338" s="187"/>
      <c r="H338" s="380" t="e">
        <f>IF((#REF!-F338)/(G338-F338)&lt;0,0,IF((#REF!-F338)/(G338-F338)&gt;100%,100%,(#REF!-F338)/(G338-F338)))</f>
        <v>#REF!</v>
      </c>
      <c r="I338" s="182" t="e">
        <f t="shared" si="82"/>
        <v>#REF!</v>
      </c>
      <c r="J338" s="25">
        <f t="shared" si="85"/>
        <v>0</v>
      </c>
      <c r="K338" s="26">
        <f t="shared" si="85"/>
        <v>0</v>
      </c>
      <c r="L338" s="25">
        <f t="shared" si="85"/>
        <v>0</v>
      </c>
      <c r="M338" s="25">
        <f t="shared" si="86"/>
        <v>0</v>
      </c>
      <c r="N338" s="25">
        <f t="shared" si="86"/>
        <v>0</v>
      </c>
      <c r="O338" s="25">
        <f t="shared" si="86"/>
        <v>0</v>
      </c>
      <c r="P338" s="25">
        <f t="shared" si="86"/>
        <v>0</v>
      </c>
      <c r="Q338" s="25">
        <f t="shared" si="86"/>
        <v>0</v>
      </c>
      <c r="R338" s="25">
        <f t="shared" si="86"/>
        <v>0</v>
      </c>
      <c r="S338" s="25">
        <f t="shared" si="86"/>
        <v>0</v>
      </c>
      <c r="T338" s="25">
        <f t="shared" si="86"/>
        <v>0</v>
      </c>
      <c r="U338" s="25">
        <f t="shared" si="86"/>
        <v>0</v>
      </c>
      <c r="V338" s="25">
        <f t="shared" si="86"/>
        <v>0</v>
      </c>
      <c r="W338" s="26">
        <f t="shared" si="86"/>
        <v>0</v>
      </c>
      <c r="X338" s="27">
        <f t="shared" si="86"/>
        <v>0</v>
      </c>
      <c r="Y338" s="25">
        <f t="shared" si="86"/>
        <v>0</v>
      </c>
      <c r="Z338" s="25">
        <f t="shared" si="86"/>
        <v>0</v>
      </c>
      <c r="AA338" s="25">
        <f t="shared" si="84"/>
        <v>0</v>
      </c>
      <c r="AB338" s="25">
        <f t="shared" si="84"/>
        <v>0</v>
      </c>
      <c r="AC338" s="25">
        <f t="shared" si="84"/>
        <v>0</v>
      </c>
      <c r="AD338" s="25">
        <f t="shared" si="84"/>
        <v>0</v>
      </c>
      <c r="AE338" s="25">
        <f t="shared" si="84"/>
        <v>0</v>
      </c>
      <c r="AF338" s="25">
        <f t="shared" si="84"/>
        <v>0</v>
      </c>
      <c r="AG338" s="25">
        <f t="shared" si="84"/>
        <v>0</v>
      </c>
      <c r="AH338" s="25">
        <f t="shared" si="84"/>
        <v>0</v>
      </c>
      <c r="AI338" s="26">
        <f t="shared" si="84"/>
        <v>0</v>
      </c>
      <c r="AJ338" s="114"/>
      <c r="AK338" s="114"/>
      <c r="AL338" s="115"/>
    </row>
    <row r="339" spans="1:38" ht="16" hidden="1" outlineLevel="1">
      <c r="A339" s="113"/>
      <c r="B339" s="417" t="s">
        <v>191</v>
      </c>
      <c r="C339" s="172"/>
      <c r="D339" s="173"/>
      <c r="E339" s="380" t="e">
        <f>IF((#REF!-C339)/(D339-C339)&lt;0,0,IF((#REF!-C339)/(D339-C339)&gt;100%,100%,(#REF!-C339)/(D339-C339)))</f>
        <v>#REF!</v>
      </c>
      <c r="F339" s="186"/>
      <c r="G339" s="187"/>
      <c r="H339" s="380" t="e">
        <f>IF((#REF!-F339)/(G339-F339)&lt;0,0,IF((#REF!-F339)/(G339-F339)&gt;100%,100%,(#REF!-F339)/(G339-F339)))</f>
        <v>#REF!</v>
      </c>
      <c r="I339" s="182" t="e">
        <f t="shared" si="82"/>
        <v>#REF!</v>
      </c>
      <c r="J339" s="25">
        <f t="shared" si="85"/>
        <v>0</v>
      </c>
      <c r="K339" s="26">
        <f t="shared" si="85"/>
        <v>0</v>
      </c>
      <c r="L339" s="25">
        <f t="shared" si="85"/>
        <v>0</v>
      </c>
      <c r="M339" s="25">
        <f t="shared" si="86"/>
        <v>0</v>
      </c>
      <c r="N339" s="25">
        <f t="shared" si="86"/>
        <v>0</v>
      </c>
      <c r="O339" s="25">
        <f t="shared" si="86"/>
        <v>0</v>
      </c>
      <c r="P339" s="25">
        <f t="shared" si="86"/>
        <v>0</v>
      </c>
      <c r="Q339" s="25">
        <f t="shared" si="86"/>
        <v>0</v>
      </c>
      <c r="R339" s="25">
        <f t="shared" si="86"/>
        <v>0</v>
      </c>
      <c r="S339" s="25">
        <f t="shared" si="86"/>
        <v>0</v>
      </c>
      <c r="T339" s="25">
        <f t="shared" si="86"/>
        <v>0</v>
      </c>
      <c r="U339" s="25">
        <f t="shared" si="86"/>
        <v>0</v>
      </c>
      <c r="V339" s="25">
        <f t="shared" si="86"/>
        <v>0</v>
      </c>
      <c r="W339" s="26">
        <f t="shared" si="86"/>
        <v>0</v>
      </c>
      <c r="X339" s="27">
        <f t="shared" si="86"/>
        <v>0</v>
      </c>
      <c r="Y339" s="25">
        <f t="shared" si="86"/>
        <v>0</v>
      </c>
      <c r="Z339" s="25">
        <f t="shared" si="86"/>
        <v>0</v>
      </c>
      <c r="AA339" s="25">
        <f t="shared" si="84"/>
        <v>0</v>
      </c>
      <c r="AB339" s="25">
        <f t="shared" si="84"/>
        <v>0</v>
      </c>
      <c r="AC339" s="25">
        <f t="shared" si="84"/>
        <v>0</v>
      </c>
      <c r="AD339" s="25">
        <f t="shared" si="84"/>
        <v>0</v>
      </c>
      <c r="AE339" s="25">
        <f t="shared" si="84"/>
        <v>0</v>
      </c>
      <c r="AF339" s="25">
        <f t="shared" si="84"/>
        <v>0</v>
      </c>
      <c r="AG339" s="25">
        <f t="shared" si="84"/>
        <v>0</v>
      </c>
      <c r="AH339" s="25">
        <f t="shared" si="84"/>
        <v>0</v>
      </c>
      <c r="AI339" s="26">
        <f t="shared" si="84"/>
        <v>0</v>
      </c>
      <c r="AJ339" s="114"/>
      <c r="AK339" s="114"/>
      <c r="AL339" s="115"/>
    </row>
    <row r="340" spans="1:38" ht="16" hidden="1" outlineLevel="1">
      <c r="A340" s="113"/>
      <c r="B340" s="425" t="s">
        <v>192</v>
      </c>
      <c r="C340" s="172"/>
      <c r="D340" s="173"/>
      <c r="E340" s="380" t="e">
        <f>IF((#REF!-C340)/(D340-C340)&lt;0,0,IF((#REF!-C340)/(D340-C340)&gt;100%,100%,(#REF!-C340)/(D340-C340)))</f>
        <v>#REF!</v>
      </c>
      <c r="F340" s="186"/>
      <c r="G340" s="187"/>
      <c r="H340" s="380" t="e">
        <f>IF((#REF!-F340)/(G340-F340)&lt;0,0,IF((#REF!-F340)/(G340-F340)&gt;100%,100%,(#REF!-F340)/(G340-F340)))</f>
        <v>#REF!</v>
      </c>
      <c r="I340" s="182" t="e">
        <f t="shared" si="82"/>
        <v>#REF!</v>
      </c>
      <c r="J340" s="25">
        <f t="shared" si="85"/>
        <v>0</v>
      </c>
      <c r="K340" s="26">
        <f t="shared" si="85"/>
        <v>0</v>
      </c>
      <c r="L340" s="25">
        <f t="shared" si="85"/>
        <v>0</v>
      </c>
      <c r="M340" s="25">
        <f t="shared" si="86"/>
        <v>0</v>
      </c>
      <c r="N340" s="25">
        <f t="shared" si="86"/>
        <v>0</v>
      </c>
      <c r="O340" s="25">
        <f t="shared" si="86"/>
        <v>0</v>
      </c>
      <c r="P340" s="25">
        <f t="shared" si="86"/>
        <v>0</v>
      </c>
      <c r="Q340" s="25">
        <f t="shared" si="86"/>
        <v>0</v>
      </c>
      <c r="R340" s="25">
        <f t="shared" si="86"/>
        <v>0</v>
      </c>
      <c r="S340" s="25">
        <f t="shared" si="86"/>
        <v>0</v>
      </c>
      <c r="T340" s="25">
        <f t="shared" si="86"/>
        <v>0</v>
      </c>
      <c r="U340" s="25">
        <f t="shared" si="86"/>
        <v>0</v>
      </c>
      <c r="V340" s="25">
        <f t="shared" si="86"/>
        <v>0</v>
      </c>
      <c r="W340" s="26">
        <f t="shared" si="86"/>
        <v>0</v>
      </c>
      <c r="X340" s="27">
        <f t="shared" si="86"/>
        <v>0</v>
      </c>
      <c r="Y340" s="25">
        <f t="shared" si="86"/>
        <v>0</v>
      </c>
      <c r="Z340" s="25">
        <f t="shared" si="86"/>
        <v>0</v>
      </c>
      <c r="AA340" s="25">
        <f t="shared" si="84"/>
        <v>0</v>
      </c>
      <c r="AB340" s="25">
        <f t="shared" si="84"/>
        <v>0</v>
      </c>
      <c r="AC340" s="25">
        <f t="shared" si="84"/>
        <v>0</v>
      </c>
      <c r="AD340" s="25">
        <f t="shared" si="84"/>
        <v>0</v>
      </c>
      <c r="AE340" s="25">
        <f t="shared" si="84"/>
        <v>0</v>
      </c>
      <c r="AF340" s="25">
        <f t="shared" si="84"/>
        <v>0</v>
      </c>
      <c r="AG340" s="25">
        <f t="shared" si="84"/>
        <v>0</v>
      </c>
      <c r="AH340" s="25">
        <f t="shared" si="84"/>
        <v>0</v>
      </c>
      <c r="AI340" s="26">
        <f t="shared" si="84"/>
        <v>0</v>
      </c>
      <c r="AJ340" s="114"/>
      <c r="AK340" s="114"/>
      <c r="AL340" s="115"/>
    </row>
    <row r="341" spans="1:38" ht="16" hidden="1" outlineLevel="1">
      <c r="A341" s="113"/>
      <c r="B341" s="425" t="s">
        <v>193</v>
      </c>
      <c r="C341" s="172"/>
      <c r="D341" s="173"/>
      <c r="E341" s="380" t="e">
        <f>IF((#REF!-C341)/(D341-C341)&lt;0,0,IF((#REF!-C341)/(D341-C341)&gt;100%,100%,(#REF!-C341)/(D341-C341)))</f>
        <v>#REF!</v>
      </c>
      <c r="F341" s="186"/>
      <c r="G341" s="187"/>
      <c r="H341" s="380" t="e">
        <f>IF((#REF!-F341)/(G341-F341)&lt;0,0,IF((#REF!-F341)/(G341-F341)&gt;100%,100%,(#REF!-F341)/(G341-F341)))</f>
        <v>#REF!</v>
      </c>
      <c r="I341" s="182" t="e">
        <f t="shared" si="82"/>
        <v>#REF!</v>
      </c>
      <c r="J341" s="25">
        <f t="shared" si="85"/>
        <v>0</v>
      </c>
      <c r="K341" s="26">
        <f t="shared" si="85"/>
        <v>0</v>
      </c>
      <c r="L341" s="25">
        <f t="shared" si="85"/>
        <v>0</v>
      </c>
      <c r="M341" s="25">
        <f t="shared" si="86"/>
        <v>0</v>
      </c>
      <c r="N341" s="25">
        <f t="shared" si="86"/>
        <v>0</v>
      </c>
      <c r="O341" s="25">
        <f t="shared" si="86"/>
        <v>0</v>
      </c>
      <c r="P341" s="25">
        <f t="shared" si="86"/>
        <v>0</v>
      </c>
      <c r="Q341" s="25">
        <f t="shared" si="86"/>
        <v>0</v>
      </c>
      <c r="R341" s="25">
        <f t="shared" si="86"/>
        <v>0</v>
      </c>
      <c r="S341" s="25">
        <f t="shared" si="86"/>
        <v>0</v>
      </c>
      <c r="T341" s="25">
        <f t="shared" si="86"/>
        <v>0</v>
      </c>
      <c r="U341" s="25">
        <f t="shared" si="86"/>
        <v>0</v>
      </c>
      <c r="V341" s="25">
        <f t="shared" si="86"/>
        <v>0</v>
      </c>
      <c r="W341" s="26">
        <f t="shared" si="86"/>
        <v>0</v>
      </c>
      <c r="X341" s="27">
        <f t="shared" si="86"/>
        <v>0</v>
      </c>
      <c r="Y341" s="25">
        <f t="shared" si="86"/>
        <v>0</v>
      </c>
      <c r="Z341" s="25">
        <f t="shared" si="86"/>
        <v>0</v>
      </c>
      <c r="AA341" s="25">
        <f t="shared" si="84"/>
        <v>0</v>
      </c>
      <c r="AB341" s="25">
        <f t="shared" si="84"/>
        <v>0</v>
      </c>
      <c r="AC341" s="25">
        <f t="shared" si="84"/>
        <v>0</v>
      </c>
      <c r="AD341" s="25">
        <f t="shared" si="84"/>
        <v>0</v>
      </c>
      <c r="AE341" s="25">
        <f t="shared" si="84"/>
        <v>0</v>
      </c>
      <c r="AF341" s="25">
        <f t="shared" si="84"/>
        <v>0</v>
      </c>
      <c r="AG341" s="25">
        <f t="shared" si="84"/>
        <v>0</v>
      </c>
      <c r="AH341" s="25">
        <f t="shared" si="84"/>
        <v>0</v>
      </c>
      <c r="AI341" s="26">
        <f t="shared" si="84"/>
        <v>0</v>
      </c>
      <c r="AJ341" s="114"/>
      <c r="AK341" s="114"/>
      <c r="AL341" s="115"/>
    </row>
    <row r="342" spans="1:38" ht="16" hidden="1" outlineLevel="1">
      <c r="A342" s="113"/>
      <c r="B342" s="417" t="s">
        <v>195</v>
      </c>
      <c r="C342" s="172"/>
      <c r="D342" s="173"/>
      <c r="E342" s="380" t="e">
        <f>IF((#REF!-C342)/(D342-C342)&lt;0,0,IF((#REF!-C342)/(D342-C342)&gt;100%,100%,(#REF!-C342)/(D342-C342)))</f>
        <v>#REF!</v>
      </c>
      <c r="F342" s="186"/>
      <c r="G342" s="187"/>
      <c r="H342" s="380" t="e">
        <f>IF((#REF!-F342)/(G342-F342)&lt;0,0,IF((#REF!-F342)/(G342-F342)&gt;100%,100%,(#REF!-F342)/(G342-F342)))</f>
        <v>#REF!</v>
      </c>
      <c r="I342" s="182" t="e">
        <f t="shared" si="82"/>
        <v>#REF!</v>
      </c>
      <c r="J342" s="25">
        <f t="shared" ref="J342:L360" si="88">+IF(J$3&gt;=$C342,IF(J$3&lt;=$D342,1,0),0)</f>
        <v>0</v>
      </c>
      <c r="K342" s="26">
        <f t="shared" si="88"/>
        <v>0</v>
      </c>
      <c r="L342" s="25">
        <f t="shared" si="88"/>
        <v>0</v>
      </c>
      <c r="M342" s="25">
        <f t="shared" ref="M342:Z359" si="89">+IF(M$3&gt;=$C342,IF(M$3&lt;=$D342,1,0),0)</f>
        <v>0</v>
      </c>
      <c r="N342" s="25">
        <f t="shared" si="89"/>
        <v>0</v>
      </c>
      <c r="O342" s="25">
        <f t="shared" si="89"/>
        <v>0</v>
      </c>
      <c r="P342" s="25">
        <f t="shared" si="89"/>
        <v>0</v>
      </c>
      <c r="Q342" s="25">
        <f t="shared" si="89"/>
        <v>0</v>
      </c>
      <c r="R342" s="25">
        <f t="shared" si="89"/>
        <v>0</v>
      </c>
      <c r="S342" s="25">
        <f t="shared" si="89"/>
        <v>0</v>
      </c>
      <c r="T342" s="25">
        <f t="shared" si="89"/>
        <v>0</v>
      </c>
      <c r="U342" s="25">
        <f t="shared" si="89"/>
        <v>0</v>
      </c>
      <c r="V342" s="25">
        <f t="shared" si="89"/>
        <v>0</v>
      </c>
      <c r="W342" s="26">
        <f t="shared" si="89"/>
        <v>0</v>
      </c>
      <c r="X342" s="27">
        <f t="shared" si="89"/>
        <v>0</v>
      </c>
      <c r="Y342" s="25">
        <f t="shared" si="89"/>
        <v>0</v>
      </c>
      <c r="Z342" s="25">
        <f t="shared" si="89"/>
        <v>0</v>
      </c>
      <c r="AA342" s="25">
        <f t="shared" si="84"/>
        <v>0</v>
      </c>
      <c r="AB342" s="25">
        <f t="shared" si="84"/>
        <v>0</v>
      </c>
      <c r="AC342" s="25">
        <f t="shared" si="84"/>
        <v>0</v>
      </c>
      <c r="AD342" s="25">
        <f t="shared" si="84"/>
        <v>0</v>
      </c>
      <c r="AE342" s="25">
        <f t="shared" si="84"/>
        <v>0</v>
      </c>
      <c r="AF342" s="25">
        <f t="shared" si="84"/>
        <v>0</v>
      </c>
      <c r="AG342" s="25">
        <f t="shared" si="84"/>
        <v>0</v>
      </c>
      <c r="AH342" s="25">
        <f t="shared" si="84"/>
        <v>0</v>
      </c>
      <c r="AI342" s="26">
        <f t="shared" si="84"/>
        <v>0</v>
      </c>
      <c r="AJ342" s="114"/>
      <c r="AK342" s="114"/>
      <c r="AL342" s="115"/>
    </row>
    <row r="343" spans="1:38" ht="16" hidden="1" outlineLevel="1">
      <c r="A343" s="113"/>
      <c r="B343" s="417" t="s">
        <v>196</v>
      </c>
      <c r="C343" s="172"/>
      <c r="D343" s="173"/>
      <c r="E343" s="380" t="e">
        <f>IF((#REF!-C343)/(D343-C343)&lt;0,0,IF((#REF!-C343)/(D343-C343)&gt;100%,100%,(#REF!-C343)/(D343-C343)))</f>
        <v>#REF!</v>
      </c>
      <c r="F343" s="186"/>
      <c r="G343" s="187"/>
      <c r="H343" s="380" t="e">
        <f>IF((#REF!-F343)/(G343-F343)&lt;0,0,IF((#REF!-F343)/(G343-F343)&gt;100%,100%,(#REF!-F343)/(G343-F343)))</f>
        <v>#REF!</v>
      </c>
      <c r="I343" s="182" t="e">
        <f t="shared" si="82"/>
        <v>#REF!</v>
      </c>
      <c r="J343" s="25">
        <f t="shared" si="88"/>
        <v>0</v>
      </c>
      <c r="K343" s="26">
        <f t="shared" si="88"/>
        <v>0</v>
      </c>
      <c r="L343" s="25">
        <f t="shared" si="88"/>
        <v>0</v>
      </c>
      <c r="M343" s="25">
        <f t="shared" si="89"/>
        <v>0</v>
      </c>
      <c r="N343" s="25">
        <f t="shared" si="89"/>
        <v>0</v>
      </c>
      <c r="O343" s="25">
        <f t="shared" si="89"/>
        <v>0</v>
      </c>
      <c r="P343" s="25">
        <f t="shared" si="89"/>
        <v>0</v>
      </c>
      <c r="Q343" s="25">
        <f t="shared" si="89"/>
        <v>0</v>
      </c>
      <c r="R343" s="25">
        <f t="shared" si="89"/>
        <v>0</v>
      </c>
      <c r="S343" s="25">
        <f t="shared" si="89"/>
        <v>0</v>
      </c>
      <c r="T343" s="25">
        <f t="shared" si="89"/>
        <v>0</v>
      </c>
      <c r="U343" s="25">
        <f t="shared" si="89"/>
        <v>0</v>
      </c>
      <c r="V343" s="25">
        <f t="shared" si="89"/>
        <v>0</v>
      </c>
      <c r="W343" s="26">
        <f t="shared" si="89"/>
        <v>0</v>
      </c>
      <c r="X343" s="27">
        <f t="shared" si="89"/>
        <v>0</v>
      </c>
      <c r="Y343" s="25">
        <f t="shared" si="89"/>
        <v>0</v>
      </c>
      <c r="Z343" s="25">
        <f t="shared" si="89"/>
        <v>0</v>
      </c>
      <c r="AA343" s="25">
        <f t="shared" si="84"/>
        <v>0</v>
      </c>
      <c r="AB343" s="25">
        <f t="shared" si="84"/>
        <v>0</v>
      </c>
      <c r="AC343" s="25">
        <f t="shared" si="84"/>
        <v>0</v>
      </c>
      <c r="AD343" s="25">
        <f t="shared" si="84"/>
        <v>0</v>
      </c>
      <c r="AE343" s="25">
        <f t="shared" si="84"/>
        <v>0</v>
      </c>
      <c r="AF343" s="25">
        <f t="shared" si="84"/>
        <v>0</v>
      </c>
      <c r="AG343" s="25">
        <f t="shared" si="84"/>
        <v>0</v>
      </c>
      <c r="AH343" s="25">
        <f t="shared" si="84"/>
        <v>0</v>
      </c>
      <c r="AI343" s="26">
        <f t="shared" si="84"/>
        <v>0</v>
      </c>
      <c r="AJ343" s="114"/>
      <c r="AK343" s="114"/>
      <c r="AL343" s="115"/>
    </row>
    <row r="344" spans="1:38" ht="13.25" hidden="1" customHeight="1" outlineLevel="1">
      <c r="A344" s="113"/>
      <c r="B344" s="417" t="s">
        <v>197</v>
      </c>
      <c r="C344" s="172"/>
      <c r="D344" s="173"/>
      <c r="E344" s="380" t="e">
        <f>IF((#REF!-C344)/(D344-C344)&lt;0,0,IF((#REF!-C344)/(D344-C344)&gt;100%,100%,(#REF!-C344)/(D344-C344)))</f>
        <v>#REF!</v>
      </c>
      <c r="F344" s="186"/>
      <c r="G344" s="187"/>
      <c r="H344" s="380" t="e">
        <f>IF((#REF!-F344)/(G344-F344)&lt;0,0,IF((#REF!-F344)/(G344-F344)&gt;100%,100%,(#REF!-F344)/(G344-F344)))</f>
        <v>#REF!</v>
      </c>
      <c r="I344" s="182" t="e">
        <f t="shared" si="82"/>
        <v>#REF!</v>
      </c>
      <c r="J344" s="25">
        <f t="shared" si="88"/>
        <v>0</v>
      </c>
      <c r="K344" s="26">
        <f t="shared" si="88"/>
        <v>0</v>
      </c>
      <c r="L344" s="25">
        <f t="shared" si="88"/>
        <v>0</v>
      </c>
      <c r="M344" s="25">
        <f t="shared" si="89"/>
        <v>0</v>
      </c>
      <c r="N344" s="25">
        <f t="shared" si="89"/>
        <v>0</v>
      </c>
      <c r="O344" s="25">
        <f t="shared" si="89"/>
        <v>0</v>
      </c>
      <c r="P344" s="25">
        <f t="shared" si="89"/>
        <v>0</v>
      </c>
      <c r="Q344" s="25">
        <f t="shared" si="89"/>
        <v>0</v>
      </c>
      <c r="R344" s="25">
        <f t="shared" si="89"/>
        <v>0</v>
      </c>
      <c r="S344" s="25">
        <f t="shared" si="89"/>
        <v>0</v>
      </c>
      <c r="T344" s="25">
        <f t="shared" si="89"/>
        <v>0</v>
      </c>
      <c r="U344" s="25">
        <f t="shared" si="89"/>
        <v>0</v>
      </c>
      <c r="V344" s="25">
        <f t="shared" si="89"/>
        <v>0</v>
      </c>
      <c r="W344" s="26">
        <f t="shared" si="89"/>
        <v>0</v>
      </c>
      <c r="X344" s="27">
        <f t="shared" si="89"/>
        <v>0</v>
      </c>
      <c r="Y344" s="25">
        <f t="shared" si="89"/>
        <v>0</v>
      </c>
      <c r="Z344" s="25">
        <f t="shared" si="89"/>
        <v>0</v>
      </c>
      <c r="AA344" s="25">
        <f t="shared" si="84"/>
        <v>0</v>
      </c>
      <c r="AB344" s="25">
        <f t="shared" si="84"/>
        <v>0</v>
      </c>
      <c r="AC344" s="25">
        <f t="shared" ref="AA344:AI372" si="90">+IF(AC$3&gt;=$C344,IF(AC$3&lt;=$D344,1,0),0)</f>
        <v>0</v>
      </c>
      <c r="AD344" s="25">
        <f t="shared" si="90"/>
        <v>0</v>
      </c>
      <c r="AE344" s="25">
        <f t="shared" si="90"/>
        <v>0</v>
      </c>
      <c r="AF344" s="25">
        <f t="shared" si="90"/>
        <v>0</v>
      </c>
      <c r="AG344" s="25">
        <f t="shared" si="90"/>
        <v>0</v>
      </c>
      <c r="AH344" s="25">
        <f t="shared" si="90"/>
        <v>0</v>
      </c>
      <c r="AI344" s="26">
        <f t="shared" si="90"/>
        <v>0</v>
      </c>
      <c r="AJ344" s="114"/>
      <c r="AK344" s="114"/>
      <c r="AL344" s="115"/>
    </row>
    <row r="345" spans="1:38" ht="16" collapsed="1">
      <c r="A345" s="110" t="s">
        <v>353</v>
      </c>
      <c r="B345" s="407" t="s">
        <v>175</v>
      </c>
      <c r="C345" s="176"/>
      <c r="D345" s="177"/>
      <c r="E345" s="380" t="e">
        <f>IF((#REF!-C345)/(D345-C345)&lt;0,0,IF((#REF!-C345)/(D345-C345)&gt;100%,100%,(#REF!-C345)/(D345-C345)))</f>
        <v>#REF!</v>
      </c>
      <c r="F345" s="189"/>
      <c r="G345" s="190"/>
      <c r="H345" s="380" t="e">
        <f>IF((#REF!-F345)/(G345-F345)&lt;0,0,IF((#REF!-F345)/(G345-F345)&gt;100%,100%,(#REF!-F345)/(G345-F345)))</f>
        <v>#REF!</v>
      </c>
      <c r="I345" s="182" t="e">
        <f t="shared" si="82"/>
        <v>#REF!</v>
      </c>
      <c r="J345" s="25">
        <f t="shared" si="88"/>
        <v>0</v>
      </c>
      <c r="K345" s="26">
        <f t="shared" si="88"/>
        <v>0</v>
      </c>
      <c r="L345" s="25">
        <f t="shared" si="88"/>
        <v>0</v>
      </c>
      <c r="M345" s="25">
        <f t="shared" si="89"/>
        <v>0</v>
      </c>
      <c r="N345" s="25">
        <f t="shared" si="89"/>
        <v>0</v>
      </c>
      <c r="O345" s="25">
        <f t="shared" si="89"/>
        <v>0</v>
      </c>
      <c r="P345" s="25">
        <f t="shared" si="89"/>
        <v>0</v>
      </c>
      <c r="Q345" s="25">
        <f t="shared" si="89"/>
        <v>0</v>
      </c>
      <c r="R345" s="25">
        <f t="shared" si="89"/>
        <v>0</v>
      </c>
      <c r="S345" s="25">
        <f t="shared" si="89"/>
        <v>0</v>
      </c>
      <c r="T345" s="25">
        <f t="shared" si="89"/>
        <v>0</v>
      </c>
      <c r="U345" s="25">
        <f t="shared" si="89"/>
        <v>0</v>
      </c>
      <c r="V345" s="25">
        <f t="shared" si="89"/>
        <v>0</v>
      </c>
      <c r="W345" s="26">
        <f t="shared" si="89"/>
        <v>0</v>
      </c>
      <c r="X345" s="27">
        <f t="shared" si="89"/>
        <v>0</v>
      </c>
      <c r="Y345" s="25">
        <f t="shared" si="89"/>
        <v>0</v>
      </c>
      <c r="Z345" s="25">
        <f t="shared" si="89"/>
        <v>0</v>
      </c>
      <c r="AA345" s="25">
        <f t="shared" si="90"/>
        <v>0</v>
      </c>
      <c r="AB345" s="25">
        <f t="shared" si="90"/>
        <v>0</v>
      </c>
      <c r="AC345" s="25">
        <f t="shared" si="90"/>
        <v>0</v>
      </c>
      <c r="AD345" s="25">
        <f t="shared" si="90"/>
        <v>0</v>
      </c>
      <c r="AE345" s="25">
        <f t="shared" si="90"/>
        <v>0</v>
      </c>
      <c r="AF345" s="25">
        <f t="shared" si="90"/>
        <v>0</v>
      </c>
      <c r="AG345" s="25">
        <f t="shared" si="90"/>
        <v>0</v>
      </c>
      <c r="AH345" s="25">
        <f t="shared" si="90"/>
        <v>0</v>
      </c>
      <c r="AI345" s="26">
        <f t="shared" si="90"/>
        <v>0</v>
      </c>
      <c r="AJ345" s="111"/>
      <c r="AK345" s="111"/>
      <c r="AL345" s="112"/>
    </row>
    <row r="346" spans="1:38" ht="18.5" customHeight="1" collapsed="1">
      <c r="A346" s="365" t="s">
        <v>354</v>
      </c>
      <c r="B346" s="426" t="s">
        <v>372</v>
      </c>
      <c r="C346" s="174"/>
      <c r="D346" s="175"/>
      <c r="E346" s="381" t="e">
        <f>IF((#REF!-C346)/(D346-C346)&lt;0,0,IF((#REF!-C346)/(D346-C346)&gt;100%,100%,(#REF!-C346)/(D346-C346)))</f>
        <v>#REF!</v>
      </c>
      <c r="F346" s="188"/>
      <c r="G346" s="165"/>
      <c r="H346" s="381" t="e">
        <f>IF((#REF!-F346)/(G346-F346)&lt;0,0,IF((#REF!-F346)/(G346-F346)&gt;100%,100%,(#REF!-F346)/(G346-F346)))</f>
        <v>#REF!</v>
      </c>
      <c r="I346" s="182" t="e">
        <f t="shared" si="82"/>
        <v>#REF!</v>
      </c>
      <c r="J346" s="25">
        <f t="shared" si="88"/>
        <v>0</v>
      </c>
      <c r="K346" s="26">
        <f t="shared" si="88"/>
        <v>0</v>
      </c>
      <c r="L346" s="25">
        <f t="shared" si="88"/>
        <v>0</v>
      </c>
      <c r="M346" s="25">
        <f t="shared" si="89"/>
        <v>0</v>
      </c>
      <c r="N346" s="25">
        <f t="shared" si="89"/>
        <v>0</v>
      </c>
      <c r="O346" s="25">
        <f t="shared" si="89"/>
        <v>0</v>
      </c>
      <c r="P346" s="25">
        <f t="shared" si="89"/>
        <v>0</v>
      </c>
      <c r="Q346" s="25">
        <f t="shared" si="89"/>
        <v>0</v>
      </c>
      <c r="R346" s="25">
        <f t="shared" si="89"/>
        <v>0</v>
      </c>
      <c r="S346" s="25">
        <f t="shared" si="89"/>
        <v>0</v>
      </c>
      <c r="T346" s="25">
        <f t="shared" si="89"/>
        <v>0</v>
      </c>
      <c r="U346" s="25">
        <f t="shared" si="89"/>
        <v>0</v>
      </c>
      <c r="V346" s="25">
        <f t="shared" si="89"/>
        <v>0</v>
      </c>
      <c r="W346" s="26">
        <f t="shared" si="89"/>
        <v>0</v>
      </c>
      <c r="X346" s="27">
        <f t="shared" si="89"/>
        <v>0</v>
      </c>
      <c r="Y346" s="25">
        <f t="shared" si="89"/>
        <v>0</v>
      </c>
      <c r="Z346" s="25">
        <f t="shared" si="89"/>
        <v>0</v>
      </c>
      <c r="AA346" s="25">
        <f t="shared" si="90"/>
        <v>0</v>
      </c>
      <c r="AB346" s="25">
        <f t="shared" si="90"/>
        <v>0</v>
      </c>
      <c r="AC346" s="25">
        <f t="shared" si="90"/>
        <v>0</v>
      </c>
      <c r="AD346" s="25">
        <f t="shared" si="90"/>
        <v>0</v>
      </c>
      <c r="AE346" s="25">
        <f t="shared" si="90"/>
        <v>0</v>
      </c>
      <c r="AF346" s="25">
        <f t="shared" si="90"/>
        <v>0</v>
      </c>
      <c r="AG346" s="25">
        <f t="shared" si="90"/>
        <v>0</v>
      </c>
      <c r="AH346" s="25">
        <f t="shared" si="90"/>
        <v>0</v>
      </c>
      <c r="AI346" s="26">
        <f t="shared" si="90"/>
        <v>0</v>
      </c>
      <c r="AJ346" s="117"/>
      <c r="AK346" s="117"/>
      <c r="AL346" s="118"/>
    </row>
    <row r="347" spans="1:38" ht="16" collapsed="1">
      <c r="A347" s="365" t="s">
        <v>677</v>
      </c>
      <c r="B347" s="426" t="s">
        <v>373</v>
      </c>
      <c r="C347" s="174"/>
      <c r="D347" s="175"/>
      <c r="E347" s="381" t="e">
        <f>IF((#REF!-C347)/(D347-C347)&lt;0,0,IF((#REF!-C347)/(D347-C347)&gt;100%,100%,(#REF!-C347)/(D347-C347)))</f>
        <v>#REF!</v>
      </c>
      <c r="F347" s="188"/>
      <c r="G347" s="165"/>
      <c r="H347" s="381" t="e">
        <f>IF((#REF!-F347)/(G347-F347)&lt;0,0,IF((#REF!-F347)/(G347-F347)&gt;100%,100%,(#REF!-F347)/(G347-F347)))</f>
        <v>#REF!</v>
      </c>
      <c r="I347" s="182" t="e">
        <f t="shared" si="82"/>
        <v>#REF!</v>
      </c>
      <c r="J347" s="25">
        <f t="shared" si="88"/>
        <v>0</v>
      </c>
      <c r="K347" s="26">
        <f t="shared" si="88"/>
        <v>0</v>
      </c>
      <c r="L347" s="25">
        <f t="shared" si="88"/>
        <v>0</v>
      </c>
      <c r="M347" s="25">
        <f t="shared" si="89"/>
        <v>0</v>
      </c>
      <c r="N347" s="25">
        <f t="shared" si="89"/>
        <v>0</v>
      </c>
      <c r="O347" s="25">
        <f t="shared" si="89"/>
        <v>0</v>
      </c>
      <c r="P347" s="25">
        <f t="shared" si="89"/>
        <v>0</v>
      </c>
      <c r="Q347" s="25">
        <f t="shared" si="89"/>
        <v>0</v>
      </c>
      <c r="R347" s="25">
        <f t="shared" si="89"/>
        <v>0</v>
      </c>
      <c r="S347" s="25">
        <f t="shared" si="89"/>
        <v>0</v>
      </c>
      <c r="T347" s="25">
        <f t="shared" si="89"/>
        <v>0</v>
      </c>
      <c r="U347" s="25">
        <f t="shared" si="89"/>
        <v>0</v>
      </c>
      <c r="V347" s="25">
        <f t="shared" si="89"/>
        <v>0</v>
      </c>
      <c r="W347" s="26">
        <f t="shared" si="89"/>
        <v>0</v>
      </c>
      <c r="X347" s="27">
        <f t="shared" si="89"/>
        <v>0</v>
      </c>
      <c r="Y347" s="25">
        <f t="shared" si="89"/>
        <v>0</v>
      </c>
      <c r="Z347" s="25">
        <f t="shared" si="89"/>
        <v>0</v>
      </c>
      <c r="AA347" s="25">
        <f t="shared" si="90"/>
        <v>0</v>
      </c>
      <c r="AB347" s="25">
        <f t="shared" si="90"/>
        <v>0</v>
      </c>
      <c r="AC347" s="25">
        <f t="shared" si="90"/>
        <v>0</v>
      </c>
      <c r="AD347" s="25">
        <f t="shared" si="90"/>
        <v>0</v>
      </c>
      <c r="AE347" s="25">
        <f t="shared" si="90"/>
        <v>0</v>
      </c>
      <c r="AF347" s="25">
        <f t="shared" si="90"/>
        <v>0</v>
      </c>
      <c r="AG347" s="25">
        <f t="shared" si="90"/>
        <v>0</v>
      </c>
      <c r="AH347" s="25">
        <f t="shared" si="90"/>
        <v>0</v>
      </c>
      <c r="AI347" s="26">
        <f t="shared" si="90"/>
        <v>0</v>
      </c>
      <c r="AJ347" s="117"/>
      <c r="AK347" s="117"/>
      <c r="AL347" s="118"/>
    </row>
    <row r="348" spans="1:38" ht="16" collapsed="1">
      <c r="A348" s="365" t="s">
        <v>678</v>
      </c>
      <c r="B348" s="426" t="s">
        <v>374</v>
      </c>
      <c r="C348" s="174"/>
      <c r="D348" s="175"/>
      <c r="E348" s="381" t="e">
        <f>IF((#REF!-C348)/(D348-C348)&lt;0,0,IF((#REF!-C348)/(D348-C348)&gt;100%,100%,(#REF!-C348)/(D348-C348)))</f>
        <v>#REF!</v>
      </c>
      <c r="F348" s="188"/>
      <c r="G348" s="165"/>
      <c r="H348" s="381" t="e">
        <f>IF((#REF!-F348)/(G348-F348)&lt;0,0,IF((#REF!-F348)/(G348-F348)&gt;100%,100%,(#REF!-F348)/(G348-F348)))</f>
        <v>#REF!</v>
      </c>
      <c r="I348" s="182" t="e">
        <f t="shared" si="82"/>
        <v>#REF!</v>
      </c>
      <c r="J348" s="25">
        <f t="shared" si="88"/>
        <v>0</v>
      </c>
      <c r="K348" s="26">
        <f t="shared" si="88"/>
        <v>0</v>
      </c>
      <c r="L348" s="25">
        <f t="shared" si="88"/>
        <v>0</v>
      </c>
      <c r="M348" s="25">
        <f t="shared" si="89"/>
        <v>0</v>
      </c>
      <c r="N348" s="25">
        <f t="shared" si="89"/>
        <v>0</v>
      </c>
      <c r="O348" s="25">
        <f t="shared" si="89"/>
        <v>0</v>
      </c>
      <c r="P348" s="25">
        <f t="shared" si="89"/>
        <v>0</v>
      </c>
      <c r="Q348" s="25">
        <f t="shared" si="89"/>
        <v>0</v>
      </c>
      <c r="R348" s="25">
        <f t="shared" si="89"/>
        <v>0</v>
      </c>
      <c r="S348" s="25">
        <f t="shared" si="89"/>
        <v>0</v>
      </c>
      <c r="T348" s="25">
        <f t="shared" si="89"/>
        <v>0</v>
      </c>
      <c r="U348" s="25">
        <f t="shared" si="89"/>
        <v>0</v>
      </c>
      <c r="V348" s="25">
        <f t="shared" si="89"/>
        <v>0</v>
      </c>
      <c r="W348" s="26">
        <f t="shared" si="89"/>
        <v>0</v>
      </c>
      <c r="X348" s="27">
        <f t="shared" si="89"/>
        <v>0</v>
      </c>
      <c r="Y348" s="25">
        <f t="shared" si="89"/>
        <v>0</v>
      </c>
      <c r="Z348" s="25">
        <f t="shared" si="89"/>
        <v>0</v>
      </c>
      <c r="AA348" s="25">
        <f t="shared" si="90"/>
        <v>0</v>
      </c>
      <c r="AB348" s="25">
        <f t="shared" si="90"/>
        <v>0</v>
      </c>
      <c r="AC348" s="25">
        <f t="shared" si="90"/>
        <v>0</v>
      </c>
      <c r="AD348" s="25">
        <f t="shared" si="90"/>
        <v>0</v>
      </c>
      <c r="AE348" s="25">
        <f t="shared" si="90"/>
        <v>0</v>
      </c>
      <c r="AF348" s="25">
        <f t="shared" si="90"/>
        <v>0</v>
      </c>
      <c r="AG348" s="25">
        <f t="shared" si="90"/>
        <v>0</v>
      </c>
      <c r="AH348" s="25">
        <f t="shared" si="90"/>
        <v>0</v>
      </c>
      <c r="AI348" s="26">
        <f t="shared" si="90"/>
        <v>0</v>
      </c>
      <c r="AJ348" s="117"/>
      <c r="AK348" s="117"/>
      <c r="AL348" s="118"/>
    </row>
    <row r="349" spans="1:38" ht="16" hidden="1" outlineLevel="1">
      <c r="A349" s="206" t="s">
        <v>679</v>
      </c>
      <c r="B349" s="427" t="s">
        <v>360</v>
      </c>
      <c r="C349" s="172"/>
      <c r="D349" s="173"/>
      <c r="E349" s="378" t="e">
        <f>IF((#REF!-C349)/(D349-C349)&lt;0,0,IF((#REF!-C349)/(D349-C349)&gt;100%,100%,(#REF!-C349)/(D349-C349)))</f>
        <v>#REF!</v>
      </c>
      <c r="F349" s="186"/>
      <c r="G349" s="187"/>
      <c r="H349" s="378" t="e">
        <f>IF((#REF!-F349)/(G349-F349)&lt;0,0,IF((#REF!-F349)/(G349-F349)&gt;100%,100%,(#REF!-F349)/(G349-F349)))</f>
        <v>#REF!</v>
      </c>
      <c r="I349" s="182" t="e">
        <f t="shared" si="82"/>
        <v>#REF!</v>
      </c>
      <c r="J349" s="25">
        <f t="shared" si="88"/>
        <v>0</v>
      </c>
      <c r="K349" s="26">
        <f t="shared" si="88"/>
        <v>0</v>
      </c>
      <c r="L349" s="25">
        <f t="shared" si="88"/>
        <v>0</v>
      </c>
      <c r="M349" s="25">
        <f t="shared" si="89"/>
        <v>0</v>
      </c>
      <c r="N349" s="25">
        <f t="shared" si="89"/>
        <v>0</v>
      </c>
      <c r="O349" s="25">
        <f t="shared" si="89"/>
        <v>0</v>
      </c>
      <c r="P349" s="25">
        <f t="shared" si="89"/>
        <v>0</v>
      </c>
      <c r="Q349" s="25">
        <f t="shared" si="89"/>
        <v>0</v>
      </c>
      <c r="R349" s="25">
        <f t="shared" si="89"/>
        <v>0</v>
      </c>
      <c r="S349" s="25">
        <f t="shared" si="89"/>
        <v>0</v>
      </c>
      <c r="T349" s="25">
        <f t="shared" si="89"/>
        <v>0</v>
      </c>
      <c r="U349" s="25">
        <f t="shared" si="89"/>
        <v>0</v>
      </c>
      <c r="V349" s="25">
        <f t="shared" si="89"/>
        <v>0</v>
      </c>
      <c r="W349" s="26">
        <f t="shared" si="89"/>
        <v>0</v>
      </c>
      <c r="X349" s="27">
        <f t="shared" si="89"/>
        <v>0</v>
      </c>
      <c r="Y349" s="25">
        <f t="shared" si="89"/>
        <v>0</v>
      </c>
      <c r="Z349" s="25">
        <f t="shared" si="89"/>
        <v>0</v>
      </c>
      <c r="AA349" s="25">
        <f t="shared" si="90"/>
        <v>0</v>
      </c>
      <c r="AB349" s="25">
        <f t="shared" si="90"/>
        <v>0</v>
      </c>
      <c r="AC349" s="25">
        <f t="shared" si="90"/>
        <v>0</v>
      </c>
      <c r="AD349" s="25">
        <f t="shared" si="90"/>
        <v>0</v>
      </c>
      <c r="AE349" s="25">
        <f t="shared" si="90"/>
        <v>0</v>
      </c>
      <c r="AF349" s="25">
        <f t="shared" si="90"/>
        <v>0</v>
      </c>
      <c r="AG349" s="25">
        <f t="shared" si="90"/>
        <v>0</v>
      </c>
      <c r="AH349" s="25">
        <f t="shared" si="90"/>
        <v>0</v>
      </c>
      <c r="AI349" s="26">
        <f t="shared" si="90"/>
        <v>0</v>
      </c>
      <c r="AJ349" s="114"/>
      <c r="AK349" s="114"/>
      <c r="AL349" s="115"/>
    </row>
    <row r="350" spans="1:38" ht="42" hidden="1" customHeight="1" outlineLevel="1">
      <c r="A350" s="206" t="s">
        <v>680</v>
      </c>
      <c r="B350" s="427" t="s">
        <v>361</v>
      </c>
      <c r="C350" s="172"/>
      <c r="D350" s="173"/>
      <c r="E350" s="378" t="e">
        <f>IF((#REF!-C350)/(D350-C350)&lt;0,0,IF((#REF!-C350)/(D350-C350)&gt;100%,100%,(#REF!-C350)/(D350-C350)))</f>
        <v>#REF!</v>
      </c>
      <c r="F350" s="186"/>
      <c r="G350" s="187"/>
      <c r="H350" s="378" t="e">
        <f>IF((#REF!-F350)/(G350-F350)&lt;0,0,IF((#REF!-F350)/(G350-F350)&gt;100%,100%,(#REF!-F350)/(G350-F350)))</f>
        <v>#REF!</v>
      </c>
      <c r="I350" s="182" t="e">
        <f t="shared" si="82"/>
        <v>#REF!</v>
      </c>
      <c r="J350" s="25">
        <f t="shared" si="88"/>
        <v>0</v>
      </c>
      <c r="K350" s="26">
        <f t="shared" si="88"/>
        <v>0</v>
      </c>
      <c r="L350" s="25">
        <f t="shared" si="88"/>
        <v>0</v>
      </c>
      <c r="M350" s="25">
        <f t="shared" si="89"/>
        <v>0</v>
      </c>
      <c r="N350" s="25">
        <f t="shared" si="89"/>
        <v>0</v>
      </c>
      <c r="O350" s="25">
        <f t="shared" si="89"/>
        <v>0</v>
      </c>
      <c r="P350" s="25">
        <f t="shared" si="89"/>
        <v>0</v>
      </c>
      <c r="Q350" s="25">
        <f t="shared" si="89"/>
        <v>0</v>
      </c>
      <c r="R350" s="25">
        <f t="shared" si="89"/>
        <v>0</v>
      </c>
      <c r="S350" s="25">
        <f t="shared" si="89"/>
        <v>0</v>
      </c>
      <c r="T350" s="25">
        <f t="shared" si="89"/>
        <v>0</v>
      </c>
      <c r="U350" s="25">
        <f t="shared" si="89"/>
        <v>0</v>
      </c>
      <c r="V350" s="25">
        <f t="shared" si="89"/>
        <v>0</v>
      </c>
      <c r="W350" s="26">
        <f t="shared" si="89"/>
        <v>0</v>
      </c>
      <c r="X350" s="27">
        <f t="shared" si="89"/>
        <v>0</v>
      </c>
      <c r="Y350" s="25">
        <f t="shared" si="89"/>
        <v>0</v>
      </c>
      <c r="Z350" s="25">
        <f t="shared" si="89"/>
        <v>0</v>
      </c>
      <c r="AA350" s="25">
        <f t="shared" si="90"/>
        <v>0</v>
      </c>
      <c r="AB350" s="25">
        <f t="shared" si="90"/>
        <v>0</v>
      </c>
      <c r="AC350" s="25">
        <f t="shared" si="90"/>
        <v>0</v>
      </c>
      <c r="AD350" s="25">
        <f t="shared" si="90"/>
        <v>0</v>
      </c>
      <c r="AE350" s="25">
        <f t="shared" si="90"/>
        <v>0</v>
      </c>
      <c r="AF350" s="25">
        <f t="shared" si="90"/>
        <v>0</v>
      </c>
      <c r="AG350" s="25">
        <f t="shared" si="90"/>
        <v>0</v>
      </c>
      <c r="AH350" s="25">
        <f t="shared" si="90"/>
        <v>0</v>
      </c>
      <c r="AI350" s="26">
        <f t="shared" si="90"/>
        <v>0</v>
      </c>
      <c r="AJ350" s="114"/>
      <c r="AK350" s="114"/>
      <c r="AL350" s="115"/>
    </row>
    <row r="351" spans="1:38" ht="16" collapsed="1">
      <c r="A351" s="365" t="s">
        <v>681</v>
      </c>
      <c r="B351" s="426" t="s">
        <v>375</v>
      </c>
      <c r="C351" s="174"/>
      <c r="D351" s="175"/>
      <c r="E351" s="381" t="e">
        <f>IF((#REF!-C351)/(D351-C351)&lt;0,0,IF((#REF!-C351)/(D351-C351)&gt;100%,100%,(#REF!-C351)/(D351-C351)))</f>
        <v>#REF!</v>
      </c>
      <c r="F351" s="188"/>
      <c r="G351" s="165"/>
      <c r="H351" s="381" t="e">
        <f>IF((#REF!-F351)/(G351-F351)&lt;0,0,IF((#REF!-F351)/(G351-F351)&gt;100%,100%,(#REF!-F351)/(G351-F351)))</f>
        <v>#REF!</v>
      </c>
      <c r="I351" s="182" t="e">
        <f t="shared" si="82"/>
        <v>#REF!</v>
      </c>
      <c r="J351" s="25">
        <f t="shared" si="88"/>
        <v>0</v>
      </c>
      <c r="K351" s="26">
        <f t="shared" si="88"/>
        <v>0</v>
      </c>
      <c r="L351" s="25">
        <f t="shared" si="88"/>
        <v>0</v>
      </c>
      <c r="M351" s="25">
        <f t="shared" si="89"/>
        <v>0</v>
      </c>
      <c r="N351" s="25">
        <f t="shared" si="89"/>
        <v>0</v>
      </c>
      <c r="O351" s="25">
        <f t="shared" si="89"/>
        <v>0</v>
      </c>
      <c r="P351" s="25">
        <f t="shared" si="89"/>
        <v>0</v>
      </c>
      <c r="Q351" s="25">
        <f t="shared" si="89"/>
        <v>0</v>
      </c>
      <c r="R351" s="25">
        <f t="shared" si="89"/>
        <v>0</v>
      </c>
      <c r="S351" s="25">
        <f t="shared" si="89"/>
        <v>0</v>
      </c>
      <c r="T351" s="25">
        <f t="shared" si="89"/>
        <v>0</v>
      </c>
      <c r="U351" s="25">
        <f t="shared" si="89"/>
        <v>0</v>
      </c>
      <c r="V351" s="25">
        <f t="shared" si="89"/>
        <v>0</v>
      </c>
      <c r="W351" s="26">
        <f t="shared" si="89"/>
        <v>0</v>
      </c>
      <c r="X351" s="27">
        <f t="shared" si="89"/>
        <v>0</v>
      </c>
      <c r="Y351" s="25">
        <f t="shared" si="89"/>
        <v>0</v>
      </c>
      <c r="Z351" s="25">
        <f t="shared" si="89"/>
        <v>0</v>
      </c>
      <c r="AA351" s="25">
        <f t="shared" si="90"/>
        <v>0</v>
      </c>
      <c r="AB351" s="25">
        <f t="shared" si="90"/>
        <v>0</v>
      </c>
      <c r="AC351" s="25">
        <f t="shared" si="90"/>
        <v>0</v>
      </c>
      <c r="AD351" s="25">
        <f t="shared" si="90"/>
        <v>0</v>
      </c>
      <c r="AE351" s="25">
        <f t="shared" si="90"/>
        <v>0</v>
      </c>
      <c r="AF351" s="25">
        <f t="shared" si="90"/>
        <v>0</v>
      </c>
      <c r="AG351" s="25">
        <f t="shared" si="90"/>
        <v>0</v>
      </c>
      <c r="AH351" s="25">
        <f t="shared" si="90"/>
        <v>0</v>
      </c>
      <c r="AI351" s="26">
        <f t="shared" si="90"/>
        <v>0</v>
      </c>
      <c r="AJ351" s="117"/>
      <c r="AK351" s="117"/>
      <c r="AL351" s="118"/>
    </row>
    <row r="352" spans="1:38" s="134" customFormat="1" ht="16">
      <c r="A352" s="365" t="s">
        <v>682</v>
      </c>
      <c r="B352" s="428" t="s">
        <v>376</v>
      </c>
      <c r="C352" s="180"/>
      <c r="D352" s="181"/>
      <c r="E352" s="381" t="e">
        <f>IF((#REF!-C352)/(D352-C352)&lt;0,0,IF((#REF!-C352)/(D352-C352)&gt;100%,100%,(#REF!-C352)/(D352-C352)))</f>
        <v>#REF!</v>
      </c>
      <c r="F352" s="193"/>
      <c r="G352" s="194"/>
      <c r="H352" s="381" t="e">
        <f>IF((#REF!-F352)/(G352-F352)&lt;0,0,IF((#REF!-F352)/(G352-F352)&gt;100%,100%,(#REF!-F352)/(G352-F352)))</f>
        <v>#REF!</v>
      </c>
      <c r="I352" s="182" t="e">
        <f t="shared" si="82"/>
        <v>#REF!</v>
      </c>
      <c r="J352" s="25">
        <f t="shared" si="88"/>
        <v>0</v>
      </c>
      <c r="K352" s="26">
        <f t="shared" si="88"/>
        <v>0</v>
      </c>
      <c r="L352" s="25">
        <f t="shared" si="88"/>
        <v>0</v>
      </c>
      <c r="M352" s="25">
        <f t="shared" si="89"/>
        <v>0</v>
      </c>
      <c r="N352" s="25">
        <f t="shared" si="89"/>
        <v>0</v>
      </c>
      <c r="O352" s="25">
        <f t="shared" si="89"/>
        <v>0</v>
      </c>
      <c r="P352" s="25">
        <f t="shared" si="89"/>
        <v>0</v>
      </c>
      <c r="Q352" s="25">
        <f t="shared" si="89"/>
        <v>0</v>
      </c>
      <c r="R352" s="25">
        <f t="shared" si="89"/>
        <v>0</v>
      </c>
      <c r="S352" s="25">
        <f t="shared" si="89"/>
        <v>0</v>
      </c>
      <c r="T352" s="25">
        <f t="shared" si="89"/>
        <v>0</v>
      </c>
      <c r="U352" s="25">
        <f t="shared" si="89"/>
        <v>0</v>
      </c>
      <c r="V352" s="25">
        <f t="shared" si="89"/>
        <v>0</v>
      </c>
      <c r="W352" s="26">
        <f t="shared" si="89"/>
        <v>0</v>
      </c>
      <c r="X352" s="27">
        <f t="shared" si="89"/>
        <v>0</v>
      </c>
      <c r="Y352" s="25">
        <f t="shared" si="89"/>
        <v>0</v>
      </c>
      <c r="Z352" s="25">
        <f t="shared" si="89"/>
        <v>0</v>
      </c>
      <c r="AA352" s="25">
        <f t="shared" si="90"/>
        <v>0</v>
      </c>
      <c r="AB352" s="25">
        <f t="shared" si="90"/>
        <v>0</v>
      </c>
      <c r="AC352" s="25">
        <f t="shared" si="90"/>
        <v>0</v>
      </c>
      <c r="AD352" s="25">
        <f t="shared" si="90"/>
        <v>0</v>
      </c>
      <c r="AE352" s="25">
        <f t="shared" si="90"/>
        <v>0</v>
      </c>
      <c r="AF352" s="25">
        <f t="shared" si="90"/>
        <v>0</v>
      </c>
      <c r="AG352" s="25">
        <f t="shared" si="90"/>
        <v>0</v>
      </c>
      <c r="AH352" s="25">
        <f t="shared" si="90"/>
        <v>0</v>
      </c>
      <c r="AI352" s="26">
        <f t="shared" si="90"/>
        <v>0</v>
      </c>
      <c r="AJ352" s="135"/>
      <c r="AK352" s="135"/>
      <c r="AL352" s="136"/>
    </row>
    <row r="353" spans="1:38" s="134" customFormat="1" ht="16">
      <c r="A353" s="365" t="s">
        <v>683</v>
      </c>
      <c r="B353" s="428" t="s">
        <v>377</v>
      </c>
      <c r="C353" s="180"/>
      <c r="D353" s="181"/>
      <c r="E353" s="381" t="e">
        <f>IF((#REF!-C353)/(D353-C353)&lt;0,0,IF((#REF!-C353)/(D353-C353)&gt;100%,100%,(#REF!-C353)/(D353-C353)))</f>
        <v>#REF!</v>
      </c>
      <c r="F353" s="193"/>
      <c r="G353" s="194"/>
      <c r="H353" s="381" t="e">
        <f>IF((#REF!-F353)/(G353-F353)&lt;0,0,IF((#REF!-F353)/(G353-F353)&gt;100%,100%,(#REF!-F353)/(G353-F353)))</f>
        <v>#REF!</v>
      </c>
      <c r="I353" s="182" t="e">
        <f t="shared" si="82"/>
        <v>#REF!</v>
      </c>
      <c r="J353" s="25">
        <f t="shared" si="88"/>
        <v>0</v>
      </c>
      <c r="K353" s="26">
        <f t="shared" si="88"/>
        <v>0</v>
      </c>
      <c r="L353" s="25">
        <f t="shared" si="88"/>
        <v>0</v>
      </c>
      <c r="M353" s="25">
        <f t="shared" si="89"/>
        <v>0</v>
      </c>
      <c r="N353" s="25">
        <f t="shared" si="89"/>
        <v>0</v>
      </c>
      <c r="O353" s="25">
        <f t="shared" si="89"/>
        <v>0</v>
      </c>
      <c r="P353" s="25">
        <f t="shared" si="89"/>
        <v>0</v>
      </c>
      <c r="Q353" s="25">
        <f t="shared" si="89"/>
        <v>0</v>
      </c>
      <c r="R353" s="25">
        <f t="shared" si="89"/>
        <v>0</v>
      </c>
      <c r="S353" s="25">
        <f t="shared" si="89"/>
        <v>0</v>
      </c>
      <c r="T353" s="25">
        <f t="shared" si="89"/>
        <v>0</v>
      </c>
      <c r="U353" s="25">
        <f t="shared" si="89"/>
        <v>0</v>
      </c>
      <c r="V353" s="25">
        <f t="shared" si="89"/>
        <v>0</v>
      </c>
      <c r="W353" s="26">
        <f t="shared" si="89"/>
        <v>0</v>
      </c>
      <c r="X353" s="27">
        <f t="shared" si="89"/>
        <v>0</v>
      </c>
      <c r="Y353" s="25">
        <f t="shared" si="89"/>
        <v>0</v>
      </c>
      <c r="Z353" s="25">
        <f t="shared" si="89"/>
        <v>0</v>
      </c>
      <c r="AA353" s="25">
        <f t="shared" si="90"/>
        <v>0</v>
      </c>
      <c r="AB353" s="25">
        <f t="shared" si="90"/>
        <v>0</v>
      </c>
      <c r="AC353" s="25">
        <f t="shared" si="90"/>
        <v>0</v>
      </c>
      <c r="AD353" s="25">
        <f t="shared" si="90"/>
        <v>0</v>
      </c>
      <c r="AE353" s="25">
        <f t="shared" si="90"/>
        <v>0</v>
      </c>
      <c r="AF353" s="25">
        <f t="shared" si="90"/>
        <v>0</v>
      </c>
      <c r="AG353" s="25">
        <f t="shared" si="90"/>
        <v>0</v>
      </c>
      <c r="AH353" s="25">
        <f t="shared" si="90"/>
        <v>0</v>
      </c>
      <c r="AI353" s="26">
        <f t="shared" si="90"/>
        <v>0</v>
      </c>
      <c r="AJ353" s="135"/>
      <c r="AK353" s="135"/>
      <c r="AL353" s="136"/>
    </row>
    <row r="354" spans="1:38" ht="16">
      <c r="A354" s="365" t="s">
        <v>684</v>
      </c>
      <c r="B354" s="428" t="s">
        <v>378</v>
      </c>
      <c r="C354" s="174"/>
      <c r="D354" s="175"/>
      <c r="E354" s="381" t="e">
        <f>IF((#REF!-C354)/(D354-C354)&lt;0,0,IF((#REF!-C354)/(D354-C354)&gt;100%,100%,(#REF!-C354)/(D354-C354)))</f>
        <v>#REF!</v>
      </c>
      <c r="F354" s="188"/>
      <c r="G354" s="165"/>
      <c r="H354" s="381" t="e">
        <f>IF((#REF!-F354)/(G354-F354)&lt;0,0,IF((#REF!-F354)/(G354-F354)&gt;100%,100%,(#REF!-F354)/(G354-F354)))</f>
        <v>#REF!</v>
      </c>
      <c r="I354" s="182" t="e">
        <f t="shared" si="82"/>
        <v>#REF!</v>
      </c>
      <c r="J354" s="25">
        <f t="shared" si="88"/>
        <v>0</v>
      </c>
      <c r="K354" s="26">
        <f t="shared" si="88"/>
        <v>0</v>
      </c>
      <c r="L354" s="25">
        <f t="shared" si="88"/>
        <v>0</v>
      </c>
      <c r="M354" s="25">
        <f t="shared" si="89"/>
        <v>0</v>
      </c>
      <c r="N354" s="25">
        <f t="shared" si="89"/>
        <v>0</v>
      </c>
      <c r="O354" s="25">
        <f t="shared" si="89"/>
        <v>0</v>
      </c>
      <c r="P354" s="25">
        <f t="shared" si="89"/>
        <v>0</v>
      </c>
      <c r="Q354" s="25">
        <f t="shared" si="89"/>
        <v>0</v>
      </c>
      <c r="R354" s="25">
        <f t="shared" si="89"/>
        <v>0</v>
      </c>
      <c r="S354" s="25">
        <f t="shared" si="89"/>
        <v>0</v>
      </c>
      <c r="T354" s="25">
        <f t="shared" si="89"/>
        <v>0</v>
      </c>
      <c r="U354" s="25">
        <f t="shared" si="89"/>
        <v>0</v>
      </c>
      <c r="V354" s="25">
        <f t="shared" si="89"/>
        <v>0</v>
      </c>
      <c r="W354" s="26">
        <f t="shared" si="89"/>
        <v>0</v>
      </c>
      <c r="X354" s="27">
        <f t="shared" si="89"/>
        <v>0</v>
      </c>
      <c r="Y354" s="25">
        <f t="shared" si="89"/>
        <v>0</v>
      </c>
      <c r="Z354" s="25">
        <f t="shared" si="89"/>
        <v>0</v>
      </c>
      <c r="AA354" s="25">
        <f t="shared" si="90"/>
        <v>0</v>
      </c>
      <c r="AB354" s="25">
        <f t="shared" si="90"/>
        <v>0</v>
      </c>
      <c r="AC354" s="25">
        <f t="shared" si="90"/>
        <v>0</v>
      </c>
      <c r="AD354" s="25">
        <f t="shared" si="90"/>
        <v>0</v>
      </c>
      <c r="AE354" s="25">
        <f t="shared" si="90"/>
        <v>0</v>
      </c>
      <c r="AF354" s="25">
        <f t="shared" si="90"/>
        <v>0</v>
      </c>
      <c r="AG354" s="25">
        <f t="shared" si="90"/>
        <v>0</v>
      </c>
      <c r="AH354" s="25">
        <f t="shared" si="90"/>
        <v>0</v>
      </c>
      <c r="AI354" s="26">
        <f t="shared" si="90"/>
        <v>0</v>
      </c>
      <c r="AJ354" s="117"/>
      <c r="AK354" s="117"/>
      <c r="AL354" s="118"/>
    </row>
    <row r="355" spans="1:38" s="134" customFormat="1" ht="16">
      <c r="A355" s="365" t="s">
        <v>685</v>
      </c>
      <c r="B355" s="428" t="s">
        <v>379</v>
      </c>
      <c r="C355" s="180"/>
      <c r="D355" s="181"/>
      <c r="E355" s="381" t="e">
        <f>IF((#REF!-C355)/(D355-C355)&lt;0,0,IF((#REF!-C355)/(D355-C355)&gt;100%,100%,(#REF!-C355)/(D355-C355)))</f>
        <v>#REF!</v>
      </c>
      <c r="F355" s="193"/>
      <c r="G355" s="194"/>
      <c r="H355" s="381" t="e">
        <f>IF((#REF!-F355)/(G355-F355)&lt;0,0,IF((#REF!-F355)/(G355-F355)&gt;100%,100%,(#REF!-F355)/(G355-F355)))</f>
        <v>#REF!</v>
      </c>
      <c r="I355" s="182" t="e">
        <f t="shared" si="82"/>
        <v>#REF!</v>
      </c>
      <c r="J355" s="25">
        <f t="shared" si="88"/>
        <v>0</v>
      </c>
      <c r="K355" s="26">
        <f t="shared" si="88"/>
        <v>0</v>
      </c>
      <c r="L355" s="25">
        <f t="shared" si="88"/>
        <v>0</v>
      </c>
      <c r="M355" s="25">
        <f t="shared" si="89"/>
        <v>0</v>
      </c>
      <c r="N355" s="25">
        <f t="shared" si="89"/>
        <v>0</v>
      </c>
      <c r="O355" s="25">
        <f t="shared" si="89"/>
        <v>0</v>
      </c>
      <c r="P355" s="25">
        <f t="shared" si="89"/>
        <v>0</v>
      </c>
      <c r="Q355" s="25">
        <f t="shared" si="89"/>
        <v>0</v>
      </c>
      <c r="R355" s="25">
        <f t="shared" si="89"/>
        <v>0</v>
      </c>
      <c r="S355" s="25">
        <f t="shared" si="89"/>
        <v>0</v>
      </c>
      <c r="T355" s="25">
        <f t="shared" si="89"/>
        <v>0</v>
      </c>
      <c r="U355" s="25">
        <f t="shared" si="89"/>
        <v>0</v>
      </c>
      <c r="V355" s="25">
        <f t="shared" si="89"/>
        <v>0</v>
      </c>
      <c r="W355" s="26">
        <f t="shared" si="89"/>
        <v>0</v>
      </c>
      <c r="X355" s="27">
        <f t="shared" si="89"/>
        <v>0</v>
      </c>
      <c r="Y355" s="25">
        <f t="shared" si="89"/>
        <v>0</v>
      </c>
      <c r="Z355" s="25">
        <f t="shared" si="89"/>
        <v>0</v>
      </c>
      <c r="AA355" s="25">
        <f t="shared" si="90"/>
        <v>0</v>
      </c>
      <c r="AB355" s="25">
        <f t="shared" si="90"/>
        <v>0</v>
      </c>
      <c r="AC355" s="25">
        <f t="shared" si="90"/>
        <v>0</v>
      </c>
      <c r="AD355" s="25">
        <f t="shared" si="90"/>
        <v>0</v>
      </c>
      <c r="AE355" s="25">
        <f t="shared" si="90"/>
        <v>0</v>
      </c>
      <c r="AF355" s="25">
        <f t="shared" si="90"/>
        <v>0</v>
      </c>
      <c r="AG355" s="25">
        <f t="shared" si="90"/>
        <v>0</v>
      </c>
      <c r="AH355" s="25">
        <f t="shared" si="90"/>
        <v>0</v>
      </c>
      <c r="AI355" s="26">
        <f t="shared" si="90"/>
        <v>0</v>
      </c>
      <c r="AJ355" s="135"/>
      <c r="AK355" s="135"/>
      <c r="AL355" s="136"/>
    </row>
    <row r="356" spans="1:38" ht="16" hidden="1" outlineLevel="1">
      <c r="A356" s="206" t="s">
        <v>686</v>
      </c>
      <c r="B356" s="427" t="s">
        <v>363</v>
      </c>
      <c r="C356" s="172"/>
      <c r="D356" s="173"/>
      <c r="E356" s="378" t="e">
        <f>IF((#REF!-C356)/(D356-C356)&lt;0,0,IF((#REF!-C356)/(D356-C356)&gt;100%,100%,(#REF!-C356)/(D356-C356)))</f>
        <v>#REF!</v>
      </c>
      <c r="F356" s="186"/>
      <c r="G356" s="187"/>
      <c r="H356" s="378" t="e">
        <f>IF((#REF!-F356)/(G356-F356)&lt;0,0,IF((#REF!-F356)/(G356-F356)&gt;100%,100%,(#REF!-F356)/(G356-F356)))</f>
        <v>#REF!</v>
      </c>
      <c r="I356" s="182" t="e">
        <f t="shared" si="82"/>
        <v>#REF!</v>
      </c>
      <c r="J356" s="25">
        <f t="shared" si="88"/>
        <v>0</v>
      </c>
      <c r="K356" s="26">
        <f t="shared" si="88"/>
        <v>0</v>
      </c>
      <c r="L356" s="25">
        <f t="shared" si="88"/>
        <v>0</v>
      </c>
      <c r="M356" s="25">
        <f t="shared" si="89"/>
        <v>0</v>
      </c>
      <c r="N356" s="25">
        <f t="shared" si="89"/>
        <v>0</v>
      </c>
      <c r="O356" s="25">
        <f t="shared" si="89"/>
        <v>0</v>
      </c>
      <c r="P356" s="25">
        <f t="shared" si="89"/>
        <v>0</v>
      </c>
      <c r="Q356" s="25">
        <f t="shared" si="89"/>
        <v>0</v>
      </c>
      <c r="R356" s="25">
        <f t="shared" si="89"/>
        <v>0</v>
      </c>
      <c r="S356" s="25">
        <f t="shared" si="89"/>
        <v>0</v>
      </c>
      <c r="T356" s="25">
        <f t="shared" si="89"/>
        <v>0</v>
      </c>
      <c r="U356" s="25">
        <f t="shared" si="89"/>
        <v>0</v>
      </c>
      <c r="V356" s="25">
        <f t="shared" si="89"/>
        <v>0</v>
      </c>
      <c r="W356" s="26">
        <f t="shared" si="89"/>
        <v>0</v>
      </c>
      <c r="X356" s="27">
        <f t="shared" si="89"/>
        <v>0</v>
      </c>
      <c r="Y356" s="25">
        <f t="shared" si="89"/>
        <v>0</v>
      </c>
      <c r="Z356" s="25">
        <f t="shared" si="89"/>
        <v>0</v>
      </c>
      <c r="AA356" s="25">
        <f t="shared" si="90"/>
        <v>0</v>
      </c>
      <c r="AB356" s="25">
        <f t="shared" si="90"/>
        <v>0</v>
      </c>
      <c r="AC356" s="25">
        <f t="shared" si="90"/>
        <v>0</v>
      </c>
      <c r="AD356" s="25">
        <f t="shared" si="90"/>
        <v>0</v>
      </c>
      <c r="AE356" s="25">
        <f t="shared" si="90"/>
        <v>0</v>
      </c>
      <c r="AF356" s="25">
        <f t="shared" si="90"/>
        <v>0</v>
      </c>
      <c r="AG356" s="25">
        <f t="shared" si="90"/>
        <v>0</v>
      </c>
      <c r="AH356" s="25">
        <f t="shared" si="90"/>
        <v>0</v>
      </c>
      <c r="AI356" s="26">
        <f t="shared" si="90"/>
        <v>0</v>
      </c>
      <c r="AJ356" s="114"/>
      <c r="AK356" s="114"/>
      <c r="AL356" s="115"/>
    </row>
    <row r="357" spans="1:38" ht="16" hidden="1" outlineLevel="1">
      <c r="A357" s="206" t="s">
        <v>687</v>
      </c>
      <c r="B357" s="427" t="s">
        <v>362</v>
      </c>
      <c r="C357" s="172"/>
      <c r="D357" s="173"/>
      <c r="E357" s="378" t="e">
        <f>IF((#REF!-C357)/(D357-C357)&lt;0,0,IF((#REF!-C357)/(D357-C357)&gt;100%,100%,(#REF!-C357)/(D357-C357)))</f>
        <v>#REF!</v>
      </c>
      <c r="F357" s="186"/>
      <c r="G357" s="187"/>
      <c r="H357" s="378" t="e">
        <f>IF((#REF!-F357)/(G357-F357)&lt;0,0,IF((#REF!-F357)/(G357-F357)&gt;100%,100%,(#REF!-F357)/(G357-F357)))</f>
        <v>#REF!</v>
      </c>
      <c r="I357" s="182" t="e">
        <f t="shared" si="82"/>
        <v>#REF!</v>
      </c>
      <c r="J357" s="25">
        <f t="shared" si="88"/>
        <v>0</v>
      </c>
      <c r="K357" s="26">
        <f t="shared" si="88"/>
        <v>0</v>
      </c>
      <c r="L357" s="25">
        <f t="shared" si="88"/>
        <v>0</v>
      </c>
      <c r="M357" s="25">
        <f t="shared" si="89"/>
        <v>0</v>
      </c>
      <c r="N357" s="25">
        <f t="shared" si="89"/>
        <v>0</v>
      </c>
      <c r="O357" s="25">
        <f t="shared" si="89"/>
        <v>0</v>
      </c>
      <c r="P357" s="25">
        <f t="shared" si="89"/>
        <v>0</v>
      </c>
      <c r="Q357" s="25">
        <f t="shared" si="89"/>
        <v>0</v>
      </c>
      <c r="R357" s="25">
        <f t="shared" si="89"/>
        <v>0</v>
      </c>
      <c r="S357" s="25">
        <f t="shared" si="89"/>
        <v>0</v>
      </c>
      <c r="T357" s="25">
        <f t="shared" si="89"/>
        <v>0</v>
      </c>
      <c r="U357" s="25">
        <f t="shared" si="89"/>
        <v>0</v>
      </c>
      <c r="V357" s="25">
        <f t="shared" si="89"/>
        <v>0</v>
      </c>
      <c r="W357" s="26">
        <f t="shared" si="89"/>
        <v>0</v>
      </c>
      <c r="X357" s="27">
        <f t="shared" si="89"/>
        <v>0</v>
      </c>
      <c r="Y357" s="25">
        <f t="shared" si="89"/>
        <v>0</v>
      </c>
      <c r="Z357" s="25">
        <f t="shared" si="89"/>
        <v>0</v>
      </c>
      <c r="AA357" s="25">
        <f t="shared" si="90"/>
        <v>0</v>
      </c>
      <c r="AB357" s="25">
        <f t="shared" si="90"/>
        <v>0</v>
      </c>
      <c r="AC357" s="25">
        <f t="shared" si="90"/>
        <v>0</v>
      </c>
      <c r="AD357" s="25">
        <f t="shared" si="90"/>
        <v>0</v>
      </c>
      <c r="AE357" s="25">
        <f t="shared" si="90"/>
        <v>0</v>
      </c>
      <c r="AF357" s="25">
        <f t="shared" si="90"/>
        <v>0</v>
      </c>
      <c r="AG357" s="25">
        <f t="shared" si="90"/>
        <v>0</v>
      </c>
      <c r="AH357" s="25">
        <f t="shared" si="90"/>
        <v>0</v>
      </c>
      <c r="AI357" s="26">
        <f t="shared" si="90"/>
        <v>0</v>
      </c>
      <c r="AJ357" s="114"/>
      <c r="AK357" s="114"/>
      <c r="AL357" s="115"/>
    </row>
    <row r="358" spans="1:38" ht="16" hidden="1" outlineLevel="1">
      <c r="A358" s="206" t="s">
        <v>688</v>
      </c>
      <c r="B358" s="427" t="s">
        <v>176</v>
      </c>
      <c r="C358" s="172"/>
      <c r="D358" s="173"/>
      <c r="E358" s="378" t="e">
        <f>IF((#REF!-C358)/(D358-C358)&lt;0,0,IF((#REF!-C358)/(D358-C358)&gt;100%,100%,(#REF!-C358)/(D358-C358)))</f>
        <v>#REF!</v>
      </c>
      <c r="F358" s="186"/>
      <c r="G358" s="187"/>
      <c r="H358" s="378" t="e">
        <f>IF((#REF!-F358)/(G358-F358)&lt;0,0,IF((#REF!-F358)/(G358-F358)&gt;100%,100%,(#REF!-F358)/(G358-F358)))</f>
        <v>#REF!</v>
      </c>
      <c r="I358" s="182" t="e">
        <f t="shared" si="82"/>
        <v>#REF!</v>
      </c>
      <c r="J358" s="25">
        <f t="shared" si="88"/>
        <v>0</v>
      </c>
      <c r="K358" s="26">
        <f t="shared" si="88"/>
        <v>0</v>
      </c>
      <c r="L358" s="25">
        <f t="shared" si="88"/>
        <v>0</v>
      </c>
      <c r="M358" s="25">
        <f t="shared" si="89"/>
        <v>0</v>
      </c>
      <c r="N358" s="25">
        <f t="shared" si="89"/>
        <v>0</v>
      </c>
      <c r="O358" s="25">
        <f t="shared" si="89"/>
        <v>0</v>
      </c>
      <c r="P358" s="25">
        <f t="shared" si="89"/>
        <v>0</v>
      </c>
      <c r="Q358" s="25">
        <f t="shared" si="89"/>
        <v>0</v>
      </c>
      <c r="R358" s="25">
        <f t="shared" si="89"/>
        <v>0</v>
      </c>
      <c r="S358" s="25">
        <f t="shared" si="89"/>
        <v>0</v>
      </c>
      <c r="T358" s="25">
        <f t="shared" si="89"/>
        <v>0</v>
      </c>
      <c r="U358" s="25">
        <f t="shared" si="89"/>
        <v>0</v>
      </c>
      <c r="V358" s="25">
        <f t="shared" si="89"/>
        <v>0</v>
      </c>
      <c r="W358" s="26">
        <f t="shared" si="89"/>
        <v>0</v>
      </c>
      <c r="X358" s="27">
        <f t="shared" si="89"/>
        <v>0</v>
      </c>
      <c r="Y358" s="25">
        <f t="shared" si="89"/>
        <v>0</v>
      </c>
      <c r="Z358" s="25">
        <f t="shared" si="89"/>
        <v>0</v>
      </c>
      <c r="AA358" s="25">
        <f t="shared" si="90"/>
        <v>0</v>
      </c>
      <c r="AB358" s="25">
        <f t="shared" si="90"/>
        <v>0</v>
      </c>
      <c r="AC358" s="25">
        <f t="shared" si="90"/>
        <v>0</v>
      </c>
      <c r="AD358" s="25">
        <f t="shared" si="90"/>
        <v>0</v>
      </c>
      <c r="AE358" s="25">
        <f t="shared" si="90"/>
        <v>0</v>
      </c>
      <c r="AF358" s="25">
        <f t="shared" si="90"/>
        <v>0</v>
      </c>
      <c r="AG358" s="25">
        <f t="shared" si="90"/>
        <v>0</v>
      </c>
      <c r="AH358" s="25">
        <f t="shared" si="90"/>
        <v>0</v>
      </c>
      <c r="AI358" s="26">
        <f t="shared" si="90"/>
        <v>0</v>
      </c>
      <c r="AJ358" s="114"/>
      <c r="AK358" s="114"/>
      <c r="AL358" s="115"/>
    </row>
    <row r="359" spans="1:38" ht="16" hidden="1" outlineLevel="1">
      <c r="A359" s="206" t="s">
        <v>689</v>
      </c>
      <c r="B359" s="427" t="s">
        <v>359</v>
      </c>
      <c r="C359" s="172"/>
      <c r="D359" s="173"/>
      <c r="E359" s="378" t="e">
        <f>IF((#REF!-C359)/(D359-C359)&lt;0,0,IF((#REF!-C359)/(D359-C359)&gt;100%,100%,(#REF!-C359)/(D359-C359)))</f>
        <v>#REF!</v>
      </c>
      <c r="F359" s="186"/>
      <c r="G359" s="187"/>
      <c r="H359" s="378" t="e">
        <f>IF((#REF!-F359)/(G359-F359)&lt;0,0,IF((#REF!-F359)/(G359-F359)&gt;100%,100%,(#REF!-F359)/(G359-F359)))</f>
        <v>#REF!</v>
      </c>
      <c r="I359" s="182" t="e">
        <f t="shared" si="82"/>
        <v>#REF!</v>
      </c>
      <c r="J359" s="25">
        <f t="shared" si="88"/>
        <v>0</v>
      </c>
      <c r="K359" s="26">
        <f t="shared" si="88"/>
        <v>0</v>
      </c>
      <c r="L359" s="25">
        <f t="shared" si="88"/>
        <v>0</v>
      </c>
      <c r="M359" s="25">
        <f t="shared" si="89"/>
        <v>0</v>
      </c>
      <c r="N359" s="25">
        <f t="shared" si="89"/>
        <v>0</v>
      </c>
      <c r="O359" s="25">
        <f t="shared" si="89"/>
        <v>0</v>
      </c>
      <c r="P359" s="25">
        <f t="shared" si="89"/>
        <v>0</v>
      </c>
      <c r="Q359" s="25">
        <f t="shared" si="89"/>
        <v>0</v>
      </c>
      <c r="R359" s="25">
        <f t="shared" si="89"/>
        <v>0</v>
      </c>
      <c r="S359" s="25">
        <f t="shared" si="89"/>
        <v>0</v>
      </c>
      <c r="T359" s="25">
        <f t="shared" si="89"/>
        <v>0</v>
      </c>
      <c r="U359" s="25">
        <f t="shared" si="89"/>
        <v>0</v>
      </c>
      <c r="V359" s="25">
        <f t="shared" si="89"/>
        <v>0</v>
      </c>
      <c r="W359" s="26">
        <f t="shared" si="89"/>
        <v>0</v>
      </c>
      <c r="X359" s="27">
        <f t="shared" ref="M359:Z377" si="91">+IF(X$3&gt;=$C359,IF(X$3&lt;=$D359,1,0),0)</f>
        <v>0</v>
      </c>
      <c r="Y359" s="25">
        <f t="shared" si="91"/>
        <v>0</v>
      </c>
      <c r="Z359" s="25">
        <f t="shared" si="91"/>
        <v>0</v>
      </c>
      <c r="AA359" s="25">
        <f t="shared" si="90"/>
        <v>0</v>
      </c>
      <c r="AB359" s="25">
        <f t="shared" si="90"/>
        <v>0</v>
      </c>
      <c r="AC359" s="25">
        <f t="shared" si="90"/>
        <v>0</v>
      </c>
      <c r="AD359" s="25">
        <f t="shared" si="90"/>
        <v>0</v>
      </c>
      <c r="AE359" s="25">
        <f t="shared" si="90"/>
        <v>0</v>
      </c>
      <c r="AF359" s="25">
        <f t="shared" si="90"/>
        <v>0</v>
      </c>
      <c r="AG359" s="25">
        <f t="shared" si="90"/>
        <v>0</v>
      </c>
      <c r="AH359" s="25">
        <f t="shared" si="90"/>
        <v>0</v>
      </c>
      <c r="AI359" s="26">
        <f t="shared" si="90"/>
        <v>0</v>
      </c>
      <c r="AJ359" s="114"/>
      <c r="AK359" s="114"/>
      <c r="AL359" s="115"/>
    </row>
    <row r="360" spans="1:38" s="137" customFormat="1" ht="16" hidden="1" outlineLevel="1">
      <c r="A360" s="206" t="s">
        <v>690</v>
      </c>
      <c r="B360" s="429" t="s">
        <v>364</v>
      </c>
      <c r="C360" s="178"/>
      <c r="D360" s="179"/>
      <c r="E360" s="378" t="e">
        <f>IF((#REF!-C360)/(D360-C360)&lt;0,0,IF((#REF!-C360)/(D360-C360)&gt;100%,100%,(#REF!-C360)/(D360-C360)))</f>
        <v>#REF!</v>
      </c>
      <c r="F360" s="191"/>
      <c r="G360" s="192"/>
      <c r="H360" s="378" t="e">
        <f>IF((#REF!-F360)/(G360-F360)&lt;0,0,IF((#REF!-F360)/(G360-F360)&gt;100%,100%,(#REF!-F360)/(G360-F360)))</f>
        <v>#REF!</v>
      </c>
      <c r="I360" s="182" t="e">
        <f t="shared" si="82"/>
        <v>#REF!</v>
      </c>
      <c r="J360" s="25">
        <f t="shared" si="88"/>
        <v>0</v>
      </c>
      <c r="K360" s="26">
        <f t="shared" si="88"/>
        <v>0</v>
      </c>
      <c r="L360" s="25">
        <f t="shared" si="88"/>
        <v>0</v>
      </c>
      <c r="M360" s="25">
        <f t="shared" si="91"/>
        <v>0</v>
      </c>
      <c r="N360" s="25">
        <f t="shared" si="91"/>
        <v>0</v>
      </c>
      <c r="O360" s="25">
        <f t="shared" si="91"/>
        <v>0</v>
      </c>
      <c r="P360" s="25">
        <f t="shared" si="91"/>
        <v>0</v>
      </c>
      <c r="Q360" s="25">
        <f t="shared" si="91"/>
        <v>0</v>
      </c>
      <c r="R360" s="25">
        <f t="shared" si="91"/>
        <v>0</v>
      </c>
      <c r="S360" s="25">
        <f t="shared" si="91"/>
        <v>0</v>
      </c>
      <c r="T360" s="25">
        <f t="shared" si="91"/>
        <v>0</v>
      </c>
      <c r="U360" s="25">
        <f t="shared" si="91"/>
        <v>0</v>
      </c>
      <c r="V360" s="25">
        <f t="shared" si="91"/>
        <v>0</v>
      </c>
      <c r="W360" s="26">
        <f t="shared" si="91"/>
        <v>0</v>
      </c>
      <c r="X360" s="27">
        <f t="shared" si="91"/>
        <v>0</v>
      </c>
      <c r="Y360" s="25">
        <f t="shared" si="91"/>
        <v>0</v>
      </c>
      <c r="Z360" s="25">
        <f t="shared" si="91"/>
        <v>0</v>
      </c>
      <c r="AA360" s="25">
        <f t="shared" si="90"/>
        <v>0</v>
      </c>
      <c r="AB360" s="25">
        <f t="shared" si="90"/>
        <v>0</v>
      </c>
      <c r="AC360" s="25">
        <f t="shared" si="90"/>
        <v>0</v>
      </c>
      <c r="AD360" s="25">
        <f t="shared" si="90"/>
        <v>0</v>
      </c>
      <c r="AE360" s="25">
        <f t="shared" si="90"/>
        <v>0</v>
      </c>
      <c r="AF360" s="25">
        <f t="shared" si="90"/>
        <v>0</v>
      </c>
      <c r="AG360" s="25">
        <f t="shared" si="90"/>
        <v>0</v>
      </c>
      <c r="AH360" s="25">
        <f t="shared" si="90"/>
        <v>0</v>
      </c>
      <c r="AI360" s="26">
        <f t="shared" si="90"/>
        <v>0</v>
      </c>
      <c r="AJ360" s="138"/>
      <c r="AK360" s="138"/>
      <c r="AL360" s="139"/>
    </row>
    <row r="361" spans="1:38" ht="16" collapsed="1">
      <c r="A361" s="365" t="s">
        <v>691</v>
      </c>
      <c r="B361" s="426" t="s">
        <v>380</v>
      </c>
      <c r="C361" s="174"/>
      <c r="D361" s="175"/>
      <c r="E361" s="381" t="e">
        <f>IF((#REF!-C361)/(D361-C361)&lt;0,0,IF((#REF!-C361)/(D361-C361)&gt;100%,100%,(#REF!-C361)/(D361-C361)))</f>
        <v>#REF!</v>
      </c>
      <c r="F361" s="188"/>
      <c r="G361" s="165"/>
      <c r="H361" s="381" t="e">
        <f>IF((#REF!-F361)/(G361-F361)&lt;0,0,IF((#REF!-F361)/(G361-F361)&gt;100%,100%,(#REF!-F361)/(G361-F361)))</f>
        <v>#REF!</v>
      </c>
      <c r="I361" s="182" t="e">
        <f t="shared" si="82"/>
        <v>#REF!</v>
      </c>
      <c r="J361" s="25">
        <f t="shared" ref="J361:L380" si="92">+IF(J$3&gt;=$C361,IF(J$3&lt;=$D361,1,0),0)</f>
        <v>0</v>
      </c>
      <c r="K361" s="26">
        <f t="shared" si="92"/>
        <v>0</v>
      </c>
      <c r="L361" s="25">
        <f t="shared" si="92"/>
        <v>0</v>
      </c>
      <c r="M361" s="25">
        <f t="shared" si="91"/>
        <v>0</v>
      </c>
      <c r="N361" s="25">
        <f t="shared" si="91"/>
        <v>0</v>
      </c>
      <c r="O361" s="25">
        <f t="shared" si="91"/>
        <v>0</v>
      </c>
      <c r="P361" s="25">
        <f t="shared" si="91"/>
        <v>0</v>
      </c>
      <c r="Q361" s="25">
        <f t="shared" si="91"/>
        <v>0</v>
      </c>
      <c r="R361" s="25">
        <f t="shared" si="91"/>
        <v>0</v>
      </c>
      <c r="S361" s="25">
        <f t="shared" si="91"/>
        <v>0</v>
      </c>
      <c r="T361" s="25">
        <f t="shared" si="91"/>
        <v>0</v>
      </c>
      <c r="U361" s="25">
        <f t="shared" si="91"/>
        <v>0</v>
      </c>
      <c r="V361" s="25">
        <f t="shared" si="91"/>
        <v>0</v>
      </c>
      <c r="W361" s="26">
        <f t="shared" si="91"/>
        <v>0</v>
      </c>
      <c r="X361" s="27">
        <f t="shared" si="91"/>
        <v>0</v>
      </c>
      <c r="Y361" s="25">
        <f t="shared" si="91"/>
        <v>0</v>
      </c>
      <c r="Z361" s="25">
        <f t="shared" si="91"/>
        <v>0</v>
      </c>
      <c r="AA361" s="25">
        <f t="shared" si="90"/>
        <v>0</v>
      </c>
      <c r="AB361" s="25">
        <f t="shared" si="90"/>
        <v>0</v>
      </c>
      <c r="AC361" s="25">
        <f t="shared" si="90"/>
        <v>0</v>
      </c>
      <c r="AD361" s="25">
        <f t="shared" si="90"/>
        <v>0</v>
      </c>
      <c r="AE361" s="25">
        <f t="shared" si="90"/>
        <v>0</v>
      </c>
      <c r="AF361" s="25">
        <f t="shared" si="90"/>
        <v>0</v>
      </c>
      <c r="AG361" s="25">
        <f t="shared" si="90"/>
        <v>0</v>
      </c>
      <c r="AH361" s="25">
        <f t="shared" si="90"/>
        <v>0</v>
      </c>
      <c r="AI361" s="26">
        <f t="shared" si="90"/>
        <v>0</v>
      </c>
      <c r="AJ361" s="117"/>
      <c r="AK361" s="117"/>
      <c r="AL361" s="118"/>
    </row>
    <row r="362" spans="1:38" s="134" customFormat="1" ht="16">
      <c r="A362" s="365" t="s">
        <v>692</v>
      </c>
      <c r="B362" s="428" t="s">
        <v>381</v>
      </c>
      <c r="C362" s="180"/>
      <c r="D362" s="181"/>
      <c r="E362" s="381" t="e">
        <f>IF((#REF!-C362)/(D362-C362)&lt;0,0,IF((#REF!-C362)/(D362-C362)&gt;100%,100%,(#REF!-C362)/(D362-C362)))</f>
        <v>#REF!</v>
      </c>
      <c r="F362" s="193"/>
      <c r="G362" s="194"/>
      <c r="H362" s="381" t="e">
        <f>IF((#REF!-F362)/(G362-F362)&lt;0,0,IF((#REF!-F362)/(G362-F362)&gt;100%,100%,(#REF!-F362)/(G362-F362)))</f>
        <v>#REF!</v>
      </c>
      <c r="I362" s="182" t="e">
        <f t="shared" si="82"/>
        <v>#REF!</v>
      </c>
      <c r="J362" s="25">
        <f t="shared" si="92"/>
        <v>0</v>
      </c>
      <c r="K362" s="26">
        <f t="shared" si="92"/>
        <v>0</v>
      </c>
      <c r="L362" s="25">
        <f t="shared" si="92"/>
        <v>0</v>
      </c>
      <c r="M362" s="25">
        <f t="shared" si="91"/>
        <v>0</v>
      </c>
      <c r="N362" s="25">
        <f t="shared" si="91"/>
        <v>0</v>
      </c>
      <c r="O362" s="25">
        <f t="shared" si="91"/>
        <v>0</v>
      </c>
      <c r="P362" s="25">
        <f t="shared" si="91"/>
        <v>0</v>
      </c>
      <c r="Q362" s="25">
        <f t="shared" si="91"/>
        <v>0</v>
      </c>
      <c r="R362" s="25">
        <f t="shared" si="91"/>
        <v>0</v>
      </c>
      <c r="S362" s="25">
        <f t="shared" si="91"/>
        <v>0</v>
      </c>
      <c r="T362" s="25">
        <f t="shared" si="91"/>
        <v>0</v>
      </c>
      <c r="U362" s="25">
        <f t="shared" si="91"/>
        <v>0</v>
      </c>
      <c r="V362" s="25">
        <f t="shared" si="91"/>
        <v>0</v>
      </c>
      <c r="W362" s="26">
        <f t="shared" si="91"/>
        <v>0</v>
      </c>
      <c r="X362" s="27">
        <f t="shared" si="91"/>
        <v>0</v>
      </c>
      <c r="Y362" s="25">
        <f t="shared" si="91"/>
        <v>0</v>
      </c>
      <c r="Z362" s="25">
        <f t="shared" si="91"/>
        <v>0</v>
      </c>
      <c r="AA362" s="25">
        <f t="shared" si="90"/>
        <v>0</v>
      </c>
      <c r="AB362" s="25">
        <f t="shared" si="90"/>
        <v>0</v>
      </c>
      <c r="AC362" s="25">
        <f t="shared" si="90"/>
        <v>0</v>
      </c>
      <c r="AD362" s="25">
        <f t="shared" si="90"/>
        <v>0</v>
      </c>
      <c r="AE362" s="25">
        <f t="shared" si="90"/>
        <v>0</v>
      </c>
      <c r="AF362" s="25">
        <f t="shared" si="90"/>
        <v>0</v>
      </c>
      <c r="AG362" s="25">
        <f t="shared" si="90"/>
        <v>0</v>
      </c>
      <c r="AH362" s="25">
        <f t="shared" si="90"/>
        <v>0</v>
      </c>
      <c r="AI362" s="26">
        <f t="shared" si="90"/>
        <v>0</v>
      </c>
      <c r="AJ362" s="135"/>
      <c r="AK362" s="135"/>
      <c r="AL362" s="136"/>
    </row>
    <row r="363" spans="1:38" ht="16">
      <c r="A363" s="365" t="s">
        <v>693</v>
      </c>
      <c r="B363" s="428" t="s">
        <v>382</v>
      </c>
      <c r="C363" s="174"/>
      <c r="D363" s="175"/>
      <c r="E363" s="381" t="e">
        <f>IF((#REF!-C363)/(D363-C363)&lt;0,0,IF((#REF!-C363)/(D363-C363)&gt;100%,100%,(#REF!-C363)/(D363-C363)))</f>
        <v>#REF!</v>
      </c>
      <c r="F363" s="188"/>
      <c r="G363" s="165"/>
      <c r="H363" s="381" t="e">
        <f>IF((#REF!-F363)/(G363-F363)&lt;0,0,IF((#REF!-F363)/(G363-F363)&gt;100%,100%,(#REF!-F363)/(G363-F363)))</f>
        <v>#REF!</v>
      </c>
      <c r="I363" s="182" t="e">
        <f t="shared" si="82"/>
        <v>#REF!</v>
      </c>
      <c r="J363" s="25">
        <f t="shared" si="92"/>
        <v>0</v>
      </c>
      <c r="K363" s="26">
        <f t="shared" si="92"/>
        <v>0</v>
      </c>
      <c r="L363" s="25">
        <f t="shared" si="92"/>
        <v>0</v>
      </c>
      <c r="M363" s="25">
        <f t="shared" si="91"/>
        <v>0</v>
      </c>
      <c r="N363" s="25">
        <f t="shared" si="91"/>
        <v>0</v>
      </c>
      <c r="O363" s="25">
        <f t="shared" si="91"/>
        <v>0</v>
      </c>
      <c r="P363" s="25">
        <f t="shared" si="91"/>
        <v>0</v>
      </c>
      <c r="Q363" s="25">
        <f t="shared" si="91"/>
        <v>0</v>
      </c>
      <c r="R363" s="25">
        <f t="shared" si="91"/>
        <v>0</v>
      </c>
      <c r="S363" s="25">
        <f t="shared" si="91"/>
        <v>0</v>
      </c>
      <c r="T363" s="25">
        <f t="shared" si="91"/>
        <v>0</v>
      </c>
      <c r="U363" s="25">
        <f t="shared" si="91"/>
        <v>0</v>
      </c>
      <c r="V363" s="25">
        <f t="shared" si="91"/>
        <v>0</v>
      </c>
      <c r="W363" s="26">
        <f t="shared" si="91"/>
        <v>0</v>
      </c>
      <c r="X363" s="27">
        <f t="shared" si="91"/>
        <v>0</v>
      </c>
      <c r="Y363" s="25">
        <f t="shared" si="91"/>
        <v>0</v>
      </c>
      <c r="Z363" s="25">
        <f t="shared" si="91"/>
        <v>0</v>
      </c>
      <c r="AA363" s="25">
        <f t="shared" si="90"/>
        <v>0</v>
      </c>
      <c r="AB363" s="25">
        <f t="shared" si="90"/>
        <v>0</v>
      </c>
      <c r="AC363" s="25">
        <f t="shared" si="90"/>
        <v>0</v>
      </c>
      <c r="AD363" s="25">
        <f t="shared" si="90"/>
        <v>0</v>
      </c>
      <c r="AE363" s="25">
        <f t="shared" si="90"/>
        <v>0</v>
      </c>
      <c r="AF363" s="25">
        <f t="shared" si="90"/>
        <v>0</v>
      </c>
      <c r="AG363" s="25">
        <f t="shared" si="90"/>
        <v>0</v>
      </c>
      <c r="AH363" s="25">
        <f t="shared" si="90"/>
        <v>0</v>
      </c>
      <c r="AI363" s="26">
        <f t="shared" si="90"/>
        <v>0</v>
      </c>
      <c r="AJ363" s="117"/>
      <c r="AK363" s="117"/>
      <c r="AL363" s="118"/>
    </row>
    <row r="364" spans="1:38" s="134" customFormat="1" ht="16">
      <c r="A364" s="365" t="s">
        <v>694</v>
      </c>
      <c r="B364" s="428" t="s">
        <v>383</v>
      </c>
      <c r="C364" s="180"/>
      <c r="D364" s="181"/>
      <c r="E364" s="381" t="e">
        <f>IF((#REF!-C364)/(D364-C364)&lt;0,0,IF((#REF!-C364)/(D364-C364)&gt;100%,100%,(#REF!-C364)/(D364-C364)))</f>
        <v>#REF!</v>
      </c>
      <c r="F364" s="193"/>
      <c r="G364" s="194"/>
      <c r="H364" s="381" t="e">
        <f>IF((#REF!-F364)/(G364-F364)&lt;0,0,IF((#REF!-F364)/(G364-F364)&gt;100%,100%,(#REF!-F364)/(G364-F364)))</f>
        <v>#REF!</v>
      </c>
      <c r="I364" s="182" t="e">
        <f t="shared" si="82"/>
        <v>#REF!</v>
      </c>
      <c r="J364" s="25">
        <f t="shared" si="92"/>
        <v>0</v>
      </c>
      <c r="K364" s="26">
        <f t="shared" si="92"/>
        <v>0</v>
      </c>
      <c r="L364" s="25">
        <f t="shared" si="92"/>
        <v>0</v>
      </c>
      <c r="M364" s="25">
        <f t="shared" si="91"/>
        <v>0</v>
      </c>
      <c r="N364" s="25">
        <f t="shared" si="91"/>
        <v>0</v>
      </c>
      <c r="O364" s="25">
        <f t="shared" si="91"/>
        <v>0</v>
      </c>
      <c r="P364" s="25">
        <f t="shared" si="91"/>
        <v>0</v>
      </c>
      <c r="Q364" s="25">
        <f t="shared" si="91"/>
        <v>0</v>
      </c>
      <c r="R364" s="25">
        <f t="shared" si="91"/>
        <v>0</v>
      </c>
      <c r="S364" s="25">
        <f t="shared" si="91"/>
        <v>0</v>
      </c>
      <c r="T364" s="25">
        <f t="shared" si="91"/>
        <v>0</v>
      </c>
      <c r="U364" s="25">
        <f t="shared" si="91"/>
        <v>0</v>
      </c>
      <c r="V364" s="25">
        <f t="shared" si="91"/>
        <v>0</v>
      </c>
      <c r="W364" s="26">
        <f t="shared" si="91"/>
        <v>0</v>
      </c>
      <c r="X364" s="27">
        <f t="shared" si="91"/>
        <v>0</v>
      </c>
      <c r="Y364" s="25">
        <f t="shared" si="91"/>
        <v>0</v>
      </c>
      <c r="Z364" s="25">
        <f t="shared" si="91"/>
        <v>0</v>
      </c>
      <c r="AA364" s="25">
        <f t="shared" si="90"/>
        <v>0</v>
      </c>
      <c r="AB364" s="25">
        <f t="shared" si="90"/>
        <v>0</v>
      </c>
      <c r="AC364" s="25">
        <f t="shared" si="90"/>
        <v>0</v>
      </c>
      <c r="AD364" s="25">
        <f t="shared" si="90"/>
        <v>0</v>
      </c>
      <c r="AE364" s="25">
        <f t="shared" si="90"/>
        <v>0</v>
      </c>
      <c r="AF364" s="25">
        <f t="shared" si="90"/>
        <v>0</v>
      </c>
      <c r="AG364" s="25">
        <f t="shared" si="90"/>
        <v>0</v>
      </c>
      <c r="AH364" s="25">
        <f t="shared" si="90"/>
        <v>0</v>
      </c>
      <c r="AI364" s="26">
        <f t="shared" si="90"/>
        <v>0</v>
      </c>
      <c r="AJ364" s="135"/>
      <c r="AK364" s="135"/>
      <c r="AL364" s="136"/>
    </row>
    <row r="365" spans="1:38" s="134" customFormat="1" ht="27" customHeight="1">
      <c r="A365" s="365" t="s">
        <v>695</v>
      </c>
      <c r="B365" s="428" t="s">
        <v>384</v>
      </c>
      <c r="C365" s="180"/>
      <c r="D365" s="181"/>
      <c r="E365" s="381" t="e">
        <f>IF((#REF!-C365)/(D365-C365)&lt;0,0,IF((#REF!-C365)/(D365-C365)&gt;100%,100%,(#REF!-C365)/(D365-C365)))</f>
        <v>#REF!</v>
      </c>
      <c r="F365" s="193"/>
      <c r="G365" s="194"/>
      <c r="H365" s="381" t="e">
        <f>IF((#REF!-F365)/(G365-F365)&lt;0,0,IF((#REF!-F365)/(G365-F365)&gt;100%,100%,(#REF!-F365)/(G365-F365)))</f>
        <v>#REF!</v>
      </c>
      <c r="I365" s="182" t="e">
        <f t="shared" si="82"/>
        <v>#REF!</v>
      </c>
      <c r="J365" s="25">
        <f t="shared" si="92"/>
        <v>0</v>
      </c>
      <c r="K365" s="26">
        <f t="shared" si="92"/>
        <v>0</v>
      </c>
      <c r="L365" s="25">
        <f t="shared" si="92"/>
        <v>0</v>
      </c>
      <c r="M365" s="25">
        <f t="shared" si="91"/>
        <v>0</v>
      </c>
      <c r="N365" s="25">
        <f t="shared" si="91"/>
        <v>0</v>
      </c>
      <c r="O365" s="25">
        <f t="shared" si="91"/>
        <v>0</v>
      </c>
      <c r="P365" s="25">
        <f t="shared" si="91"/>
        <v>0</v>
      </c>
      <c r="Q365" s="25">
        <f t="shared" si="91"/>
        <v>0</v>
      </c>
      <c r="R365" s="25">
        <f t="shared" si="91"/>
        <v>0</v>
      </c>
      <c r="S365" s="25">
        <f t="shared" si="91"/>
        <v>0</v>
      </c>
      <c r="T365" s="25">
        <f t="shared" si="91"/>
        <v>0</v>
      </c>
      <c r="U365" s="25">
        <f t="shared" si="91"/>
        <v>0</v>
      </c>
      <c r="V365" s="25">
        <f t="shared" si="91"/>
        <v>0</v>
      </c>
      <c r="W365" s="26">
        <f t="shared" si="91"/>
        <v>0</v>
      </c>
      <c r="X365" s="27">
        <f t="shared" si="91"/>
        <v>0</v>
      </c>
      <c r="Y365" s="25">
        <f t="shared" si="91"/>
        <v>0</v>
      </c>
      <c r="Z365" s="25">
        <f t="shared" si="91"/>
        <v>0</v>
      </c>
      <c r="AA365" s="25">
        <f t="shared" si="90"/>
        <v>0</v>
      </c>
      <c r="AB365" s="25">
        <f t="shared" si="90"/>
        <v>0</v>
      </c>
      <c r="AC365" s="25">
        <f t="shared" si="90"/>
        <v>0</v>
      </c>
      <c r="AD365" s="25">
        <f t="shared" si="90"/>
        <v>0</v>
      </c>
      <c r="AE365" s="25">
        <f t="shared" si="90"/>
        <v>0</v>
      </c>
      <c r="AF365" s="25">
        <f t="shared" si="90"/>
        <v>0</v>
      </c>
      <c r="AG365" s="25">
        <f t="shared" si="90"/>
        <v>0</v>
      </c>
      <c r="AH365" s="25">
        <f t="shared" si="90"/>
        <v>0</v>
      </c>
      <c r="AI365" s="26">
        <f t="shared" si="90"/>
        <v>0</v>
      </c>
      <c r="AJ365" s="135"/>
      <c r="AK365" s="135"/>
      <c r="AL365" s="136"/>
    </row>
    <row r="366" spans="1:38" s="134" customFormat="1" ht="16">
      <c r="A366" s="365" t="s">
        <v>696</v>
      </c>
      <c r="B366" s="428" t="s">
        <v>385</v>
      </c>
      <c r="C366" s="180"/>
      <c r="D366" s="181"/>
      <c r="E366" s="381" t="e">
        <f>IF((#REF!-C366)/(D366-C366)&lt;0,0,IF((#REF!-C366)/(D366-C366)&gt;100%,100%,(#REF!-C366)/(D366-C366)))</f>
        <v>#REF!</v>
      </c>
      <c r="F366" s="193"/>
      <c r="G366" s="194"/>
      <c r="H366" s="381" t="e">
        <f>IF((#REF!-F366)/(G366-F366)&lt;0,0,IF((#REF!-F366)/(G366-F366)&gt;100%,100%,(#REF!-F366)/(G366-F366)))</f>
        <v>#REF!</v>
      </c>
      <c r="I366" s="182" t="e">
        <f t="shared" si="82"/>
        <v>#REF!</v>
      </c>
      <c r="J366" s="25">
        <f t="shared" si="92"/>
        <v>0</v>
      </c>
      <c r="K366" s="26">
        <f t="shared" si="92"/>
        <v>0</v>
      </c>
      <c r="L366" s="25">
        <f t="shared" si="92"/>
        <v>0</v>
      </c>
      <c r="M366" s="25">
        <f t="shared" si="91"/>
        <v>0</v>
      </c>
      <c r="N366" s="25">
        <f t="shared" si="91"/>
        <v>0</v>
      </c>
      <c r="O366" s="25">
        <f t="shared" si="91"/>
        <v>0</v>
      </c>
      <c r="P366" s="25">
        <f t="shared" si="91"/>
        <v>0</v>
      </c>
      <c r="Q366" s="25">
        <f t="shared" si="91"/>
        <v>0</v>
      </c>
      <c r="R366" s="25">
        <f t="shared" si="91"/>
        <v>0</v>
      </c>
      <c r="S366" s="25">
        <f t="shared" si="91"/>
        <v>0</v>
      </c>
      <c r="T366" s="25">
        <f t="shared" si="91"/>
        <v>0</v>
      </c>
      <c r="U366" s="25">
        <f t="shared" si="91"/>
        <v>0</v>
      </c>
      <c r="V366" s="25">
        <f t="shared" si="91"/>
        <v>0</v>
      </c>
      <c r="W366" s="26">
        <f t="shared" si="91"/>
        <v>0</v>
      </c>
      <c r="X366" s="27">
        <f t="shared" si="91"/>
        <v>0</v>
      </c>
      <c r="Y366" s="25">
        <f t="shared" si="91"/>
        <v>0</v>
      </c>
      <c r="Z366" s="25">
        <f t="shared" si="91"/>
        <v>0</v>
      </c>
      <c r="AA366" s="25">
        <f t="shared" si="90"/>
        <v>0</v>
      </c>
      <c r="AB366" s="25">
        <f t="shared" si="90"/>
        <v>0</v>
      </c>
      <c r="AC366" s="25">
        <f t="shared" si="90"/>
        <v>0</v>
      </c>
      <c r="AD366" s="25">
        <f t="shared" si="90"/>
        <v>0</v>
      </c>
      <c r="AE366" s="25">
        <f t="shared" si="90"/>
        <v>0</v>
      </c>
      <c r="AF366" s="25">
        <f t="shared" si="90"/>
        <v>0</v>
      </c>
      <c r="AG366" s="25">
        <f t="shared" si="90"/>
        <v>0</v>
      </c>
      <c r="AH366" s="25">
        <f t="shared" si="90"/>
        <v>0</v>
      </c>
      <c r="AI366" s="26">
        <f t="shared" si="90"/>
        <v>0</v>
      </c>
      <c r="AJ366" s="135"/>
      <c r="AK366" s="135"/>
      <c r="AL366" s="136"/>
    </row>
    <row r="367" spans="1:38" s="134" customFormat="1" ht="16">
      <c r="A367" s="365" t="s">
        <v>697</v>
      </c>
      <c r="B367" s="428" t="s">
        <v>386</v>
      </c>
      <c r="C367" s="180"/>
      <c r="D367" s="181"/>
      <c r="E367" s="381" t="e">
        <f>IF((#REF!-C367)/(D367-C367)&lt;0,0,IF((#REF!-C367)/(D367-C367)&gt;100%,100%,(#REF!-C367)/(D367-C367)))</f>
        <v>#REF!</v>
      </c>
      <c r="F367" s="193"/>
      <c r="G367" s="194"/>
      <c r="H367" s="381" t="e">
        <f>IF((#REF!-F367)/(G367-F367)&lt;0,0,IF((#REF!-F367)/(G367-F367)&gt;100%,100%,(#REF!-F367)/(G367-F367)))</f>
        <v>#REF!</v>
      </c>
      <c r="I367" s="182" t="e">
        <f t="shared" si="82"/>
        <v>#REF!</v>
      </c>
      <c r="J367" s="25">
        <f t="shared" si="92"/>
        <v>0</v>
      </c>
      <c r="K367" s="26">
        <f t="shared" si="92"/>
        <v>0</v>
      </c>
      <c r="L367" s="25">
        <f t="shared" si="92"/>
        <v>0</v>
      </c>
      <c r="M367" s="25">
        <f t="shared" si="91"/>
        <v>0</v>
      </c>
      <c r="N367" s="25">
        <f t="shared" si="91"/>
        <v>0</v>
      </c>
      <c r="O367" s="25">
        <f t="shared" si="91"/>
        <v>0</v>
      </c>
      <c r="P367" s="25">
        <f t="shared" si="91"/>
        <v>0</v>
      </c>
      <c r="Q367" s="25">
        <f t="shared" si="91"/>
        <v>0</v>
      </c>
      <c r="R367" s="25">
        <f t="shared" si="91"/>
        <v>0</v>
      </c>
      <c r="S367" s="25">
        <f t="shared" si="91"/>
        <v>0</v>
      </c>
      <c r="T367" s="25">
        <f t="shared" si="91"/>
        <v>0</v>
      </c>
      <c r="U367" s="25">
        <f t="shared" si="91"/>
        <v>0</v>
      </c>
      <c r="V367" s="25">
        <f t="shared" si="91"/>
        <v>0</v>
      </c>
      <c r="W367" s="26">
        <f t="shared" si="91"/>
        <v>0</v>
      </c>
      <c r="X367" s="27">
        <f t="shared" si="91"/>
        <v>0</v>
      </c>
      <c r="Y367" s="25">
        <f t="shared" si="91"/>
        <v>0</v>
      </c>
      <c r="Z367" s="25">
        <f t="shared" si="91"/>
        <v>0</v>
      </c>
      <c r="AA367" s="25">
        <f t="shared" si="90"/>
        <v>0</v>
      </c>
      <c r="AB367" s="25">
        <f t="shared" si="90"/>
        <v>0</v>
      </c>
      <c r="AC367" s="25">
        <f t="shared" si="90"/>
        <v>0</v>
      </c>
      <c r="AD367" s="25">
        <f t="shared" si="90"/>
        <v>0</v>
      </c>
      <c r="AE367" s="25">
        <f t="shared" si="90"/>
        <v>0</v>
      </c>
      <c r="AF367" s="25">
        <f t="shared" si="90"/>
        <v>0</v>
      </c>
      <c r="AG367" s="25">
        <f t="shared" si="90"/>
        <v>0</v>
      </c>
      <c r="AH367" s="25">
        <f t="shared" si="90"/>
        <v>0</v>
      </c>
      <c r="AI367" s="26">
        <f t="shared" si="90"/>
        <v>0</v>
      </c>
      <c r="AJ367" s="135"/>
      <c r="AK367" s="135"/>
      <c r="AL367" s="136"/>
    </row>
    <row r="368" spans="1:38" s="134" customFormat="1" ht="16">
      <c r="A368" s="365" t="s">
        <v>698</v>
      </c>
      <c r="B368" s="428" t="s">
        <v>387</v>
      </c>
      <c r="C368" s="180"/>
      <c r="D368" s="181"/>
      <c r="E368" s="381" t="e">
        <f>IF((#REF!-C368)/(D368-C368)&lt;0,0,IF((#REF!-C368)/(D368-C368)&gt;100%,100%,(#REF!-C368)/(D368-C368)))</f>
        <v>#REF!</v>
      </c>
      <c r="F368" s="193"/>
      <c r="G368" s="194"/>
      <c r="H368" s="381" t="e">
        <f>IF((#REF!-F368)/(G368-F368)&lt;0,0,IF((#REF!-F368)/(G368-F368)&gt;100%,100%,(#REF!-F368)/(G368-F368)))</f>
        <v>#REF!</v>
      </c>
      <c r="I368" s="182" t="e">
        <f t="shared" ref="I368:I414" si="93">(D368-C368)/100%*(H368-E368)</f>
        <v>#REF!</v>
      </c>
      <c r="J368" s="25">
        <f t="shared" si="92"/>
        <v>0</v>
      </c>
      <c r="K368" s="26">
        <f t="shared" si="92"/>
        <v>0</v>
      </c>
      <c r="L368" s="25">
        <f t="shared" si="92"/>
        <v>0</v>
      </c>
      <c r="M368" s="25">
        <f t="shared" si="91"/>
        <v>0</v>
      </c>
      <c r="N368" s="25">
        <f t="shared" si="91"/>
        <v>0</v>
      </c>
      <c r="O368" s="25">
        <f t="shared" si="91"/>
        <v>0</v>
      </c>
      <c r="P368" s="25">
        <f t="shared" si="91"/>
        <v>0</v>
      </c>
      <c r="Q368" s="25">
        <f t="shared" si="91"/>
        <v>0</v>
      </c>
      <c r="R368" s="25">
        <f t="shared" si="91"/>
        <v>0</v>
      </c>
      <c r="S368" s="25">
        <f t="shared" si="91"/>
        <v>0</v>
      </c>
      <c r="T368" s="25">
        <f t="shared" si="91"/>
        <v>0</v>
      </c>
      <c r="U368" s="25">
        <f t="shared" si="91"/>
        <v>0</v>
      </c>
      <c r="V368" s="25">
        <f t="shared" si="91"/>
        <v>0</v>
      </c>
      <c r="W368" s="26">
        <f t="shared" si="91"/>
        <v>0</v>
      </c>
      <c r="X368" s="27">
        <f t="shared" si="91"/>
        <v>0</v>
      </c>
      <c r="Y368" s="25">
        <f t="shared" si="91"/>
        <v>0</v>
      </c>
      <c r="Z368" s="25">
        <f t="shared" si="91"/>
        <v>0</v>
      </c>
      <c r="AA368" s="25">
        <f t="shared" si="90"/>
        <v>0</v>
      </c>
      <c r="AB368" s="25">
        <f t="shared" si="90"/>
        <v>0</v>
      </c>
      <c r="AC368" s="25">
        <f t="shared" si="90"/>
        <v>0</v>
      </c>
      <c r="AD368" s="25">
        <f t="shared" si="90"/>
        <v>0</v>
      </c>
      <c r="AE368" s="25">
        <f t="shared" si="90"/>
        <v>0</v>
      </c>
      <c r="AF368" s="25">
        <f t="shared" si="90"/>
        <v>0</v>
      </c>
      <c r="AG368" s="25">
        <f t="shared" si="90"/>
        <v>0</v>
      </c>
      <c r="AH368" s="25">
        <f t="shared" si="90"/>
        <v>0</v>
      </c>
      <c r="AI368" s="26">
        <f t="shared" si="90"/>
        <v>0</v>
      </c>
      <c r="AJ368" s="135"/>
      <c r="AK368" s="135"/>
      <c r="AL368" s="136"/>
    </row>
    <row r="369" spans="1:38" ht="16" hidden="1" outlineLevel="1">
      <c r="A369" s="113" t="s">
        <v>699</v>
      </c>
      <c r="B369" s="430" t="s">
        <v>355</v>
      </c>
      <c r="C369" s="172"/>
      <c r="D369" s="173"/>
      <c r="E369" s="378" t="e">
        <f>IF((#REF!-C369)/(D369-C369)&lt;0,0,IF((#REF!-C369)/(D369-C369)&gt;100%,100%,(#REF!-C369)/(D369-C369)))</f>
        <v>#REF!</v>
      </c>
      <c r="F369" s="186"/>
      <c r="G369" s="187"/>
      <c r="H369" s="378" t="e">
        <f>IF((#REF!-F369)/(G369-F369)&lt;0,0,IF((#REF!-F369)/(G369-F369)&gt;100%,100%,(#REF!-F369)/(G369-F369)))</f>
        <v>#REF!</v>
      </c>
      <c r="I369" s="182" t="e">
        <f t="shared" si="93"/>
        <v>#REF!</v>
      </c>
      <c r="J369" s="25">
        <f t="shared" si="92"/>
        <v>0</v>
      </c>
      <c r="K369" s="26">
        <f t="shared" si="92"/>
        <v>0</v>
      </c>
      <c r="L369" s="25">
        <f t="shared" si="92"/>
        <v>0</v>
      </c>
      <c r="M369" s="25">
        <f t="shared" si="91"/>
        <v>0</v>
      </c>
      <c r="N369" s="25">
        <f t="shared" si="91"/>
        <v>0</v>
      </c>
      <c r="O369" s="25">
        <f t="shared" si="91"/>
        <v>0</v>
      </c>
      <c r="P369" s="25">
        <f t="shared" si="91"/>
        <v>0</v>
      </c>
      <c r="Q369" s="25">
        <f t="shared" si="91"/>
        <v>0</v>
      </c>
      <c r="R369" s="25">
        <f t="shared" si="91"/>
        <v>0</v>
      </c>
      <c r="S369" s="25">
        <f t="shared" si="91"/>
        <v>0</v>
      </c>
      <c r="T369" s="25">
        <f t="shared" si="91"/>
        <v>0</v>
      </c>
      <c r="U369" s="25">
        <f t="shared" si="91"/>
        <v>0</v>
      </c>
      <c r="V369" s="25">
        <f t="shared" si="91"/>
        <v>0</v>
      </c>
      <c r="W369" s="26">
        <f t="shared" si="91"/>
        <v>0</v>
      </c>
      <c r="X369" s="27">
        <f t="shared" si="91"/>
        <v>0</v>
      </c>
      <c r="Y369" s="25">
        <f t="shared" si="91"/>
        <v>0</v>
      </c>
      <c r="Z369" s="25">
        <f t="shared" si="91"/>
        <v>0</v>
      </c>
      <c r="AA369" s="25">
        <f t="shared" si="90"/>
        <v>0</v>
      </c>
      <c r="AB369" s="25">
        <f t="shared" si="90"/>
        <v>0</v>
      </c>
      <c r="AC369" s="25">
        <f t="shared" si="90"/>
        <v>0</v>
      </c>
      <c r="AD369" s="25">
        <f t="shared" si="90"/>
        <v>0</v>
      </c>
      <c r="AE369" s="25">
        <f t="shared" si="90"/>
        <v>0</v>
      </c>
      <c r="AF369" s="25">
        <f t="shared" si="90"/>
        <v>0</v>
      </c>
      <c r="AG369" s="25">
        <f t="shared" si="90"/>
        <v>0</v>
      </c>
      <c r="AH369" s="25">
        <f t="shared" si="90"/>
        <v>0</v>
      </c>
      <c r="AI369" s="26">
        <f t="shared" si="90"/>
        <v>0</v>
      </c>
      <c r="AJ369" s="114"/>
      <c r="AK369" s="114"/>
      <c r="AL369" s="115"/>
    </row>
    <row r="370" spans="1:38" ht="16" hidden="1" outlineLevel="1">
      <c r="A370" s="113" t="s">
        <v>700</v>
      </c>
      <c r="B370" s="430" t="s">
        <v>356</v>
      </c>
      <c r="C370" s="172"/>
      <c r="D370" s="173"/>
      <c r="E370" s="378" t="e">
        <f>IF((#REF!-C370)/(D370-C370)&lt;0,0,IF((#REF!-C370)/(D370-C370)&gt;100%,100%,(#REF!-C370)/(D370-C370)))</f>
        <v>#REF!</v>
      </c>
      <c r="F370" s="186"/>
      <c r="G370" s="187"/>
      <c r="H370" s="378" t="e">
        <f>IF((#REF!-F370)/(G370-F370)&lt;0,0,IF((#REF!-F370)/(G370-F370)&gt;100%,100%,(#REF!-F370)/(G370-F370)))</f>
        <v>#REF!</v>
      </c>
      <c r="I370" s="182" t="e">
        <f t="shared" si="93"/>
        <v>#REF!</v>
      </c>
      <c r="J370" s="25">
        <f t="shared" si="92"/>
        <v>0</v>
      </c>
      <c r="K370" s="26">
        <f t="shared" si="92"/>
        <v>0</v>
      </c>
      <c r="L370" s="25">
        <f t="shared" si="92"/>
        <v>0</v>
      </c>
      <c r="M370" s="25">
        <f t="shared" si="91"/>
        <v>0</v>
      </c>
      <c r="N370" s="25">
        <f t="shared" si="91"/>
        <v>0</v>
      </c>
      <c r="O370" s="25">
        <f t="shared" si="91"/>
        <v>0</v>
      </c>
      <c r="P370" s="25">
        <f t="shared" si="91"/>
        <v>0</v>
      </c>
      <c r="Q370" s="25">
        <f t="shared" si="91"/>
        <v>0</v>
      </c>
      <c r="R370" s="25">
        <f t="shared" si="91"/>
        <v>0</v>
      </c>
      <c r="S370" s="25">
        <f t="shared" si="91"/>
        <v>0</v>
      </c>
      <c r="T370" s="25">
        <f t="shared" si="91"/>
        <v>0</v>
      </c>
      <c r="U370" s="25">
        <f t="shared" si="91"/>
        <v>0</v>
      </c>
      <c r="V370" s="25">
        <f t="shared" si="91"/>
        <v>0</v>
      </c>
      <c r="W370" s="26">
        <f t="shared" si="91"/>
        <v>0</v>
      </c>
      <c r="X370" s="27">
        <f t="shared" si="91"/>
        <v>0</v>
      </c>
      <c r="Y370" s="25">
        <f t="shared" si="91"/>
        <v>0</v>
      </c>
      <c r="Z370" s="25">
        <f t="shared" si="91"/>
        <v>0</v>
      </c>
      <c r="AA370" s="25">
        <f t="shared" si="90"/>
        <v>0</v>
      </c>
      <c r="AB370" s="25">
        <f t="shared" si="90"/>
        <v>0</v>
      </c>
      <c r="AC370" s="25">
        <f t="shared" si="90"/>
        <v>0</v>
      </c>
      <c r="AD370" s="25">
        <f t="shared" si="90"/>
        <v>0</v>
      </c>
      <c r="AE370" s="25">
        <f t="shared" si="90"/>
        <v>0</v>
      </c>
      <c r="AF370" s="25">
        <f t="shared" si="90"/>
        <v>0</v>
      </c>
      <c r="AG370" s="25">
        <f t="shared" si="90"/>
        <v>0</v>
      </c>
      <c r="AH370" s="25">
        <f t="shared" si="90"/>
        <v>0</v>
      </c>
      <c r="AI370" s="26">
        <f t="shared" si="90"/>
        <v>0</v>
      </c>
      <c r="AJ370" s="114"/>
      <c r="AK370" s="114"/>
      <c r="AL370" s="115"/>
    </row>
    <row r="371" spans="1:38" ht="16" hidden="1" outlineLevel="1">
      <c r="A371" s="113" t="s">
        <v>701</v>
      </c>
      <c r="B371" s="430" t="s">
        <v>357</v>
      </c>
      <c r="C371" s="172"/>
      <c r="D371" s="173"/>
      <c r="E371" s="378" t="e">
        <f>IF((#REF!-C371)/(D371-C371)&lt;0,0,IF((#REF!-C371)/(D371-C371)&gt;100%,100%,(#REF!-C371)/(D371-C371)))</f>
        <v>#REF!</v>
      </c>
      <c r="F371" s="186"/>
      <c r="G371" s="187"/>
      <c r="H371" s="378" t="e">
        <f>IF((#REF!-F371)/(G371-F371)&lt;0,0,IF((#REF!-F371)/(G371-F371)&gt;100%,100%,(#REF!-F371)/(G371-F371)))</f>
        <v>#REF!</v>
      </c>
      <c r="I371" s="182" t="e">
        <f t="shared" si="93"/>
        <v>#REF!</v>
      </c>
      <c r="J371" s="25">
        <f t="shared" si="92"/>
        <v>0</v>
      </c>
      <c r="K371" s="26">
        <f t="shared" si="92"/>
        <v>0</v>
      </c>
      <c r="L371" s="25">
        <f t="shared" si="92"/>
        <v>0</v>
      </c>
      <c r="M371" s="25">
        <f t="shared" si="91"/>
        <v>0</v>
      </c>
      <c r="N371" s="25">
        <f t="shared" si="91"/>
        <v>0</v>
      </c>
      <c r="O371" s="25">
        <f t="shared" si="91"/>
        <v>0</v>
      </c>
      <c r="P371" s="25">
        <f t="shared" si="91"/>
        <v>0</v>
      </c>
      <c r="Q371" s="25">
        <f t="shared" si="91"/>
        <v>0</v>
      </c>
      <c r="R371" s="25">
        <f t="shared" si="91"/>
        <v>0</v>
      </c>
      <c r="S371" s="25">
        <f t="shared" si="91"/>
        <v>0</v>
      </c>
      <c r="T371" s="25">
        <f t="shared" si="91"/>
        <v>0</v>
      </c>
      <c r="U371" s="25">
        <f t="shared" si="91"/>
        <v>0</v>
      </c>
      <c r="V371" s="25">
        <f t="shared" si="91"/>
        <v>0</v>
      </c>
      <c r="W371" s="26">
        <f t="shared" si="91"/>
        <v>0</v>
      </c>
      <c r="X371" s="27">
        <f t="shared" si="91"/>
        <v>0</v>
      </c>
      <c r="Y371" s="25">
        <f t="shared" si="91"/>
        <v>0</v>
      </c>
      <c r="Z371" s="25">
        <f t="shared" si="91"/>
        <v>0</v>
      </c>
      <c r="AA371" s="25">
        <f t="shared" si="90"/>
        <v>0</v>
      </c>
      <c r="AB371" s="25">
        <f t="shared" si="90"/>
        <v>0</v>
      </c>
      <c r="AC371" s="25">
        <f t="shared" si="90"/>
        <v>0</v>
      </c>
      <c r="AD371" s="25">
        <f t="shared" si="90"/>
        <v>0</v>
      </c>
      <c r="AE371" s="25">
        <f t="shared" si="90"/>
        <v>0</v>
      </c>
      <c r="AF371" s="25">
        <f t="shared" si="90"/>
        <v>0</v>
      </c>
      <c r="AG371" s="25">
        <f t="shared" si="90"/>
        <v>0</v>
      </c>
      <c r="AH371" s="25">
        <f t="shared" si="90"/>
        <v>0</v>
      </c>
      <c r="AI371" s="26">
        <f t="shared" si="90"/>
        <v>0</v>
      </c>
      <c r="AJ371" s="114"/>
      <c r="AK371" s="114"/>
      <c r="AL371" s="115"/>
    </row>
    <row r="372" spans="1:38" ht="16" hidden="1" outlineLevel="1">
      <c r="A372" s="113" t="s">
        <v>702</v>
      </c>
      <c r="B372" s="430" t="s">
        <v>358</v>
      </c>
      <c r="C372" s="172"/>
      <c r="D372" s="173"/>
      <c r="E372" s="378" t="e">
        <f>IF((#REF!-C372)/(D372-C372)&lt;0,0,IF((#REF!-C372)/(D372-C372)&gt;100%,100%,(#REF!-C372)/(D372-C372)))</f>
        <v>#REF!</v>
      </c>
      <c r="F372" s="186"/>
      <c r="G372" s="187"/>
      <c r="H372" s="378" t="e">
        <f>IF((#REF!-F372)/(G372-F372)&lt;0,0,IF((#REF!-F372)/(G372-F372)&gt;100%,100%,(#REF!-F372)/(G372-F372)))</f>
        <v>#REF!</v>
      </c>
      <c r="I372" s="182" t="e">
        <f t="shared" si="93"/>
        <v>#REF!</v>
      </c>
      <c r="J372" s="25">
        <f t="shared" si="92"/>
        <v>0</v>
      </c>
      <c r="K372" s="26">
        <f t="shared" si="92"/>
        <v>0</v>
      </c>
      <c r="L372" s="25">
        <f t="shared" si="92"/>
        <v>0</v>
      </c>
      <c r="M372" s="25">
        <f t="shared" si="91"/>
        <v>0</v>
      </c>
      <c r="N372" s="25">
        <f t="shared" si="91"/>
        <v>0</v>
      </c>
      <c r="O372" s="25">
        <f t="shared" si="91"/>
        <v>0</v>
      </c>
      <c r="P372" s="25">
        <f t="shared" si="91"/>
        <v>0</v>
      </c>
      <c r="Q372" s="25">
        <f t="shared" si="91"/>
        <v>0</v>
      </c>
      <c r="R372" s="25">
        <f t="shared" si="91"/>
        <v>0</v>
      </c>
      <c r="S372" s="25">
        <f t="shared" si="91"/>
        <v>0</v>
      </c>
      <c r="T372" s="25">
        <f t="shared" si="91"/>
        <v>0</v>
      </c>
      <c r="U372" s="25">
        <f t="shared" si="91"/>
        <v>0</v>
      </c>
      <c r="V372" s="25">
        <f t="shared" si="91"/>
        <v>0</v>
      </c>
      <c r="W372" s="26">
        <f t="shared" si="91"/>
        <v>0</v>
      </c>
      <c r="X372" s="27">
        <f t="shared" si="91"/>
        <v>0</v>
      </c>
      <c r="Y372" s="25">
        <f t="shared" si="91"/>
        <v>0</v>
      </c>
      <c r="Z372" s="25">
        <f t="shared" si="91"/>
        <v>0</v>
      </c>
      <c r="AA372" s="25">
        <f t="shared" si="90"/>
        <v>0</v>
      </c>
      <c r="AB372" s="25">
        <f t="shared" si="90"/>
        <v>0</v>
      </c>
      <c r="AC372" s="25">
        <f t="shared" si="90"/>
        <v>0</v>
      </c>
      <c r="AD372" s="25">
        <f t="shared" si="90"/>
        <v>0</v>
      </c>
      <c r="AE372" s="25">
        <f t="shared" si="90"/>
        <v>0</v>
      </c>
      <c r="AF372" s="25">
        <f t="shared" ref="AA372:AI400" si="94">+IF(AF$3&gt;=$C372,IF(AF$3&lt;=$D372,1,0),0)</f>
        <v>0</v>
      </c>
      <c r="AG372" s="25">
        <f t="shared" si="94"/>
        <v>0</v>
      </c>
      <c r="AH372" s="25">
        <f t="shared" si="94"/>
        <v>0</v>
      </c>
      <c r="AI372" s="26">
        <f t="shared" si="94"/>
        <v>0</v>
      </c>
      <c r="AJ372" s="114"/>
      <c r="AK372" s="114"/>
      <c r="AL372" s="115"/>
    </row>
    <row r="373" spans="1:38" s="372" customFormat="1" collapsed="1">
      <c r="A373" s="365" t="s">
        <v>703</v>
      </c>
      <c r="B373" s="428" t="s">
        <v>365</v>
      </c>
      <c r="C373" s="366"/>
      <c r="D373" s="367"/>
      <c r="E373" s="381" t="e">
        <f>IF((#REF!-C373)/(D373-C373)&lt;0,0,IF((#REF!-C373)/(D373-C373)&gt;100%,100%,(#REF!-C373)/(D373-C373)))</f>
        <v>#REF!</v>
      </c>
      <c r="F373" s="368"/>
      <c r="G373" s="369"/>
      <c r="H373" s="381" t="e">
        <f>IF((#REF!-F373)/(G373-F373)&lt;0,0,IF((#REF!-F373)/(G373-F373)&gt;100%,100%,(#REF!-F373)/(G373-F373)))</f>
        <v>#REF!</v>
      </c>
      <c r="I373" s="222" t="e">
        <f t="shared" si="93"/>
        <v>#REF!</v>
      </c>
      <c r="J373" s="356">
        <f t="shared" si="92"/>
        <v>0</v>
      </c>
      <c r="K373" s="357">
        <f t="shared" si="92"/>
        <v>0</v>
      </c>
      <c r="L373" s="356">
        <f t="shared" si="92"/>
        <v>0</v>
      </c>
      <c r="M373" s="356">
        <f t="shared" si="91"/>
        <v>0</v>
      </c>
      <c r="N373" s="356">
        <f t="shared" si="91"/>
        <v>0</v>
      </c>
      <c r="O373" s="356">
        <f t="shared" si="91"/>
        <v>0</v>
      </c>
      <c r="P373" s="356">
        <f t="shared" si="91"/>
        <v>0</v>
      </c>
      <c r="Q373" s="356">
        <f t="shared" si="91"/>
        <v>0</v>
      </c>
      <c r="R373" s="356">
        <f t="shared" si="91"/>
        <v>0</v>
      </c>
      <c r="S373" s="356">
        <f t="shared" si="91"/>
        <v>0</v>
      </c>
      <c r="T373" s="356">
        <f t="shared" si="91"/>
        <v>0</v>
      </c>
      <c r="U373" s="356">
        <f t="shared" si="91"/>
        <v>0</v>
      </c>
      <c r="V373" s="356">
        <f t="shared" si="91"/>
        <v>0</v>
      </c>
      <c r="W373" s="357">
        <f t="shared" si="91"/>
        <v>0</v>
      </c>
      <c r="X373" s="358">
        <f t="shared" si="91"/>
        <v>0</v>
      </c>
      <c r="Y373" s="356">
        <f t="shared" si="91"/>
        <v>0</v>
      </c>
      <c r="Z373" s="356">
        <f t="shared" si="91"/>
        <v>0</v>
      </c>
      <c r="AA373" s="356">
        <f t="shared" si="94"/>
        <v>0</v>
      </c>
      <c r="AB373" s="356">
        <f t="shared" si="94"/>
        <v>0</v>
      </c>
      <c r="AC373" s="356">
        <f t="shared" si="94"/>
        <v>0</v>
      </c>
      <c r="AD373" s="356">
        <f t="shared" si="94"/>
        <v>0</v>
      </c>
      <c r="AE373" s="356">
        <f t="shared" si="94"/>
        <v>0</v>
      </c>
      <c r="AF373" s="356">
        <f t="shared" si="94"/>
        <v>0</v>
      </c>
      <c r="AG373" s="356">
        <f t="shared" si="94"/>
        <v>0</v>
      </c>
      <c r="AH373" s="356">
        <f t="shared" si="94"/>
        <v>0</v>
      </c>
      <c r="AI373" s="357">
        <f t="shared" si="94"/>
        <v>0</v>
      </c>
      <c r="AJ373" s="370"/>
      <c r="AK373" s="370"/>
      <c r="AL373" s="371"/>
    </row>
    <row r="374" spans="1:38" s="372" customFormat="1">
      <c r="A374" s="365" t="s">
        <v>704</v>
      </c>
      <c r="B374" s="428" t="s">
        <v>388</v>
      </c>
      <c r="C374" s="366"/>
      <c r="D374" s="367"/>
      <c r="E374" s="381" t="e">
        <f>IF((#REF!-C374)/(D374-C374)&lt;0,0,IF((#REF!-C374)/(D374-C374)&gt;100%,100%,(#REF!-C374)/(D374-C374)))</f>
        <v>#REF!</v>
      </c>
      <c r="F374" s="368"/>
      <c r="G374" s="369"/>
      <c r="H374" s="381" t="e">
        <f>IF((#REF!-F374)/(G374-F374)&lt;0,0,IF((#REF!-F374)/(G374-F374)&gt;100%,100%,(#REF!-F374)/(G374-F374)))</f>
        <v>#REF!</v>
      </c>
      <c r="I374" s="222" t="e">
        <f t="shared" si="93"/>
        <v>#REF!</v>
      </c>
      <c r="J374" s="356">
        <f t="shared" si="92"/>
        <v>0</v>
      </c>
      <c r="K374" s="357">
        <f t="shared" si="92"/>
        <v>0</v>
      </c>
      <c r="L374" s="356">
        <f t="shared" si="92"/>
        <v>0</v>
      </c>
      <c r="M374" s="356">
        <f t="shared" si="91"/>
        <v>0</v>
      </c>
      <c r="N374" s="356">
        <f t="shared" si="91"/>
        <v>0</v>
      </c>
      <c r="O374" s="356">
        <f t="shared" si="91"/>
        <v>0</v>
      </c>
      <c r="P374" s="356">
        <f t="shared" si="91"/>
        <v>0</v>
      </c>
      <c r="Q374" s="356">
        <f t="shared" si="91"/>
        <v>0</v>
      </c>
      <c r="R374" s="356">
        <f t="shared" si="91"/>
        <v>0</v>
      </c>
      <c r="S374" s="356">
        <f t="shared" si="91"/>
        <v>0</v>
      </c>
      <c r="T374" s="356">
        <f t="shared" si="91"/>
        <v>0</v>
      </c>
      <c r="U374" s="356">
        <f t="shared" si="91"/>
        <v>0</v>
      </c>
      <c r="V374" s="356">
        <f t="shared" si="91"/>
        <v>0</v>
      </c>
      <c r="W374" s="357">
        <f t="shared" si="91"/>
        <v>0</v>
      </c>
      <c r="X374" s="358">
        <f t="shared" si="91"/>
        <v>0</v>
      </c>
      <c r="Y374" s="356">
        <f t="shared" si="91"/>
        <v>0</v>
      </c>
      <c r="Z374" s="356">
        <f t="shared" si="91"/>
        <v>0</v>
      </c>
      <c r="AA374" s="356">
        <f t="shared" si="94"/>
        <v>0</v>
      </c>
      <c r="AB374" s="356">
        <f t="shared" si="94"/>
        <v>0</v>
      </c>
      <c r="AC374" s="356">
        <f t="shared" si="94"/>
        <v>0</v>
      </c>
      <c r="AD374" s="356">
        <f t="shared" si="94"/>
        <v>0</v>
      </c>
      <c r="AE374" s="356">
        <f t="shared" si="94"/>
        <v>0</v>
      </c>
      <c r="AF374" s="356">
        <f t="shared" si="94"/>
        <v>0</v>
      </c>
      <c r="AG374" s="356">
        <f t="shared" si="94"/>
        <v>0</v>
      </c>
      <c r="AH374" s="356">
        <f t="shared" si="94"/>
        <v>0</v>
      </c>
      <c r="AI374" s="357">
        <f t="shared" si="94"/>
        <v>0</v>
      </c>
      <c r="AJ374" s="370"/>
      <c r="AK374" s="370"/>
      <c r="AL374" s="371"/>
    </row>
    <row r="375" spans="1:38" s="372" customFormat="1">
      <c r="A375" s="365" t="s">
        <v>705</v>
      </c>
      <c r="B375" s="428" t="s">
        <v>371</v>
      </c>
      <c r="C375" s="366"/>
      <c r="D375" s="367"/>
      <c r="E375" s="381" t="e">
        <f>IF((#REF!-C375)/(D375-C375)&lt;0,0,IF((#REF!-C375)/(D375-C375)&gt;100%,100%,(#REF!-C375)/(D375-C375)))</f>
        <v>#REF!</v>
      </c>
      <c r="F375" s="368"/>
      <c r="G375" s="369"/>
      <c r="H375" s="381" t="e">
        <f>IF((#REF!-F375)/(G375-F375)&lt;0,0,IF((#REF!-F375)/(G375-F375)&gt;100%,100%,(#REF!-F375)/(G375-F375)))</f>
        <v>#REF!</v>
      </c>
      <c r="I375" s="222" t="e">
        <f t="shared" si="93"/>
        <v>#REF!</v>
      </c>
      <c r="J375" s="356">
        <f t="shared" si="92"/>
        <v>0</v>
      </c>
      <c r="K375" s="357">
        <f t="shared" si="92"/>
        <v>0</v>
      </c>
      <c r="L375" s="356">
        <f t="shared" si="92"/>
        <v>0</v>
      </c>
      <c r="M375" s="356">
        <f t="shared" si="91"/>
        <v>0</v>
      </c>
      <c r="N375" s="356">
        <f t="shared" si="91"/>
        <v>0</v>
      </c>
      <c r="O375" s="356">
        <f t="shared" si="91"/>
        <v>0</v>
      </c>
      <c r="P375" s="356">
        <f t="shared" si="91"/>
        <v>0</v>
      </c>
      <c r="Q375" s="356">
        <f t="shared" si="91"/>
        <v>0</v>
      </c>
      <c r="R375" s="356">
        <f t="shared" si="91"/>
        <v>0</v>
      </c>
      <c r="S375" s="356">
        <f t="shared" si="91"/>
        <v>0</v>
      </c>
      <c r="T375" s="356">
        <f t="shared" si="91"/>
        <v>0</v>
      </c>
      <c r="U375" s="356">
        <f t="shared" si="91"/>
        <v>0</v>
      </c>
      <c r="V375" s="356">
        <f t="shared" si="91"/>
        <v>0</v>
      </c>
      <c r="W375" s="357">
        <f t="shared" si="91"/>
        <v>0</v>
      </c>
      <c r="X375" s="358">
        <f t="shared" si="91"/>
        <v>0</v>
      </c>
      <c r="Y375" s="356">
        <f t="shared" si="91"/>
        <v>0</v>
      </c>
      <c r="Z375" s="356">
        <f t="shared" si="91"/>
        <v>0</v>
      </c>
      <c r="AA375" s="356">
        <f t="shared" si="94"/>
        <v>0</v>
      </c>
      <c r="AB375" s="356">
        <f t="shared" si="94"/>
        <v>0</v>
      </c>
      <c r="AC375" s="356">
        <f t="shared" si="94"/>
        <v>0</v>
      </c>
      <c r="AD375" s="356">
        <f t="shared" si="94"/>
        <v>0</v>
      </c>
      <c r="AE375" s="356">
        <f t="shared" si="94"/>
        <v>0</v>
      </c>
      <c r="AF375" s="356">
        <f t="shared" si="94"/>
        <v>0</v>
      </c>
      <c r="AG375" s="356">
        <f t="shared" si="94"/>
        <v>0</v>
      </c>
      <c r="AH375" s="356">
        <f t="shared" si="94"/>
        <v>0</v>
      </c>
      <c r="AI375" s="357">
        <f t="shared" si="94"/>
        <v>0</v>
      </c>
      <c r="AJ375" s="370"/>
      <c r="AK375" s="370"/>
      <c r="AL375" s="371"/>
    </row>
    <row r="376" spans="1:38" s="372" customFormat="1">
      <c r="A376" s="365" t="s">
        <v>706</v>
      </c>
      <c r="B376" s="428" t="s">
        <v>389</v>
      </c>
      <c r="C376" s="366"/>
      <c r="D376" s="367"/>
      <c r="E376" s="381" t="e">
        <f>IF((#REF!-C376)/(D376-C376)&lt;0,0,IF((#REF!-C376)/(D376-C376)&gt;100%,100%,(#REF!-C376)/(D376-C376)))</f>
        <v>#REF!</v>
      </c>
      <c r="F376" s="368"/>
      <c r="G376" s="369"/>
      <c r="H376" s="381" t="e">
        <f>IF((#REF!-F376)/(G376-F376)&lt;0,0,IF((#REF!-F376)/(G376-F376)&gt;100%,100%,(#REF!-F376)/(G376-F376)))</f>
        <v>#REF!</v>
      </c>
      <c r="I376" s="222" t="e">
        <f t="shared" si="93"/>
        <v>#REF!</v>
      </c>
      <c r="J376" s="356">
        <f t="shared" si="92"/>
        <v>0</v>
      </c>
      <c r="K376" s="357">
        <f t="shared" si="92"/>
        <v>0</v>
      </c>
      <c r="L376" s="356">
        <f t="shared" si="92"/>
        <v>0</v>
      </c>
      <c r="M376" s="356">
        <f t="shared" si="91"/>
        <v>0</v>
      </c>
      <c r="N376" s="356">
        <f t="shared" si="91"/>
        <v>0</v>
      </c>
      <c r="O376" s="356">
        <f t="shared" si="91"/>
        <v>0</v>
      </c>
      <c r="P376" s="356">
        <f t="shared" si="91"/>
        <v>0</v>
      </c>
      <c r="Q376" s="356">
        <f t="shared" si="91"/>
        <v>0</v>
      </c>
      <c r="R376" s="356">
        <f t="shared" si="91"/>
        <v>0</v>
      </c>
      <c r="S376" s="356">
        <f t="shared" si="91"/>
        <v>0</v>
      </c>
      <c r="T376" s="356">
        <f t="shared" si="91"/>
        <v>0</v>
      </c>
      <c r="U376" s="356">
        <f t="shared" si="91"/>
        <v>0</v>
      </c>
      <c r="V376" s="356">
        <f t="shared" si="91"/>
        <v>0</v>
      </c>
      <c r="W376" s="357">
        <f t="shared" si="91"/>
        <v>0</v>
      </c>
      <c r="X376" s="358">
        <f t="shared" si="91"/>
        <v>0</v>
      </c>
      <c r="Y376" s="356">
        <f t="shared" si="91"/>
        <v>0</v>
      </c>
      <c r="Z376" s="356">
        <f t="shared" si="91"/>
        <v>0</v>
      </c>
      <c r="AA376" s="356">
        <f t="shared" si="94"/>
        <v>0</v>
      </c>
      <c r="AB376" s="356">
        <f t="shared" si="94"/>
        <v>0</v>
      </c>
      <c r="AC376" s="356">
        <f t="shared" si="94"/>
        <v>0</v>
      </c>
      <c r="AD376" s="356">
        <f t="shared" si="94"/>
        <v>0</v>
      </c>
      <c r="AE376" s="356">
        <f t="shared" si="94"/>
        <v>0</v>
      </c>
      <c r="AF376" s="356">
        <f t="shared" si="94"/>
        <v>0</v>
      </c>
      <c r="AG376" s="356">
        <f t="shared" si="94"/>
        <v>0</v>
      </c>
      <c r="AH376" s="356">
        <f t="shared" si="94"/>
        <v>0</v>
      </c>
      <c r="AI376" s="357">
        <f t="shared" si="94"/>
        <v>0</v>
      </c>
      <c r="AJ376" s="370"/>
      <c r="AK376" s="370"/>
      <c r="AL376" s="371"/>
    </row>
    <row r="377" spans="1:38" ht="16">
      <c r="A377" s="110" t="s">
        <v>707</v>
      </c>
      <c r="B377" s="411" t="s">
        <v>177</v>
      </c>
      <c r="C377" s="176"/>
      <c r="D377" s="177"/>
      <c r="E377" s="380" t="e">
        <f>IF((#REF!-C377)/(D377-C377)&lt;0,0,IF((#REF!-C377)/(D377-C377)&gt;100%,100%,(#REF!-C377)/(D377-C377)))</f>
        <v>#REF!</v>
      </c>
      <c r="F377" s="189"/>
      <c r="G377" s="190"/>
      <c r="H377" s="380" t="e">
        <f>IF((#REF!-F377)/(G377-F377)&lt;0,0,IF((#REF!-F377)/(G377-F377)&gt;100%,100%,(#REF!-F377)/(G377-F377)))</f>
        <v>#REF!</v>
      </c>
      <c r="I377" s="182" t="e">
        <f t="shared" si="93"/>
        <v>#REF!</v>
      </c>
      <c r="J377" s="25">
        <f t="shared" si="92"/>
        <v>0</v>
      </c>
      <c r="K377" s="26">
        <f t="shared" si="92"/>
        <v>0</v>
      </c>
      <c r="L377" s="25">
        <f t="shared" si="92"/>
        <v>0</v>
      </c>
      <c r="M377" s="25">
        <f t="shared" si="91"/>
        <v>0</v>
      </c>
      <c r="N377" s="25">
        <f t="shared" si="91"/>
        <v>0</v>
      </c>
      <c r="O377" s="25">
        <f t="shared" si="91"/>
        <v>0</v>
      </c>
      <c r="P377" s="25">
        <f t="shared" si="91"/>
        <v>0</v>
      </c>
      <c r="Q377" s="25">
        <f t="shared" si="91"/>
        <v>0</v>
      </c>
      <c r="R377" s="25">
        <f t="shared" si="91"/>
        <v>0</v>
      </c>
      <c r="S377" s="25">
        <f t="shared" si="91"/>
        <v>0</v>
      </c>
      <c r="T377" s="25">
        <f t="shared" si="91"/>
        <v>0</v>
      </c>
      <c r="U377" s="25">
        <f t="shared" si="91"/>
        <v>0</v>
      </c>
      <c r="V377" s="25">
        <f t="shared" si="91"/>
        <v>0</v>
      </c>
      <c r="W377" s="26">
        <f t="shared" si="91"/>
        <v>0</v>
      </c>
      <c r="X377" s="27">
        <f t="shared" si="91"/>
        <v>0</v>
      </c>
      <c r="Y377" s="25">
        <f t="shared" si="91"/>
        <v>0</v>
      </c>
      <c r="Z377" s="25">
        <f t="shared" si="91"/>
        <v>0</v>
      </c>
      <c r="AA377" s="25">
        <f t="shared" si="94"/>
        <v>0</v>
      </c>
      <c r="AB377" s="25">
        <f t="shared" si="94"/>
        <v>0</v>
      </c>
      <c r="AC377" s="25">
        <f t="shared" si="94"/>
        <v>0</v>
      </c>
      <c r="AD377" s="25">
        <f t="shared" si="94"/>
        <v>0</v>
      </c>
      <c r="AE377" s="25">
        <f t="shared" si="94"/>
        <v>0</v>
      </c>
      <c r="AF377" s="25">
        <f t="shared" si="94"/>
        <v>0</v>
      </c>
      <c r="AG377" s="25">
        <f t="shared" si="94"/>
        <v>0</v>
      </c>
      <c r="AH377" s="25">
        <f t="shared" si="94"/>
        <v>0</v>
      </c>
      <c r="AI377" s="26">
        <f t="shared" si="94"/>
        <v>0</v>
      </c>
      <c r="AJ377" s="111"/>
      <c r="AK377" s="111"/>
      <c r="AL377" s="112"/>
    </row>
    <row r="378" spans="1:38" s="134" customFormat="1" ht="16">
      <c r="A378" s="116" t="s">
        <v>708</v>
      </c>
      <c r="B378" s="66" t="s">
        <v>352</v>
      </c>
      <c r="C378" s="180"/>
      <c r="D378" s="181"/>
      <c r="E378" s="381" t="e">
        <f>IF((#REF!-C378)/(D378-C378)&lt;0,0,IF((#REF!-C378)/(D378-C378)&gt;100%,100%,(#REF!-C378)/(D378-C378)))</f>
        <v>#REF!</v>
      </c>
      <c r="F378" s="193"/>
      <c r="G378" s="194"/>
      <c r="H378" s="381" t="e">
        <f>IF((#REF!-F378)/(G378-F378)&lt;0,0,IF((#REF!-F378)/(G378-F378)&gt;100%,100%,(#REF!-F378)/(G378-F378)))</f>
        <v>#REF!</v>
      </c>
      <c r="I378" s="182" t="e">
        <f t="shared" si="93"/>
        <v>#REF!</v>
      </c>
      <c r="J378" s="25">
        <f t="shared" si="92"/>
        <v>0</v>
      </c>
      <c r="K378" s="26">
        <f t="shared" si="92"/>
        <v>0</v>
      </c>
      <c r="L378" s="25">
        <f t="shared" si="92"/>
        <v>0</v>
      </c>
      <c r="M378" s="25">
        <f t="shared" ref="M378:Y378" si="95">+IF(M$3&gt;=$C378,IF(M$3&lt;=$D378,1,0),0)</f>
        <v>0</v>
      </c>
      <c r="N378" s="25">
        <f t="shared" si="95"/>
        <v>0</v>
      </c>
      <c r="O378" s="25">
        <f t="shared" si="95"/>
        <v>0</v>
      </c>
      <c r="P378" s="25">
        <f t="shared" si="95"/>
        <v>0</v>
      </c>
      <c r="Q378" s="25">
        <f t="shared" si="95"/>
        <v>0</v>
      </c>
      <c r="R378" s="25">
        <f t="shared" si="95"/>
        <v>0</v>
      </c>
      <c r="S378" s="25">
        <f t="shared" si="95"/>
        <v>0</v>
      </c>
      <c r="T378" s="25">
        <f t="shared" si="95"/>
        <v>0</v>
      </c>
      <c r="U378" s="25">
        <f t="shared" si="95"/>
        <v>0</v>
      </c>
      <c r="V378" s="25">
        <f t="shared" si="95"/>
        <v>0</v>
      </c>
      <c r="W378" s="26">
        <f t="shared" si="95"/>
        <v>0</v>
      </c>
      <c r="X378" s="27">
        <f t="shared" si="95"/>
        <v>0</v>
      </c>
      <c r="Y378" s="25">
        <f t="shared" si="95"/>
        <v>0</v>
      </c>
      <c r="Z378" s="25">
        <f t="shared" ref="M378:Z397" si="96">+IF(Z$3&gt;=$C378,IF(Z$3&lt;=$D378,1,0),0)</f>
        <v>0</v>
      </c>
      <c r="AA378" s="25">
        <f t="shared" si="94"/>
        <v>0</v>
      </c>
      <c r="AB378" s="25">
        <f t="shared" si="94"/>
        <v>0</v>
      </c>
      <c r="AC378" s="25">
        <f t="shared" si="94"/>
        <v>0</v>
      </c>
      <c r="AD378" s="25">
        <f t="shared" si="94"/>
        <v>0</v>
      </c>
      <c r="AE378" s="25">
        <f t="shared" si="94"/>
        <v>0</v>
      </c>
      <c r="AF378" s="25">
        <f t="shared" si="94"/>
        <v>0</v>
      </c>
      <c r="AG378" s="25">
        <f t="shared" si="94"/>
        <v>0</v>
      </c>
      <c r="AH378" s="25">
        <f t="shared" si="94"/>
        <v>0</v>
      </c>
      <c r="AI378" s="26">
        <f t="shared" si="94"/>
        <v>0</v>
      </c>
      <c r="AJ378" s="135"/>
      <c r="AK378" s="135"/>
      <c r="AL378" s="136"/>
    </row>
    <row r="379" spans="1:38" ht="16" hidden="1" outlineLevel="1">
      <c r="A379" s="113" t="s">
        <v>709</v>
      </c>
      <c r="B379" s="416" t="s">
        <v>366</v>
      </c>
      <c r="C379" s="172"/>
      <c r="D379" s="173"/>
      <c r="E379" s="378" t="e">
        <f>IF((#REF!-C379)/(D379-C379)&lt;0,0,IF((#REF!-C379)/(D379-C379)&gt;100%,100%,(#REF!-C379)/(D379-C379)))</f>
        <v>#REF!</v>
      </c>
      <c r="F379" s="186"/>
      <c r="G379" s="187"/>
      <c r="H379" s="378" t="e">
        <f>IF((#REF!-F379)/(G379-F379)&lt;0,0,IF((#REF!-F379)/(G379-F379)&gt;100%,100%,(#REF!-F379)/(G379-F379)))</f>
        <v>#REF!</v>
      </c>
      <c r="I379" s="182" t="e">
        <f t="shared" si="93"/>
        <v>#REF!</v>
      </c>
      <c r="J379" s="25">
        <f t="shared" si="92"/>
        <v>0</v>
      </c>
      <c r="K379" s="26">
        <f t="shared" si="92"/>
        <v>0</v>
      </c>
      <c r="L379" s="25">
        <f t="shared" si="92"/>
        <v>0</v>
      </c>
      <c r="M379" s="25">
        <f t="shared" si="96"/>
        <v>0</v>
      </c>
      <c r="N379" s="25">
        <f t="shared" si="96"/>
        <v>0</v>
      </c>
      <c r="O379" s="25">
        <f t="shared" si="96"/>
        <v>0</v>
      </c>
      <c r="P379" s="25">
        <f t="shared" si="96"/>
        <v>0</v>
      </c>
      <c r="Q379" s="25">
        <f t="shared" si="96"/>
        <v>0</v>
      </c>
      <c r="R379" s="25">
        <f t="shared" si="96"/>
        <v>0</v>
      </c>
      <c r="S379" s="25">
        <f t="shared" si="96"/>
        <v>0</v>
      </c>
      <c r="T379" s="25">
        <f t="shared" si="96"/>
        <v>0</v>
      </c>
      <c r="U379" s="25">
        <f t="shared" si="96"/>
        <v>0</v>
      </c>
      <c r="V379" s="25">
        <f t="shared" si="96"/>
        <v>0</v>
      </c>
      <c r="W379" s="26">
        <f t="shared" si="96"/>
        <v>0</v>
      </c>
      <c r="X379" s="27">
        <f t="shared" si="96"/>
        <v>0</v>
      </c>
      <c r="Y379" s="25">
        <f t="shared" si="96"/>
        <v>0</v>
      </c>
      <c r="Z379" s="25">
        <f t="shared" si="96"/>
        <v>0</v>
      </c>
      <c r="AA379" s="25">
        <f t="shared" si="94"/>
        <v>0</v>
      </c>
      <c r="AB379" s="25">
        <f t="shared" si="94"/>
        <v>0</v>
      </c>
      <c r="AC379" s="25">
        <f t="shared" si="94"/>
        <v>0</v>
      </c>
      <c r="AD379" s="25">
        <f t="shared" si="94"/>
        <v>0</v>
      </c>
      <c r="AE379" s="25">
        <f t="shared" si="94"/>
        <v>0</v>
      </c>
      <c r="AF379" s="25">
        <f t="shared" si="94"/>
        <v>0</v>
      </c>
      <c r="AG379" s="25">
        <f t="shared" si="94"/>
        <v>0</v>
      </c>
      <c r="AH379" s="25">
        <f t="shared" si="94"/>
        <v>0</v>
      </c>
      <c r="AI379" s="26">
        <f t="shared" si="94"/>
        <v>0</v>
      </c>
      <c r="AJ379" s="114"/>
      <c r="AK379" s="114"/>
      <c r="AL379" s="115"/>
    </row>
    <row r="380" spans="1:38" ht="16" hidden="1" outlineLevel="1">
      <c r="A380" s="113" t="s">
        <v>710</v>
      </c>
      <c r="B380" s="416" t="s">
        <v>367</v>
      </c>
      <c r="C380" s="172"/>
      <c r="D380" s="173"/>
      <c r="E380" s="378" t="e">
        <f>IF((#REF!-C380)/(D380-C380)&lt;0,0,IF((#REF!-C380)/(D380-C380)&gt;100%,100%,(#REF!-C380)/(D380-C380)))</f>
        <v>#REF!</v>
      </c>
      <c r="F380" s="186"/>
      <c r="G380" s="187"/>
      <c r="H380" s="378" t="e">
        <f>IF((#REF!-F380)/(G380-F380)&lt;0,0,IF((#REF!-F380)/(G380-F380)&gt;100%,100%,(#REF!-F380)/(G380-F380)))</f>
        <v>#REF!</v>
      </c>
      <c r="I380" s="182" t="e">
        <f t="shared" si="93"/>
        <v>#REF!</v>
      </c>
      <c r="J380" s="25">
        <f t="shared" si="92"/>
        <v>0</v>
      </c>
      <c r="K380" s="26">
        <f t="shared" si="92"/>
        <v>0</v>
      </c>
      <c r="L380" s="25">
        <f t="shared" si="92"/>
        <v>0</v>
      </c>
      <c r="M380" s="25">
        <f t="shared" si="96"/>
        <v>0</v>
      </c>
      <c r="N380" s="25">
        <f t="shared" si="96"/>
        <v>0</v>
      </c>
      <c r="O380" s="25">
        <f t="shared" si="96"/>
        <v>0</v>
      </c>
      <c r="P380" s="25">
        <f t="shared" si="96"/>
        <v>0</v>
      </c>
      <c r="Q380" s="25">
        <f t="shared" si="96"/>
        <v>0</v>
      </c>
      <c r="R380" s="25">
        <f t="shared" si="96"/>
        <v>0</v>
      </c>
      <c r="S380" s="25">
        <f t="shared" si="96"/>
        <v>0</v>
      </c>
      <c r="T380" s="25">
        <f t="shared" si="96"/>
        <v>0</v>
      </c>
      <c r="U380" s="25">
        <f t="shared" si="96"/>
        <v>0</v>
      </c>
      <c r="V380" s="25">
        <f t="shared" si="96"/>
        <v>0</v>
      </c>
      <c r="W380" s="26">
        <f t="shared" si="96"/>
        <v>0</v>
      </c>
      <c r="X380" s="27">
        <f t="shared" si="96"/>
        <v>0</v>
      </c>
      <c r="Y380" s="25">
        <f t="shared" si="96"/>
        <v>0</v>
      </c>
      <c r="Z380" s="25">
        <f t="shared" si="96"/>
        <v>0</v>
      </c>
      <c r="AA380" s="25">
        <f t="shared" si="94"/>
        <v>0</v>
      </c>
      <c r="AB380" s="25">
        <f t="shared" si="94"/>
        <v>0</v>
      </c>
      <c r="AC380" s="25">
        <f t="shared" si="94"/>
        <v>0</v>
      </c>
      <c r="AD380" s="25">
        <f t="shared" si="94"/>
        <v>0</v>
      </c>
      <c r="AE380" s="25">
        <f t="shared" si="94"/>
        <v>0</v>
      </c>
      <c r="AF380" s="25">
        <f t="shared" si="94"/>
        <v>0</v>
      </c>
      <c r="AG380" s="25">
        <f t="shared" si="94"/>
        <v>0</v>
      </c>
      <c r="AH380" s="25">
        <f t="shared" si="94"/>
        <v>0</v>
      </c>
      <c r="AI380" s="26">
        <f t="shared" si="94"/>
        <v>0</v>
      </c>
      <c r="AJ380" s="114"/>
      <c r="AK380" s="114"/>
      <c r="AL380" s="115"/>
    </row>
    <row r="381" spans="1:38" ht="16" hidden="1" outlineLevel="1">
      <c r="A381" s="113" t="s">
        <v>711</v>
      </c>
      <c r="B381" s="416" t="s">
        <v>161</v>
      </c>
      <c r="C381" s="172"/>
      <c r="D381" s="173"/>
      <c r="E381" s="378" t="e">
        <f>IF((#REF!-C381)/(D381-C381)&lt;0,0,IF((#REF!-C381)/(D381-C381)&gt;100%,100%,(#REF!-C381)/(D381-C381)))</f>
        <v>#REF!</v>
      </c>
      <c r="F381" s="186"/>
      <c r="G381" s="187"/>
      <c r="H381" s="378" t="e">
        <f>IF((#REF!-F381)/(G381-F381)&lt;0,0,IF((#REF!-F381)/(G381-F381)&gt;100%,100%,(#REF!-F381)/(G381-F381)))</f>
        <v>#REF!</v>
      </c>
      <c r="I381" s="182" t="e">
        <f t="shared" si="93"/>
        <v>#REF!</v>
      </c>
      <c r="J381" s="25">
        <f t="shared" ref="J381:L400" si="97">+IF(J$3&gt;=$C381,IF(J$3&lt;=$D381,1,0),0)</f>
        <v>0</v>
      </c>
      <c r="K381" s="26">
        <f t="shared" si="97"/>
        <v>0</v>
      </c>
      <c r="L381" s="25">
        <f t="shared" si="97"/>
        <v>0</v>
      </c>
      <c r="M381" s="25">
        <f t="shared" si="96"/>
        <v>0</v>
      </c>
      <c r="N381" s="25">
        <f t="shared" si="96"/>
        <v>0</v>
      </c>
      <c r="O381" s="25">
        <f t="shared" si="96"/>
        <v>0</v>
      </c>
      <c r="P381" s="25">
        <f t="shared" si="96"/>
        <v>0</v>
      </c>
      <c r="Q381" s="25">
        <f t="shared" si="96"/>
        <v>0</v>
      </c>
      <c r="R381" s="25">
        <f t="shared" si="96"/>
        <v>0</v>
      </c>
      <c r="S381" s="25">
        <f t="shared" si="96"/>
        <v>0</v>
      </c>
      <c r="T381" s="25">
        <f t="shared" si="96"/>
        <v>0</v>
      </c>
      <c r="U381" s="25">
        <f t="shared" si="96"/>
        <v>0</v>
      </c>
      <c r="V381" s="25">
        <f t="shared" si="96"/>
        <v>0</v>
      </c>
      <c r="W381" s="26">
        <f t="shared" si="96"/>
        <v>0</v>
      </c>
      <c r="X381" s="27">
        <f t="shared" si="96"/>
        <v>0</v>
      </c>
      <c r="Y381" s="25">
        <f t="shared" si="96"/>
        <v>0</v>
      </c>
      <c r="Z381" s="25">
        <f t="shared" si="96"/>
        <v>0</v>
      </c>
      <c r="AA381" s="25">
        <f t="shared" si="94"/>
        <v>0</v>
      </c>
      <c r="AB381" s="25">
        <f t="shared" si="94"/>
        <v>0</v>
      </c>
      <c r="AC381" s="25">
        <f t="shared" si="94"/>
        <v>0</v>
      </c>
      <c r="AD381" s="25">
        <f t="shared" si="94"/>
        <v>0</v>
      </c>
      <c r="AE381" s="25">
        <f t="shared" si="94"/>
        <v>0</v>
      </c>
      <c r="AF381" s="25">
        <f t="shared" si="94"/>
        <v>0</v>
      </c>
      <c r="AG381" s="25">
        <f t="shared" si="94"/>
        <v>0</v>
      </c>
      <c r="AH381" s="25">
        <f t="shared" si="94"/>
        <v>0</v>
      </c>
      <c r="AI381" s="26">
        <f t="shared" si="94"/>
        <v>0</v>
      </c>
      <c r="AJ381" s="114"/>
      <c r="AK381" s="114"/>
      <c r="AL381" s="115"/>
    </row>
    <row r="382" spans="1:38" ht="16" hidden="1" outlineLevel="1">
      <c r="A382" s="113" t="s">
        <v>712</v>
      </c>
      <c r="B382" s="416" t="s">
        <v>368</v>
      </c>
      <c r="C382" s="172"/>
      <c r="D382" s="173"/>
      <c r="E382" s="378" t="e">
        <f>IF((#REF!-C382)/(D382-C382)&lt;0,0,IF((#REF!-C382)/(D382-C382)&gt;100%,100%,(#REF!-C382)/(D382-C382)))</f>
        <v>#REF!</v>
      </c>
      <c r="F382" s="186"/>
      <c r="G382" s="187"/>
      <c r="H382" s="378" t="e">
        <f>IF((#REF!-F382)/(G382-F382)&lt;0,0,IF((#REF!-F382)/(G382-F382)&gt;100%,100%,(#REF!-F382)/(G382-F382)))</f>
        <v>#REF!</v>
      </c>
      <c r="I382" s="182" t="e">
        <f t="shared" si="93"/>
        <v>#REF!</v>
      </c>
      <c r="J382" s="25">
        <f t="shared" si="97"/>
        <v>0</v>
      </c>
      <c r="K382" s="26">
        <f t="shared" si="97"/>
        <v>0</v>
      </c>
      <c r="L382" s="25">
        <f t="shared" si="97"/>
        <v>0</v>
      </c>
      <c r="M382" s="25">
        <f t="shared" si="96"/>
        <v>0</v>
      </c>
      <c r="N382" s="25">
        <f t="shared" si="96"/>
        <v>0</v>
      </c>
      <c r="O382" s="25">
        <f t="shared" si="96"/>
        <v>0</v>
      </c>
      <c r="P382" s="25">
        <f t="shared" si="96"/>
        <v>0</v>
      </c>
      <c r="Q382" s="25">
        <f t="shared" si="96"/>
        <v>0</v>
      </c>
      <c r="R382" s="25">
        <f t="shared" si="96"/>
        <v>0</v>
      </c>
      <c r="S382" s="25">
        <f t="shared" si="96"/>
        <v>0</v>
      </c>
      <c r="T382" s="25">
        <f t="shared" si="96"/>
        <v>0</v>
      </c>
      <c r="U382" s="25">
        <f t="shared" si="96"/>
        <v>0</v>
      </c>
      <c r="V382" s="25">
        <f t="shared" si="96"/>
        <v>0</v>
      </c>
      <c r="W382" s="26">
        <f t="shared" si="96"/>
        <v>0</v>
      </c>
      <c r="X382" s="27">
        <f t="shared" si="96"/>
        <v>0</v>
      </c>
      <c r="Y382" s="25">
        <f t="shared" si="96"/>
        <v>0</v>
      </c>
      <c r="Z382" s="25">
        <f t="shared" si="96"/>
        <v>0</v>
      </c>
      <c r="AA382" s="25">
        <f t="shared" si="94"/>
        <v>0</v>
      </c>
      <c r="AB382" s="25">
        <f t="shared" si="94"/>
        <v>0</v>
      </c>
      <c r="AC382" s="25">
        <f t="shared" si="94"/>
        <v>0</v>
      </c>
      <c r="AD382" s="25">
        <f t="shared" si="94"/>
        <v>0</v>
      </c>
      <c r="AE382" s="25">
        <f t="shared" si="94"/>
        <v>0</v>
      </c>
      <c r="AF382" s="25">
        <f t="shared" si="94"/>
        <v>0</v>
      </c>
      <c r="AG382" s="25">
        <f t="shared" si="94"/>
        <v>0</v>
      </c>
      <c r="AH382" s="25">
        <f t="shared" si="94"/>
        <v>0</v>
      </c>
      <c r="AI382" s="26">
        <f t="shared" si="94"/>
        <v>0</v>
      </c>
      <c r="AJ382" s="114"/>
      <c r="AK382" s="114"/>
      <c r="AL382" s="115"/>
    </row>
    <row r="383" spans="1:38" ht="16" hidden="1" outlineLevel="1">
      <c r="A383" s="113" t="s">
        <v>713</v>
      </c>
      <c r="B383" s="416" t="s">
        <v>369</v>
      </c>
      <c r="C383" s="172"/>
      <c r="D383" s="173"/>
      <c r="E383" s="378" t="e">
        <f>IF((#REF!-C383)/(D383-C383)&lt;0,0,IF((#REF!-C383)/(D383-C383)&gt;100%,100%,(#REF!-C383)/(D383-C383)))</f>
        <v>#REF!</v>
      </c>
      <c r="F383" s="186"/>
      <c r="G383" s="187"/>
      <c r="H383" s="378" t="e">
        <f>IF((#REF!-F383)/(G383-F383)&lt;0,0,IF((#REF!-F383)/(G383-F383)&gt;100%,100%,(#REF!-F383)/(G383-F383)))</f>
        <v>#REF!</v>
      </c>
      <c r="I383" s="182" t="e">
        <f t="shared" si="93"/>
        <v>#REF!</v>
      </c>
      <c r="J383" s="25">
        <f t="shared" si="97"/>
        <v>0</v>
      </c>
      <c r="K383" s="26">
        <f t="shared" si="97"/>
        <v>0</v>
      </c>
      <c r="L383" s="25">
        <f t="shared" si="97"/>
        <v>0</v>
      </c>
      <c r="M383" s="25">
        <f t="shared" si="96"/>
        <v>0</v>
      </c>
      <c r="N383" s="25">
        <f t="shared" si="96"/>
        <v>0</v>
      </c>
      <c r="O383" s="25">
        <f t="shared" si="96"/>
        <v>0</v>
      </c>
      <c r="P383" s="25">
        <f t="shared" si="96"/>
        <v>0</v>
      </c>
      <c r="Q383" s="25">
        <f t="shared" si="96"/>
        <v>0</v>
      </c>
      <c r="R383" s="25">
        <f t="shared" si="96"/>
        <v>0</v>
      </c>
      <c r="S383" s="25">
        <f t="shared" si="96"/>
        <v>0</v>
      </c>
      <c r="T383" s="25">
        <f t="shared" si="96"/>
        <v>0</v>
      </c>
      <c r="U383" s="25">
        <f t="shared" si="96"/>
        <v>0</v>
      </c>
      <c r="V383" s="25">
        <f t="shared" si="96"/>
        <v>0</v>
      </c>
      <c r="W383" s="26">
        <f t="shared" si="96"/>
        <v>0</v>
      </c>
      <c r="X383" s="27">
        <f t="shared" si="96"/>
        <v>0</v>
      </c>
      <c r="Y383" s="25">
        <f t="shared" si="96"/>
        <v>0</v>
      </c>
      <c r="Z383" s="25">
        <f t="shared" si="96"/>
        <v>0</v>
      </c>
      <c r="AA383" s="25">
        <f t="shared" si="94"/>
        <v>0</v>
      </c>
      <c r="AB383" s="25">
        <f t="shared" si="94"/>
        <v>0</v>
      </c>
      <c r="AC383" s="25">
        <f t="shared" si="94"/>
        <v>0</v>
      </c>
      <c r="AD383" s="25">
        <f t="shared" si="94"/>
        <v>0</v>
      </c>
      <c r="AE383" s="25">
        <f t="shared" si="94"/>
        <v>0</v>
      </c>
      <c r="AF383" s="25">
        <f t="shared" si="94"/>
        <v>0</v>
      </c>
      <c r="AG383" s="25">
        <f t="shared" si="94"/>
        <v>0</v>
      </c>
      <c r="AH383" s="25">
        <f t="shared" si="94"/>
        <v>0</v>
      </c>
      <c r="AI383" s="26">
        <f t="shared" si="94"/>
        <v>0</v>
      </c>
      <c r="AJ383" s="114"/>
      <c r="AK383" s="114"/>
      <c r="AL383" s="115"/>
    </row>
    <row r="384" spans="1:38" ht="16" hidden="1" outlineLevel="1">
      <c r="A384" s="113" t="s">
        <v>714</v>
      </c>
      <c r="B384" s="416" t="s">
        <v>370</v>
      </c>
      <c r="C384" s="172"/>
      <c r="D384" s="173"/>
      <c r="E384" s="378" t="e">
        <f>IF((#REF!-C384)/(D384-C384)&lt;0,0,IF((#REF!-C384)/(D384-C384)&gt;100%,100%,(#REF!-C384)/(D384-C384)))</f>
        <v>#REF!</v>
      </c>
      <c r="F384" s="186"/>
      <c r="G384" s="187"/>
      <c r="H384" s="378" t="e">
        <f>IF((#REF!-F384)/(G384-F384)&lt;0,0,IF((#REF!-F384)/(G384-F384)&gt;100%,100%,(#REF!-F384)/(G384-F384)))</f>
        <v>#REF!</v>
      </c>
      <c r="I384" s="182" t="e">
        <f t="shared" si="93"/>
        <v>#REF!</v>
      </c>
      <c r="J384" s="25">
        <f t="shared" si="97"/>
        <v>0</v>
      </c>
      <c r="K384" s="26">
        <f t="shared" si="97"/>
        <v>0</v>
      </c>
      <c r="L384" s="25">
        <f t="shared" si="97"/>
        <v>0</v>
      </c>
      <c r="M384" s="25">
        <f t="shared" si="96"/>
        <v>0</v>
      </c>
      <c r="N384" s="25">
        <f t="shared" si="96"/>
        <v>0</v>
      </c>
      <c r="O384" s="25">
        <f t="shared" si="96"/>
        <v>0</v>
      </c>
      <c r="P384" s="25">
        <f t="shared" si="96"/>
        <v>0</v>
      </c>
      <c r="Q384" s="25">
        <f t="shared" si="96"/>
        <v>0</v>
      </c>
      <c r="R384" s="25">
        <f t="shared" si="96"/>
        <v>0</v>
      </c>
      <c r="S384" s="25">
        <f t="shared" si="96"/>
        <v>0</v>
      </c>
      <c r="T384" s="25">
        <f t="shared" si="96"/>
        <v>0</v>
      </c>
      <c r="U384" s="25">
        <f t="shared" si="96"/>
        <v>0</v>
      </c>
      <c r="V384" s="25">
        <f t="shared" si="96"/>
        <v>0</v>
      </c>
      <c r="W384" s="26">
        <f t="shared" si="96"/>
        <v>0</v>
      </c>
      <c r="X384" s="27">
        <f t="shared" si="96"/>
        <v>0</v>
      </c>
      <c r="Y384" s="25">
        <f t="shared" si="96"/>
        <v>0</v>
      </c>
      <c r="Z384" s="25">
        <f t="shared" si="96"/>
        <v>0</v>
      </c>
      <c r="AA384" s="25">
        <f t="shared" si="94"/>
        <v>0</v>
      </c>
      <c r="AB384" s="25">
        <f t="shared" si="94"/>
        <v>0</v>
      </c>
      <c r="AC384" s="25">
        <f t="shared" si="94"/>
        <v>0</v>
      </c>
      <c r="AD384" s="25">
        <f t="shared" si="94"/>
        <v>0</v>
      </c>
      <c r="AE384" s="25">
        <f t="shared" si="94"/>
        <v>0</v>
      </c>
      <c r="AF384" s="25">
        <f t="shared" si="94"/>
        <v>0</v>
      </c>
      <c r="AG384" s="25">
        <f t="shared" si="94"/>
        <v>0</v>
      </c>
      <c r="AH384" s="25">
        <f t="shared" si="94"/>
        <v>0</v>
      </c>
      <c r="AI384" s="26">
        <f t="shared" si="94"/>
        <v>0</v>
      </c>
      <c r="AJ384" s="114"/>
      <c r="AK384" s="114"/>
      <c r="AL384" s="115"/>
    </row>
    <row r="385" spans="1:38" ht="16" hidden="1" outlineLevel="1">
      <c r="A385" s="113" t="s">
        <v>715</v>
      </c>
      <c r="B385" s="416" t="s">
        <v>390</v>
      </c>
      <c r="C385" s="172"/>
      <c r="D385" s="173"/>
      <c r="E385" s="378" t="e">
        <f>IF((#REF!-C385)/(D385-C385)&lt;0,0,IF((#REF!-C385)/(D385-C385)&gt;100%,100%,(#REF!-C385)/(D385-C385)))</f>
        <v>#REF!</v>
      </c>
      <c r="F385" s="186"/>
      <c r="G385" s="187"/>
      <c r="H385" s="378" t="e">
        <f>IF((#REF!-F385)/(G385-F385)&lt;0,0,IF((#REF!-F385)/(G385-F385)&gt;100%,100%,(#REF!-F385)/(G385-F385)))</f>
        <v>#REF!</v>
      </c>
      <c r="I385" s="182" t="e">
        <f t="shared" si="93"/>
        <v>#REF!</v>
      </c>
      <c r="J385" s="25">
        <f t="shared" si="97"/>
        <v>0</v>
      </c>
      <c r="K385" s="26">
        <f t="shared" si="97"/>
        <v>0</v>
      </c>
      <c r="L385" s="25">
        <f t="shared" si="97"/>
        <v>0</v>
      </c>
      <c r="M385" s="25">
        <f t="shared" si="96"/>
        <v>0</v>
      </c>
      <c r="N385" s="25">
        <f t="shared" si="96"/>
        <v>0</v>
      </c>
      <c r="O385" s="25">
        <f t="shared" si="96"/>
        <v>0</v>
      </c>
      <c r="P385" s="25">
        <f t="shared" si="96"/>
        <v>0</v>
      </c>
      <c r="Q385" s="25">
        <f t="shared" si="96"/>
        <v>0</v>
      </c>
      <c r="R385" s="25">
        <f t="shared" si="96"/>
        <v>0</v>
      </c>
      <c r="S385" s="25">
        <f t="shared" si="96"/>
        <v>0</v>
      </c>
      <c r="T385" s="25">
        <f t="shared" si="96"/>
        <v>0</v>
      </c>
      <c r="U385" s="25">
        <f t="shared" si="96"/>
        <v>0</v>
      </c>
      <c r="V385" s="25">
        <f t="shared" si="96"/>
        <v>0</v>
      </c>
      <c r="W385" s="26">
        <f t="shared" si="96"/>
        <v>0</v>
      </c>
      <c r="X385" s="27">
        <f t="shared" si="96"/>
        <v>0</v>
      </c>
      <c r="Y385" s="25">
        <f t="shared" si="96"/>
        <v>0</v>
      </c>
      <c r="Z385" s="25">
        <f t="shared" si="96"/>
        <v>0</v>
      </c>
      <c r="AA385" s="25">
        <f t="shared" si="94"/>
        <v>0</v>
      </c>
      <c r="AB385" s="25">
        <f t="shared" si="94"/>
        <v>0</v>
      </c>
      <c r="AC385" s="25">
        <f t="shared" si="94"/>
        <v>0</v>
      </c>
      <c r="AD385" s="25">
        <f t="shared" si="94"/>
        <v>0</v>
      </c>
      <c r="AE385" s="25">
        <f t="shared" si="94"/>
        <v>0</v>
      </c>
      <c r="AF385" s="25">
        <f t="shared" si="94"/>
        <v>0</v>
      </c>
      <c r="AG385" s="25">
        <f t="shared" si="94"/>
        <v>0</v>
      </c>
      <c r="AH385" s="25">
        <f t="shared" si="94"/>
        <v>0</v>
      </c>
      <c r="AI385" s="26">
        <f t="shared" si="94"/>
        <v>0</v>
      </c>
      <c r="AJ385" s="114"/>
      <c r="AK385" s="114"/>
      <c r="AL385" s="115"/>
    </row>
    <row r="386" spans="1:38" ht="16" hidden="1" outlineLevel="1">
      <c r="A386" s="113" t="s">
        <v>742</v>
      </c>
      <c r="B386" s="420" t="s">
        <v>391</v>
      </c>
      <c r="C386" s="172"/>
      <c r="D386" s="173"/>
      <c r="E386" s="378" t="e">
        <f>IF((#REF!-C386)/(D386-C386)&lt;0,0,IF((#REF!-C386)/(D386-C386)&gt;100%,100%,(#REF!-C386)/(D386-C386)))</f>
        <v>#REF!</v>
      </c>
      <c r="F386" s="186"/>
      <c r="G386" s="187"/>
      <c r="H386" s="378" t="e">
        <f>IF((#REF!-F386)/(G386-F386)&lt;0,0,IF((#REF!-F386)/(G386-F386)&gt;100%,100%,(#REF!-F386)/(G386-F386)))</f>
        <v>#REF!</v>
      </c>
      <c r="I386" s="182" t="e">
        <f t="shared" si="93"/>
        <v>#REF!</v>
      </c>
      <c r="J386" s="25">
        <f t="shared" si="97"/>
        <v>0</v>
      </c>
      <c r="K386" s="26">
        <f t="shared" si="97"/>
        <v>0</v>
      </c>
      <c r="L386" s="25">
        <f t="shared" si="97"/>
        <v>0</v>
      </c>
      <c r="M386" s="25">
        <f t="shared" si="96"/>
        <v>0</v>
      </c>
      <c r="N386" s="25">
        <f t="shared" si="96"/>
        <v>0</v>
      </c>
      <c r="O386" s="25">
        <f t="shared" si="96"/>
        <v>0</v>
      </c>
      <c r="P386" s="25">
        <f t="shared" si="96"/>
        <v>0</v>
      </c>
      <c r="Q386" s="25">
        <f t="shared" si="96"/>
        <v>0</v>
      </c>
      <c r="R386" s="25">
        <f t="shared" si="96"/>
        <v>0</v>
      </c>
      <c r="S386" s="25">
        <f t="shared" si="96"/>
        <v>0</v>
      </c>
      <c r="T386" s="25">
        <f t="shared" si="96"/>
        <v>0</v>
      </c>
      <c r="U386" s="25">
        <f t="shared" si="96"/>
        <v>0</v>
      </c>
      <c r="V386" s="25">
        <f t="shared" si="96"/>
        <v>0</v>
      </c>
      <c r="W386" s="26">
        <f t="shared" si="96"/>
        <v>0</v>
      </c>
      <c r="X386" s="27">
        <f t="shared" si="96"/>
        <v>0</v>
      </c>
      <c r="Y386" s="25">
        <f t="shared" si="96"/>
        <v>0</v>
      </c>
      <c r="Z386" s="25">
        <f t="shared" si="96"/>
        <v>0</v>
      </c>
      <c r="AA386" s="25">
        <f t="shared" si="94"/>
        <v>0</v>
      </c>
      <c r="AB386" s="25">
        <f t="shared" si="94"/>
        <v>0</v>
      </c>
      <c r="AC386" s="25">
        <f t="shared" si="94"/>
        <v>0</v>
      </c>
      <c r="AD386" s="25">
        <f t="shared" si="94"/>
        <v>0</v>
      </c>
      <c r="AE386" s="25">
        <f t="shared" si="94"/>
        <v>0</v>
      </c>
      <c r="AF386" s="25">
        <f t="shared" si="94"/>
        <v>0</v>
      </c>
      <c r="AG386" s="25">
        <f t="shared" si="94"/>
        <v>0</v>
      </c>
      <c r="AH386" s="25">
        <f t="shared" si="94"/>
        <v>0</v>
      </c>
      <c r="AI386" s="26">
        <f t="shared" si="94"/>
        <v>0</v>
      </c>
      <c r="AJ386" s="114"/>
      <c r="AK386" s="114"/>
      <c r="AL386" s="115"/>
    </row>
    <row r="387" spans="1:38" ht="16" hidden="1" outlineLevel="1">
      <c r="A387" s="113" t="s">
        <v>743</v>
      </c>
      <c r="B387" s="420" t="s">
        <v>178</v>
      </c>
      <c r="C387" s="172"/>
      <c r="D387" s="173"/>
      <c r="E387" s="378" t="e">
        <f>IF((#REF!-C387)/(D387-C387)&lt;0,0,IF((#REF!-C387)/(D387-C387)&gt;100%,100%,(#REF!-C387)/(D387-C387)))</f>
        <v>#REF!</v>
      </c>
      <c r="F387" s="186"/>
      <c r="G387" s="187"/>
      <c r="H387" s="378" t="e">
        <f>IF((#REF!-F387)/(G387-F387)&lt;0,0,IF((#REF!-F387)/(G387-F387)&gt;100%,100%,(#REF!-F387)/(G387-F387)))</f>
        <v>#REF!</v>
      </c>
      <c r="I387" s="182" t="e">
        <f t="shared" si="93"/>
        <v>#REF!</v>
      </c>
      <c r="J387" s="25">
        <f t="shared" si="97"/>
        <v>0</v>
      </c>
      <c r="K387" s="26">
        <f t="shared" si="97"/>
        <v>0</v>
      </c>
      <c r="L387" s="25">
        <f t="shared" si="97"/>
        <v>0</v>
      </c>
      <c r="M387" s="25">
        <f t="shared" si="96"/>
        <v>0</v>
      </c>
      <c r="N387" s="25">
        <f t="shared" si="96"/>
        <v>0</v>
      </c>
      <c r="O387" s="25">
        <f t="shared" si="96"/>
        <v>0</v>
      </c>
      <c r="P387" s="25">
        <f t="shared" si="96"/>
        <v>0</v>
      </c>
      <c r="Q387" s="25">
        <f t="shared" si="96"/>
        <v>0</v>
      </c>
      <c r="R387" s="25">
        <f t="shared" si="96"/>
        <v>0</v>
      </c>
      <c r="S387" s="25">
        <f t="shared" si="96"/>
        <v>0</v>
      </c>
      <c r="T387" s="25">
        <f t="shared" si="96"/>
        <v>0</v>
      </c>
      <c r="U387" s="25">
        <f t="shared" si="96"/>
        <v>0</v>
      </c>
      <c r="V387" s="25">
        <f t="shared" si="96"/>
        <v>0</v>
      </c>
      <c r="W387" s="26">
        <f t="shared" si="96"/>
        <v>0</v>
      </c>
      <c r="X387" s="27">
        <f t="shared" si="96"/>
        <v>0</v>
      </c>
      <c r="Y387" s="25">
        <f t="shared" si="96"/>
        <v>0</v>
      </c>
      <c r="Z387" s="25">
        <f t="shared" si="96"/>
        <v>0</v>
      </c>
      <c r="AA387" s="25">
        <f t="shared" si="94"/>
        <v>0</v>
      </c>
      <c r="AB387" s="25">
        <f t="shared" si="94"/>
        <v>0</v>
      </c>
      <c r="AC387" s="25">
        <f t="shared" si="94"/>
        <v>0</v>
      </c>
      <c r="AD387" s="25">
        <f t="shared" si="94"/>
        <v>0</v>
      </c>
      <c r="AE387" s="25">
        <f t="shared" si="94"/>
        <v>0</v>
      </c>
      <c r="AF387" s="25">
        <f t="shared" si="94"/>
        <v>0</v>
      </c>
      <c r="AG387" s="25">
        <f t="shared" si="94"/>
        <v>0</v>
      </c>
      <c r="AH387" s="25">
        <f t="shared" si="94"/>
        <v>0</v>
      </c>
      <c r="AI387" s="26">
        <f t="shared" si="94"/>
        <v>0</v>
      </c>
      <c r="AJ387" s="114"/>
      <c r="AK387" s="114"/>
      <c r="AL387" s="115"/>
    </row>
    <row r="388" spans="1:38" ht="18" hidden="1" customHeight="1" outlineLevel="1">
      <c r="A388" s="113" t="s">
        <v>744</v>
      </c>
      <c r="B388" s="420" t="s">
        <v>179</v>
      </c>
      <c r="C388" s="172"/>
      <c r="D388" s="173"/>
      <c r="E388" s="378" t="e">
        <f>IF((#REF!-C388)/(D388-C388)&lt;0,0,IF((#REF!-C388)/(D388-C388)&gt;100%,100%,(#REF!-C388)/(D388-C388)))</f>
        <v>#REF!</v>
      </c>
      <c r="F388" s="186"/>
      <c r="G388" s="187"/>
      <c r="H388" s="378" t="e">
        <f>IF((#REF!-F388)/(G388-F388)&lt;0,0,IF((#REF!-F388)/(G388-F388)&gt;100%,100%,(#REF!-F388)/(G388-F388)))</f>
        <v>#REF!</v>
      </c>
      <c r="I388" s="182" t="e">
        <f t="shared" si="93"/>
        <v>#REF!</v>
      </c>
      <c r="J388" s="25">
        <f t="shared" si="97"/>
        <v>0</v>
      </c>
      <c r="K388" s="26">
        <f t="shared" si="97"/>
        <v>0</v>
      </c>
      <c r="L388" s="25">
        <f t="shared" si="97"/>
        <v>0</v>
      </c>
      <c r="M388" s="25">
        <f t="shared" si="96"/>
        <v>0</v>
      </c>
      <c r="N388" s="25">
        <f t="shared" si="96"/>
        <v>0</v>
      </c>
      <c r="O388" s="25">
        <f t="shared" si="96"/>
        <v>0</v>
      </c>
      <c r="P388" s="25">
        <f t="shared" si="96"/>
        <v>0</v>
      </c>
      <c r="Q388" s="25">
        <f t="shared" si="96"/>
        <v>0</v>
      </c>
      <c r="R388" s="25">
        <f t="shared" si="96"/>
        <v>0</v>
      </c>
      <c r="S388" s="25">
        <f t="shared" si="96"/>
        <v>0</v>
      </c>
      <c r="T388" s="25">
        <f t="shared" si="96"/>
        <v>0</v>
      </c>
      <c r="U388" s="25">
        <f t="shared" si="96"/>
        <v>0</v>
      </c>
      <c r="V388" s="25">
        <f t="shared" si="96"/>
        <v>0</v>
      </c>
      <c r="W388" s="26">
        <f t="shared" si="96"/>
        <v>0</v>
      </c>
      <c r="X388" s="27">
        <f t="shared" si="96"/>
        <v>0</v>
      </c>
      <c r="Y388" s="25">
        <f t="shared" si="96"/>
        <v>0</v>
      </c>
      <c r="Z388" s="25">
        <f t="shared" si="96"/>
        <v>0</v>
      </c>
      <c r="AA388" s="25">
        <f t="shared" si="94"/>
        <v>0</v>
      </c>
      <c r="AB388" s="25">
        <f t="shared" si="94"/>
        <v>0</v>
      </c>
      <c r="AC388" s="25">
        <f t="shared" si="94"/>
        <v>0</v>
      </c>
      <c r="AD388" s="25">
        <f t="shared" si="94"/>
        <v>0</v>
      </c>
      <c r="AE388" s="25">
        <f t="shared" si="94"/>
        <v>0</v>
      </c>
      <c r="AF388" s="25">
        <f t="shared" si="94"/>
        <v>0</v>
      </c>
      <c r="AG388" s="25">
        <f t="shared" si="94"/>
        <v>0</v>
      </c>
      <c r="AH388" s="25">
        <f t="shared" si="94"/>
        <v>0</v>
      </c>
      <c r="AI388" s="26">
        <f t="shared" si="94"/>
        <v>0</v>
      </c>
      <c r="AJ388" s="114"/>
      <c r="AK388" s="114"/>
      <c r="AL388" s="115"/>
    </row>
    <row r="389" spans="1:38" ht="16" hidden="1" outlineLevel="1">
      <c r="A389" s="113" t="s">
        <v>745</v>
      </c>
      <c r="B389" s="420" t="s">
        <v>392</v>
      </c>
      <c r="C389" s="172"/>
      <c r="D389" s="173"/>
      <c r="E389" s="378" t="e">
        <f>IF((#REF!-C389)/(D389-C389)&lt;0,0,IF((#REF!-C389)/(D389-C389)&gt;100%,100%,(#REF!-C389)/(D389-C389)))</f>
        <v>#REF!</v>
      </c>
      <c r="F389" s="186"/>
      <c r="G389" s="187"/>
      <c r="H389" s="378" t="e">
        <f>IF((#REF!-F389)/(G389-F389)&lt;0,0,IF((#REF!-F389)/(G389-F389)&gt;100%,100%,(#REF!-F389)/(G389-F389)))</f>
        <v>#REF!</v>
      </c>
      <c r="I389" s="182" t="e">
        <f t="shared" si="93"/>
        <v>#REF!</v>
      </c>
      <c r="J389" s="25">
        <f t="shared" si="97"/>
        <v>0</v>
      </c>
      <c r="K389" s="26">
        <f t="shared" si="97"/>
        <v>0</v>
      </c>
      <c r="L389" s="25">
        <f t="shared" si="97"/>
        <v>0</v>
      </c>
      <c r="M389" s="25">
        <f t="shared" si="96"/>
        <v>0</v>
      </c>
      <c r="N389" s="25">
        <f t="shared" si="96"/>
        <v>0</v>
      </c>
      <c r="O389" s="25">
        <f t="shared" si="96"/>
        <v>0</v>
      </c>
      <c r="P389" s="25">
        <f t="shared" si="96"/>
        <v>0</v>
      </c>
      <c r="Q389" s="25">
        <f t="shared" si="96"/>
        <v>0</v>
      </c>
      <c r="R389" s="25">
        <f t="shared" si="96"/>
        <v>0</v>
      </c>
      <c r="S389" s="25">
        <f t="shared" si="96"/>
        <v>0</v>
      </c>
      <c r="T389" s="25">
        <f t="shared" si="96"/>
        <v>0</v>
      </c>
      <c r="U389" s="25">
        <f t="shared" si="96"/>
        <v>0</v>
      </c>
      <c r="V389" s="25">
        <f t="shared" si="96"/>
        <v>0</v>
      </c>
      <c r="W389" s="26">
        <f t="shared" si="96"/>
        <v>0</v>
      </c>
      <c r="X389" s="27">
        <f t="shared" si="96"/>
        <v>0</v>
      </c>
      <c r="Y389" s="25">
        <f t="shared" si="96"/>
        <v>0</v>
      </c>
      <c r="Z389" s="25">
        <f t="shared" si="96"/>
        <v>0</v>
      </c>
      <c r="AA389" s="25">
        <f t="shared" si="94"/>
        <v>0</v>
      </c>
      <c r="AB389" s="25">
        <f t="shared" si="94"/>
        <v>0</v>
      </c>
      <c r="AC389" s="25">
        <f t="shared" si="94"/>
        <v>0</v>
      </c>
      <c r="AD389" s="25">
        <f t="shared" si="94"/>
        <v>0</v>
      </c>
      <c r="AE389" s="25">
        <f t="shared" si="94"/>
        <v>0</v>
      </c>
      <c r="AF389" s="25">
        <f t="shared" si="94"/>
        <v>0</v>
      </c>
      <c r="AG389" s="25">
        <f t="shared" si="94"/>
        <v>0</v>
      </c>
      <c r="AH389" s="25">
        <f t="shared" si="94"/>
        <v>0</v>
      </c>
      <c r="AI389" s="26">
        <f t="shared" si="94"/>
        <v>0</v>
      </c>
      <c r="AJ389" s="114"/>
      <c r="AK389" s="114"/>
      <c r="AL389" s="115"/>
    </row>
    <row r="390" spans="1:38" ht="16" hidden="1" outlineLevel="1">
      <c r="A390" s="113" t="s">
        <v>746</v>
      </c>
      <c r="B390" s="420" t="s">
        <v>393</v>
      </c>
      <c r="C390" s="172"/>
      <c r="D390" s="173"/>
      <c r="E390" s="378" t="e">
        <f>IF((#REF!-C390)/(D390-C390)&lt;0,0,IF((#REF!-C390)/(D390-C390)&gt;100%,100%,(#REF!-C390)/(D390-C390)))</f>
        <v>#REF!</v>
      </c>
      <c r="F390" s="186"/>
      <c r="G390" s="187"/>
      <c r="H390" s="378" t="e">
        <f>IF((#REF!-F390)/(G390-F390)&lt;0,0,IF((#REF!-F390)/(G390-F390)&gt;100%,100%,(#REF!-F390)/(G390-F390)))</f>
        <v>#REF!</v>
      </c>
      <c r="I390" s="182" t="e">
        <f t="shared" si="93"/>
        <v>#REF!</v>
      </c>
      <c r="J390" s="25">
        <f t="shared" si="97"/>
        <v>0</v>
      </c>
      <c r="K390" s="26">
        <f t="shared" si="97"/>
        <v>0</v>
      </c>
      <c r="L390" s="25">
        <f t="shared" si="97"/>
        <v>0</v>
      </c>
      <c r="M390" s="25">
        <f t="shared" si="96"/>
        <v>0</v>
      </c>
      <c r="N390" s="25">
        <f t="shared" si="96"/>
        <v>0</v>
      </c>
      <c r="O390" s="25">
        <f t="shared" si="96"/>
        <v>0</v>
      </c>
      <c r="P390" s="25">
        <f t="shared" si="96"/>
        <v>0</v>
      </c>
      <c r="Q390" s="25">
        <f t="shared" si="96"/>
        <v>0</v>
      </c>
      <c r="R390" s="25">
        <f t="shared" si="96"/>
        <v>0</v>
      </c>
      <c r="S390" s="25">
        <f t="shared" si="96"/>
        <v>0</v>
      </c>
      <c r="T390" s="25">
        <f t="shared" si="96"/>
        <v>0</v>
      </c>
      <c r="U390" s="25">
        <f t="shared" si="96"/>
        <v>0</v>
      </c>
      <c r="V390" s="25">
        <f t="shared" si="96"/>
        <v>0</v>
      </c>
      <c r="W390" s="26">
        <f t="shared" si="96"/>
        <v>0</v>
      </c>
      <c r="X390" s="27">
        <f t="shared" si="96"/>
        <v>0</v>
      </c>
      <c r="Y390" s="25">
        <f t="shared" si="96"/>
        <v>0</v>
      </c>
      <c r="Z390" s="25">
        <f t="shared" si="96"/>
        <v>0</v>
      </c>
      <c r="AA390" s="25">
        <f t="shared" si="94"/>
        <v>0</v>
      </c>
      <c r="AB390" s="25">
        <f t="shared" si="94"/>
        <v>0</v>
      </c>
      <c r="AC390" s="25">
        <f t="shared" si="94"/>
        <v>0</v>
      </c>
      <c r="AD390" s="25">
        <f t="shared" si="94"/>
        <v>0</v>
      </c>
      <c r="AE390" s="25">
        <f t="shared" si="94"/>
        <v>0</v>
      </c>
      <c r="AF390" s="25">
        <f t="shared" si="94"/>
        <v>0</v>
      </c>
      <c r="AG390" s="25">
        <f t="shared" si="94"/>
        <v>0</v>
      </c>
      <c r="AH390" s="25">
        <f t="shared" si="94"/>
        <v>0</v>
      </c>
      <c r="AI390" s="26">
        <f t="shared" si="94"/>
        <v>0</v>
      </c>
      <c r="AJ390" s="114"/>
      <c r="AK390" s="114"/>
      <c r="AL390" s="115"/>
    </row>
    <row r="391" spans="1:38" ht="15.5" customHeight="1" collapsed="1">
      <c r="A391" s="110" t="s">
        <v>716</v>
      </c>
      <c r="B391" s="411" t="s">
        <v>162</v>
      </c>
      <c r="C391" s="176"/>
      <c r="D391" s="177"/>
      <c r="E391" s="380" t="e">
        <f>IF((#REF!-C391)/(D391-C391)&lt;0,0,IF((#REF!-C391)/(D391-C391)&gt;100%,100%,(#REF!-C391)/(D391-C391)))</f>
        <v>#REF!</v>
      </c>
      <c r="F391" s="189"/>
      <c r="G391" s="190"/>
      <c r="H391" s="380" t="e">
        <f>IF((#REF!-F391)/(G391-F391)&lt;0,0,IF((#REF!-F391)/(G391-F391)&gt;100%,100%,(#REF!-F391)/(G391-F391)))</f>
        <v>#REF!</v>
      </c>
      <c r="I391" s="182" t="e">
        <f t="shared" si="93"/>
        <v>#REF!</v>
      </c>
      <c r="J391" s="25">
        <f t="shared" si="97"/>
        <v>0</v>
      </c>
      <c r="K391" s="26">
        <f t="shared" si="97"/>
        <v>0</v>
      </c>
      <c r="L391" s="25">
        <f t="shared" si="97"/>
        <v>0</v>
      </c>
      <c r="M391" s="25">
        <f t="shared" si="96"/>
        <v>0</v>
      </c>
      <c r="N391" s="25">
        <f t="shared" si="96"/>
        <v>0</v>
      </c>
      <c r="O391" s="25">
        <f t="shared" si="96"/>
        <v>0</v>
      </c>
      <c r="P391" s="25">
        <f t="shared" si="96"/>
        <v>0</v>
      </c>
      <c r="Q391" s="25">
        <f t="shared" si="96"/>
        <v>0</v>
      </c>
      <c r="R391" s="25">
        <f t="shared" si="96"/>
        <v>0</v>
      </c>
      <c r="S391" s="25">
        <f t="shared" si="96"/>
        <v>0</v>
      </c>
      <c r="T391" s="25">
        <f t="shared" si="96"/>
        <v>0</v>
      </c>
      <c r="U391" s="25">
        <f t="shared" si="96"/>
        <v>0</v>
      </c>
      <c r="V391" s="25">
        <f t="shared" si="96"/>
        <v>0</v>
      </c>
      <c r="W391" s="26">
        <f t="shared" si="96"/>
        <v>0</v>
      </c>
      <c r="X391" s="27">
        <f t="shared" si="96"/>
        <v>0</v>
      </c>
      <c r="Y391" s="25">
        <f t="shared" si="96"/>
        <v>0</v>
      </c>
      <c r="Z391" s="25">
        <f t="shared" si="96"/>
        <v>0</v>
      </c>
      <c r="AA391" s="25">
        <f t="shared" si="94"/>
        <v>0</v>
      </c>
      <c r="AB391" s="25">
        <f t="shared" si="94"/>
        <v>0</v>
      </c>
      <c r="AC391" s="25">
        <f t="shared" si="94"/>
        <v>0</v>
      </c>
      <c r="AD391" s="25">
        <f t="shared" si="94"/>
        <v>0</v>
      </c>
      <c r="AE391" s="25">
        <f t="shared" si="94"/>
        <v>0</v>
      </c>
      <c r="AF391" s="25">
        <f t="shared" si="94"/>
        <v>0</v>
      </c>
      <c r="AG391" s="25">
        <f t="shared" si="94"/>
        <v>0</v>
      </c>
      <c r="AH391" s="25">
        <f t="shared" si="94"/>
        <v>0</v>
      </c>
      <c r="AI391" s="26">
        <f t="shared" si="94"/>
        <v>0</v>
      </c>
      <c r="AJ391" s="111"/>
      <c r="AK391" s="111"/>
      <c r="AL391" s="112"/>
    </row>
    <row r="392" spans="1:38" ht="28.75" hidden="1" customHeight="1" outlineLevel="1">
      <c r="A392" s="113" t="s">
        <v>717</v>
      </c>
      <c r="B392" s="416" t="s">
        <v>394</v>
      </c>
      <c r="C392" s="172"/>
      <c r="D392" s="173"/>
      <c r="E392" s="378" t="e">
        <f>IF((#REF!-C392)/(D392-C392)&lt;0,0,IF((#REF!-C392)/(D392-C392)&gt;100%,100%,(#REF!-C392)/(D392-C392)))</f>
        <v>#REF!</v>
      </c>
      <c r="F392" s="186"/>
      <c r="G392" s="187"/>
      <c r="H392" s="378" t="e">
        <f>IF((#REF!-F392)/(G392-F392)&lt;0,0,IF((#REF!-F392)/(G392-F392)&gt;100%,100%,(#REF!-F392)/(G392-F392)))</f>
        <v>#REF!</v>
      </c>
      <c r="I392" s="182" t="e">
        <f t="shared" si="93"/>
        <v>#REF!</v>
      </c>
      <c r="J392" s="25">
        <f t="shared" si="97"/>
        <v>0</v>
      </c>
      <c r="K392" s="26">
        <f t="shared" si="97"/>
        <v>0</v>
      </c>
      <c r="L392" s="25">
        <f t="shared" si="97"/>
        <v>0</v>
      </c>
      <c r="M392" s="25">
        <f t="shared" si="96"/>
        <v>0</v>
      </c>
      <c r="N392" s="25">
        <f t="shared" si="96"/>
        <v>0</v>
      </c>
      <c r="O392" s="25">
        <f t="shared" si="96"/>
        <v>0</v>
      </c>
      <c r="P392" s="25">
        <f t="shared" si="96"/>
        <v>0</v>
      </c>
      <c r="Q392" s="25">
        <f t="shared" si="96"/>
        <v>0</v>
      </c>
      <c r="R392" s="25">
        <f t="shared" si="96"/>
        <v>0</v>
      </c>
      <c r="S392" s="25">
        <f t="shared" si="96"/>
        <v>0</v>
      </c>
      <c r="T392" s="25">
        <f t="shared" si="96"/>
        <v>0</v>
      </c>
      <c r="U392" s="25">
        <f t="shared" si="96"/>
        <v>0</v>
      </c>
      <c r="V392" s="25">
        <f t="shared" si="96"/>
        <v>0</v>
      </c>
      <c r="W392" s="26">
        <f t="shared" si="96"/>
        <v>0</v>
      </c>
      <c r="X392" s="27">
        <f t="shared" si="96"/>
        <v>0</v>
      </c>
      <c r="Y392" s="25">
        <f t="shared" si="96"/>
        <v>0</v>
      </c>
      <c r="Z392" s="25">
        <f t="shared" si="96"/>
        <v>0</v>
      </c>
      <c r="AA392" s="25">
        <f t="shared" si="94"/>
        <v>0</v>
      </c>
      <c r="AB392" s="25">
        <f t="shared" si="94"/>
        <v>0</v>
      </c>
      <c r="AC392" s="25">
        <f t="shared" si="94"/>
        <v>0</v>
      </c>
      <c r="AD392" s="25">
        <f t="shared" si="94"/>
        <v>0</v>
      </c>
      <c r="AE392" s="25">
        <f t="shared" si="94"/>
        <v>0</v>
      </c>
      <c r="AF392" s="25">
        <f t="shared" si="94"/>
        <v>0</v>
      </c>
      <c r="AG392" s="25">
        <f t="shared" si="94"/>
        <v>0</v>
      </c>
      <c r="AH392" s="25">
        <f t="shared" si="94"/>
        <v>0</v>
      </c>
      <c r="AI392" s="26">
        <f t="shared" si="94"/>
        <v>0</v>
      </c>
      <c r="AJ392" s="114"/>
      <c r="AK392" s="114"/>
      <c r="AL392" s="115"/>
    </row>
    <row r="393" spans="1:38" ht="18.5" hidden="1" customHeight="1" outlineLevel="1">
      <c r="A393" s="113" t="s">
        <v>718</v>
      </c>
      <c r="B393" s="416" t="s">
        <v>395</v>
      </c>
      <c r="C393" s="172"/>
      <c r="D393" s="173"/>
      <c r="E393" s="378" t="e">
        <f>IF((#REF!-C393)/(D393-C393)&lt;0,0,IF((#REF!-C393)/(D393-C393)&gt;100%,100%,(#REF!-C393)/(D393-C393)))</f>
        <v>#REF!</v>
      </c>
      <c r="F393" s="186"/>
      <c r="G393" s="187"/>
      <c r="H393" s="378" t="e">
        <f>IF((#REF!-F393)/(G393-F393)&lt;0,0,IF((#REF!-F393)/(G393-F393)&gt;100%,100%,(#REF!-F393)/(G393-F393)))</f>
        <v>#REF!</v>
      </c>
      <c r="I393" s="182" t="e">
        <f t="shared" si="93"/>
        <v>#REF!</v>
      </c>
      <c r="J393" s="25">
        <f t="shared" si="97"/>
        <v>0</v>
      </c>
      <c r="K393" s="26">
        <f t="shared" si="97"/>
        <v>0</v>
      </c>
      <c r="L393" s="25">
        <f t="shared" si="97"/>
        <v>0</v>
      </c>
      <c r="M393" s="25">
        <f t="shared" si="96"/>
        <v>0</v>
      </c>
      <c r="N393" s="25">
        <f t="shared" si="96"/>
        <v>0</v>
      </c>
      <c r="O393" s="25">
        <f t="shared" si="96"/>
        <v>0</v>
      </c>
      <c r="P393" s="25">
        <f t="shared" si="96"/>
        <v>0</v>
      </c>
      <c r="Q393" s="25">
        <f t="shared" si="96"/>
        <v>0</v>
      </c>
      <c r="R393" s="25">
        <f t="shared" si="96"/>
        <v>0</v>
      </c>
      <c r="S393" s="25">
        <f t="shared" si="96"/>
        <v>0</v>
      </c>
      <c r="T393" s="25">
        <f t="shared" si="96"/>
        <v>0</v>
      </c>
      <c r="U393" s="25">
        <f t="shared" si="96"/>
        <v>0</v>
      </c>
      <c r="V393" s="25">
        <f t="shared" si="96"/>
        <v>0</v>
      </c>
      <c r="W393" s="26">
        <f t="shared" si="96"/>
        <v>0</v>
      </c>
      <c r="X393" s="27">
        <f t="shared" si="96"/>
        <v>0</v>
      </c>
      <c r="Y393" s="25">
        <f t="shared" si="96"/>
        <v>0</v>
      </c>
      <c r="Z393" s="25">
        <f t="shared" si="96"/>
        <v>0</v>
      </c>
      <c r="AA393" s="25">
        <f t="shared" si="94"/>
        <v>0</v>
      </c>
      <c r="AB393" s="25">
        <f t="shared" si="94"/>
        <v>0</v>
      </c>
      <c r="AC393" s="25">
        <f t="shared" si="94"/>
        <v>0</v>
      </c>
      <c r="AD393" s="25">
        <f t="shared" si="94"/>
        <v>0</v>
      </c>
      <c r="AE393" s="25">
        <f t="shared" si="94"/>
        <v>0</v>
      </c>
      <c r="AF393" s="25">
        <f t="shared" si="94"/>
        <v>0</v>
      </c>
      <c r="AG393" s="25">
        <f t="shared" si="94"/>
        <v>0</v>
      </c>
      <c r="AH393" s="25">
        <f t="shared" si="94"/>
        <v>0</v>
      </c>
      <c r="AI393" s="26">
        <f t="shared" si="94"/>
        <v>0</v>
      </c>
      <c r="AJ393" s="114"/>
      <c r="AK393" s="114"/>
      <c r="AL393" s="115"/>
    </row>
    <row r="394" spans="1:38" ht="16" collapsed="1">
      <c r="A394" s="110" t="s">
        <v>719</v>
      </c>
      <c r="B394" s="411" t="s">
        <v>205</v>
      </c>
      <c r="C394" s="176"/>
      <c r="D394" s="177"/>
      <c r="E394" s="380" t="e">
        <f>IF((#REF!-C394)/(D394-C394)&lt;0,0,IF((#REF!-C394)/(D394-C394)&gt;100%,100%,(#REF!-C394)/(D394-C394)))</f>
        <v>#REF!</v>
      </c>
      <c r="F394" s="189"/>
      <c r="G394" s="190"/>
      <c r="H394" s="380" t="e">
        <f>IF((#REF!-F394)/(G394-F394)&lt;0,0,IF((#REF!-F394)/(G394-F394)&gt;100%,100%,(#REF!-F394)/(G394-F394)))</f>
        <v>#REF!</v>
      </c>
      <c r="I394" s="182" t="e">
        <f t="shared" si="93"/>
        <v>#REF!</v>
      </c>
      <c r="J394" s="25">
        <f t="shared" si="97"/>
        <v>0</v>
      </c>
      <c r="K394" s="26">
        <f t="shared" si="97"/>
        <v>0</v>
      </c>
      <c r="L394" s="25">
        <f t="shared" si="97"/>
        <v>0</v>
      </c>
      <c r="M394" s="25">
        <f t="shared" si="96"/>
        <v>0</v>
      </c>
      <c r="N394" s="25">
        <f t="shared" si="96"/>
        <v>0</v>
      </c>
      <c r="O394" s="25">
        <f t="shared" si="96"/>
        <v>0</v>
      </c>
      <c r="P394" s="25">
        <f t="shared" si="96"/>
        <v>0</v>
      </c>
      <c r="Q394" s="25">
        <f t="shared" si="96"/>
        <v>0</v>
      </c>
      <c r="R394" s="25">
        <f t="shared" si="96"/>
        <v>0</v>
      </c>
      <c r="S394" s="25">
        <f t="shared" si="96"/>
        <v>0</v>
      </c>
      <c r="T394" s="25">
        <f t="shared" si="96"/>
        <v>0</v>
      </c>
      <c r="U394" s="25">
        <f t="shared" si="96"/>
        <v>0</v>
      </c>
      <c r="V394" s="25">
        <f t="shared" si="96"/>
        <v>0</v>
      </c>
      <c r="W394" s="26">
        <f t="shared" si="96"/>
        <v>0</v>
      </c>
      <c r="X394" s="27">
        <f t="shared" si="96"/>
        <v>0</v>
      </c>
      <c r="Y394" s="25">
        <f t="shared" si="96"/>
        <v>0</v>
      </c>
      <c r="Z394" s="25">
        <f t="shared" si="96"/>
        <v>0</v>
      </c>
      <c r="AA394" s="25">
        <f t="shared" si="94"/>
        <v>0</v>
      </c>
      <c r="AB394" s="25">
        <f t="shared" si="94"/>
        <v>0</v>
      </c>
      <c r="AC394" s="25">
        <f t="shared" si="94"/>
        <v>0</v>
      </c>
      <c r="AD394" s="25">
        <f t="shared" si="94"/>
        <v>0</v>
      </c>
      <c r="AE394" s="25">
        <f t="shared" si="94"/>
        <v>0</v>
      </c>
      <c r="AF394" s="25">
        <f t="shared" si="94"/>
        <v>0</v>
      </c>
      <c r="AG394" s="25">
        <f t="shared" si="94"/>
        <v>0</v>
      </c>
      <c r="AH394" s="25">
        <f t="shared" si="94"/>
        <v>0</v>
      </c>
      <c r="AI394" s="26">
        <f t="shared" si="94"/>
        <v>0</v>
      </c>
      <c r="AJ394" s="111"/>
      <c r="AK394" s="111"/>
      <c r="AL394" s="112"/>
    </row>
    <row r="395" spans="1:38" ht="28" hidden="1" outlineLevel="1">
      <c r="A395" s="206" t="s">
        <v>724</v>
      </c>
      <c r="B395" s="416" t="s">
        <v>206</v>
      </c>
      <c r="C395" s="172"/>
      <c r="D395" s="173"/>
      <c r="E395" s="378" t="e">
        <f>IF((#REF!-C395)/(D395-C395)&lt;0,0,IF((#REF!-C395)/(D395-C395)&gt;100%,100%,(#REF!-C395)/(D395-C395)))</f>
        <v>#REF!</v>
      </c>
      <c r="F395" s="186"/>
      <c r="G395" s="187"/>
      <c r="H395" s="378" t="e">
        <f>IF((#REF!-F395)/(G395-F395)&lt;0,0,IF((#REF!-F395)/(G395-F395)&gt;100%,100%,(#REF!-F395)/(G395-F395)))</f>
        <v>#REF!</v>
      </c>
      <c r="I395" s="182" t="e">
        <f t="shared" si="93"/>
        <v>#REF!</v>
      </c>
      <c r="J395" s="25">
        <f t="shared" si="97"/>
        <v>0</v>
      </c>
      <c r="K395" s="26">
        <f t="shared" si="97"/>
        <v>0</v>
      </c>
      <c r="L395" s="25">
        <f t="shared" si="97"/>
        <v>0</v>
      </c>
      <c r="M395" s="25">
        <f t="shared" si="96"/>
        <v>0</v>
      </c>
      <c r="N395" s="25">
        <f t="shared" si="96"/>
        <v>0</v>
      </c>
      <c r="O395" s="25">
        <f t="shared" si="96"/>
        <v>0</v>
      </c>
      <c r="P395" s="25">
        <f t="shared" si="96"/>
        <v>0</v>
      </c>
      <c r="Q395" s="25">
        <f t="shared" si="96"/>
        <v>0</v>
      </c>
      <c r="R395" s="25">
        <f t="shared" si="96"/>
        <v>0</v>
      </c>
      <c r="S395" s="25">
        <f t="shared" si="96"/>
        <v>0</v>
      </c>
      <c r="T395" s="25">
        <f t="shared" si="96"/>
        <v>0</v>
      </c>
      <c r="U395" s="25">
        <f t="shared" si="96"/>
        <v>0</v>
      </c>
      <c r="V395" s="25">
        <f t="shared" si="96"/>
        <v>0</v>
      </c>
      <c r="W395" s="26">
        <f t="shared" si="96"/>
        <v>0</v>
      </c>
      <c r="X395" s="27">
        <f t="shared" si="96"/>
        <v>0</v>
      </c>
      <c r="Y395" s="25">
        <f t="shared" si="96"/>
        <v>0</v>
      </c>
      <c r="Z395" s="25">
        <f t="shared" si="96"/>
        <v>0</v>
      </c>
      <c r="AA395" s="25">
        <f t="shared" si="94"/>
        <v>0</v>
      </c>
      <c r="AB395" s="25">
        <f t="shared" si="94"/>
        <v>0</v>
      </c>
      <c r="AC395" s="25">
        <f t="shared" si="94"/>
        <v>0</v>
      </c>
      <c r="AD395" s="25">
        <f t="shared" si="94"/>
        <v>0</v>
      </c>
      <c r="AE395" s="25">
        <f t="shared" si="94"/>
        <v>0</v>
      </c>
      <c r="AF395" s="25">
        <f t="shared" si="94"/>
        <v>0</v>
      </c>
      <c r="AG395" s="25">
        <f t="shared" si="94"/>
        <v>0</v>
      </c>
      <c r="AH395" s="25">
        <f t="shared" si="94"/>
        <v>0</v>
      </c>
      <c r="AI395" s="26">
        <f t="shared" si="94"/>
        <v>0</v>
      </c>
      <c r="AJ395" s="114"/>
      <c r="AK395" s="114"/>
      <c r="AL395" s="115"/>
    </row>
    <row r="396" spans="1:38" ht="18" hidden="1" customHeight="1" outlineLevel="1">
      <c r="A396" s="206" t="s">
        <v>725</v>
      </c>
      <c r="B396" s="416" t="s">
        <v>207</v>
      </c>
      <c r="C396" s="172"/>
      <c r="D396" s="173"/>
      <c r="E396" s="378" t="e">
        <f>IF((#REF!-C396)/(D396-C396)&lt;0,0,IF((#REF!-C396)/(D396-C396)&gt;100%,100%,(#REF!-C396)/(D396-C396)))</f>
        <v>#REF!</v>
      </c>
      <c r="F396" s="186"/>
      <c r="G396" s="187"/>
      <c r="H396" s="378" t="e">
        <f>IF((#REF!-F396)/(G396-F396)&lt;0,0,IF((#REF!-F396)/(G396-F396)&gt;100%,100%,(#REF!-F396)/(G396-F396)))</f>
        <v>#REF!</v>
      </c>
      <c r="I396" s="182" t="e">
        <f t="shared" si="93"/>
        <v>#REF!</v>
      </c>
      <c r="J396" s="25">
        <f t="shared" si="97"/>
        <v>0</v>
      </c>
      <c r="K396" s="26">
        <f t="shared" si="97"/>
        <v>0</v>
      </c>
      <c r="L396" s="25">
        <f t="shared" si="97"/>
        <v>0</v>
      </c>
      <c r="M396" s="25">
        <f t="shared" si="96"/>
        <v>0</v>
      </c>
      <c r="N396" s="25">
        <f t="shared" si="96"/>
        <v>0</v>
      </c>
      <c r="O396" s="25">
        <f t="shared" si="96"/>
        <v>0</v>
      </c>
      <c r="P396" s="25">
        <f t="shared" si="96"/>
        <v>0</v>
      </c>
      <c r="Q396" s="25">
        <f t="shared" si="96"/>
        <v>0</v>
      </c>
      <c r="R396" s="25">
        <f t="shared" si="96"/>
        <v>0</v>
      </c>
      <c r="S396" s="25">
        <f t="shared" si="96"/>
        <v>0</v>
      </c>
      <c r="T396" s="25">
        <f t="shared" si="96"/>
        <v>0</v>
      </c>
      <c r="U396" s="25">
        <f t="shared" si="96"/>
        <v>0</v>
      </c>
      <c r="V396" s="25">
        <f t="shared" si="96"/>
        <v>0</v>
      </c>
      <c r="W396" s="26">
        <f t="shared" si="96"/>
        <v>0</v>
      </c>
      <c r="X396" s="27">
        <f t="shared" si="96"/>
        <v>0</v>
      </c>
      <c r="Y396" s="25">
        <f t="shared" si="96"/>
        <v>0</v>
      </c>
      <c r="Z396" s="25">
        <f t="shared" si="96"/>
        <v>0</v>
      </c>
      <c r="AA396" s="25">
        <f t="shared" si="94"/>
        <v>0</v>
      </c>
      <c r="AB396" s="25">
        <f t="shared" si="94"/>
        <v>0</v>
      </c>
      <c r="AC396" s="25">
        <f t="shared" si="94"/>
        <v>0</v>
      </c>
      <c r="AD396" s="25">
        <f t="shared" si="94"/>
        <v>0</v>
      </c>
      <c r="AE396" s="25">
        <f t="shared" si="94"/>
        <v>0</v>
      </c>
      <c r="AF396" s="25">
        <f t="shared" si="94"/>
        <v>0</v>
      </c>
      <c r="AG396" s="25">
        <f t="shared" si="94"/>
        <v>0</v>
      </c>
      <c r="AH396" s="25">
        <f t="shared" si="94"/>
        <v>0</v>
      </c>
      <c r="AI396" s="26">
        <f t="shared" si="94"/>
        <v>0</v>
      </c>
      <c r="AJ396" s="114"/>
      <c r="AK396" s="114"/>
      <c r="AL396" s="115"/>
    </row>
    <row r="397" spans="1:38" ht="16" hidden="1" outlineLevel="1">
      <c r="A397" s="206" t="s">
        <v>726</v>
      </c>
      <c r="B397" s="416" t="s">
        <v>208</v>
      </c>
      <c r="C397" s="172"/>
      <c r="D397" s="173"/>
      <c r="E397" s="378" t="e">
        <f>IF((#REF!-C397)/(D397-C397)&lt;0,0,IF((#REF!-C397)/(D397-C397)&gt;100%,100%,(#REF!-C397)/(D397-C397)))</f>
        <v>#REF!</v>
      </c>
      <c r="F397" s="186"/>
      <c r="G397" s="187"/>
      <c r="H397" s="378" t="e">
        <f>IF((#REF!-F397)/(G397-F397)&lt;0,0,IF((#REF!-F397)/(G397-F397)&gt;100%,100%,(#REF!-F397)/(G397-F397)))</f>
        <v>#REF!</v>
      </c>
      <c r="I397" s="182" t="e">
        <f t="shared" si="93"/>
        <v>#REF!</v>
      </c>
      <c r="J397" s="25">
        <f t="shared" si="97"/>
        <v>0</v>
      </c>
      <c r="K397" s="26">
        <f t="shared" si="97"/>
        <v>0</v>
      </c>
      <c r="L397" s="25">
        <f t="shared" si="97"/>
        <v>0</v>
      </c>
      <c r="M397" s="25">
        <f t="shared" si="96"/>
        <v>0</v>
      </c>
      <c r="N397" s="25">
        <f t="shared" si="96"/>
        <v>0</v>
      </c>
      <c r="O397" s="25">
        <f t="shared" ref="M397:Z414" si="98">+IF(O$3&gt;=$C397,IF(O$3&lt;=$D397,1,0),0)</f>
        <v>0</v>
      </c>
      <c r="P397" s="25">
        <f t="shared" si="98"/>
        <v>0</v>
      </c>
      <c r="Q397" s="25">
        <f t="shared" si="98"/>
        <v>0</v>
      </c>
      <c r="R397" s="25">
        <f t="shared" si="98"/>
        <v>0</v>
      </c>
      <c r="S397" s="25">
        <f t="shared" si="98"/>
        <v>0</v>
      </c>
      <c r="T397" s="25">
        <f t="shared" si="98"/>
        <v>0</v>
      </c>
      <c r="U397" s="25">
        <f t="shared" si="98"/>
        <v>0</v>
      </c>
      <c r="V397" s="25">
        <f t="shared" si="98"/>
        <v>0</v>
      </c>
      <c r="W397" s="26">
        <f t="shared" si="98"/>
        <v>0</v>
      </c>
      <c r="X397" s="27">
        <f t="shared" si="98"/>
        <v>0</v>
      </c>
      <c r="Y397" s="25">
        <f t="shared" si="98"/>
        <v>0</v>
      </c>
      <c r="Z397" s="25">
        <f t="shared" si="98"/>
        <v>0</v>
      </c>
      <c r="AA397" s="25">
        <f t="shared" si="94"/>
        <v>0</v>
      </c>
      <c r="AB397" s="25">
        <f t="shared" si="94"/>
        <v>0</v>
      </c>
      <c r="AC397" s="25">
        <f t="shared" si="94"/>
        <v>0</v>
      </c>
      <c r="AD397" s="25">
        <f t="shared" si="94"/>
        <v>0</v>
      </c>
      <c r="AE397" s="25">
        <f t="shared" si="94"/>
        <v>0</v>
      </c>
      <c r="AF397" s="25">
        <f t="shared" si="94"/>
        <v>0</v>
      </c>
      <c r="AG397" s="25">
        <f t="shared" si="94"/>
        <v>0</v>
      </c>
      <c r="AH397" s="25">
        <f t="shared" si="94"/>
        <v>0</v>
      </c>
      <c r="AI397" s="26">
        <f t="shared" si="94"/>
        <v>0</v>
      </c>
      <c r="AJ397" s="114"/>
      <c r="AK397" s="114"/>
      <c r="AL397" s="115"/>
    </row>
    <row r="398" spans="1:38" ht="16" collapsed="1">
      <c r="A398" s="110" t="s">
        <v>720</v>
      </c>
      <c r="B398" s="411" t="s">
        <v>209</v>
      </c>
      <c r="C398" s="176"/>
      <c r="D398" s="177"/>
      <c r="E398" s="380" t="e">
        <f>IF((#REF!-C398)/(D398-C398)&lt;0,0,IF((#REF!-C398)/(D398-C398)&gt;100%,100%,(#REF!-C398)/(D398-C398)))</f>
        <v>#REF!</v>
      </c>
      <c r="F398" s="189"/>
      <c r="G398" s="190"/>
      <c r="H398" s="380" t="e">
        <f>IF((#REF!-F398)/(G398-F398)&lt;0,0,IF((#REF!-F398)/(G398-F398)&gt;100%,100%,(#REF!-F398)/(G398-F398)))</f>
        <v>#REF!</v>
      </c>
      <c r="I398" s="182" t="e">
        <f t="shared" si="93"/>
        <v>#REF!</v>
      </c>
      <c r="J398" s="25">
        <f t="shared" si="97"/>
        <v>0</v>
      </c>
      <c r="K398" s="26">
        <f t="shared" si="97"/>
        <v>0</v>
      </c>
      <c r="L398" s="25">
        <f t="shared" si="97"/>
        <v>0</v>
      </c>
      <c r="M398" s="25">
        <f t="shared" si="98"/>
        <v>0</v>
      </c>
      <c r="N398" s="25">
        <f t="shared" si="98"/>
        <v>0</v>
      </c>
      <c r="O398" s="25">
        <f t="shared" si="98"/>
        <v>0</v>
      </c>
      <c r="P398" s="25">
        <f t="shared" si="98"/>
        <v>0</v>
      </c>
      <c r="Q398" s="25">
        <f t="shared" si="98"/>
        <v>0</v>
      </c>
      <c r="R398" s="25">
        <f t="shared" si="98"/>
        <v>0</v>
      </c>
      <c r="S398" s="25">
        <f t="shared" si="98"/>
        <v>0</v>
      </c>
      <c r="T398" s="25">
        <f t="shared" si="98"/>
        <v>0</v>
      </c>
      <c r="U398" s="25">
        <f t="shared" si="98"/>
        <v>0</v>
      </c>
      <c r="V398" s="25">
        <f t="shared" si="98"/>
        <v>0</v>
      </c>
      <c r="W398" s="26">
        <f t="shared" si="98"/>
        <v>0</v>
      </c>
      <c r="X398" s="27">
        <f t="shared" si="98"/>
        <v>0</v>
      </c>
      <c r="Y398" s="25">
        <f t="shared" si="98"/>
        <v>0</v>
      </c>
      <c r="Z398" s="25">
        <f t="shared" si="98"/>
        <v>0</v>
      </c>
      <c r="AA398" s="25">
        <f t="shared" si="94"/>
        <v>0</v>
      </c>
      <c r="AB398" s="25">
        <f t="shared" si="94"/>
        <v>0</v>
      </c>
      <c r="AC398" s="25">
        <f t="shared" si="94"/>
        <v>0</v>
      </c>
      <c r="AD398" s="25">
        <f t="shared" si="94"/>
        <v>0</v>
      </c>
      <c r="AE398" s="25">
        <f t="shared" si="94"/>
        <v>0</v>
      </c>
      <c r="AF398" s="25">
        <f t="shared" si="94"/>
        <v>0</v>
      </c>
      <c r="AG398" s="25">
        <f t="shared" si="94"/>
        <v>0</v>
      </c>
      <c r="AH398" s="25">
        <f t="shared" si="94"/>
        <v>0</v>
      </c>
      <c r="AI398" s="26">
        <f t="shared" si="94"/>
        <v>0</v>
      </c>
      <c r="AJ398" s="111"/>
      <c r="AK398" s="111"/>
      <c r="AL398" s="112"/>
    </row>
    <row r="399" spans="1:38" ht="16" hidden="1" outlineLevel="1">
      <c r="A399" s="206" t="s">
        <v>727</v>
      </c>
      <c r="B399" s="416" t="s">
        <v>210</v>
      </c>
      <c r="C399" s="172"/>
      <c r="D399" s="173"/>
      <c r="E399" s="378" t="e">
        <f>IF((#REF!-C399)/(D399-C399)&lt;0,0,IF((#REF!-C399)/(D399-C399)&gt;100%,100%,(#REF!-C399)/(D399-C399)))</f>
        <v>#REF!</v>
      </c>
      <c r="F399" s="186"/>
      <c r="G399" s="187"/>
      <c r="H399" s="378" t="e">
        <f>IF((#REF!-F399)/(G399-F399)&lt;0,0,IF((#REF!-F399)/(G399-F399)&gt;100%,100%,(#REF!-F399)/(G399-F399)))</f>
        <v>#REF!</v>
      </c>
      <c r="I399" s="182" t="e">
        <f t="shared" si="93"/>
        <v>#REF!</v>
      </c>
      <c r="J399" s="25">
        <f t="shared" si="97"/>
        <v>0</v>
      </c>
      <c r="K399" s="26">
        <f t="shared" si="97"/>
        <v>0</v>
      </c>
      <c r="L399" s="25">
        <f t="shared" si="97"/>
        <v>0</v>
      </c>
      <c r="M399" s="25">
        <f t="shared" si="98"/>
        <v>0</v>
      </c>
      <c r="N399" s="25">
        <f t="shared" si="98"/>
        <v>0</v>
      </c>
      <c r="O399" s="25">
        <f t="shared" si="98"/>
        <v>0</v>
      </c>
      <c r="P399" s="25">
        <f t="shared" si="98"/>
        <v>0</v>
      </c>
      <c r="Q399" s="25">
        <f t="shared" si="98"/>
        <v>0</v>
      </c>
      <c r="R399" s="25">
        <f t="shared" si="98"/>
        <v>0</v>
      </c>
      <c r="S399" s="25">
        <f t="shared" si="98"/>
        <v>0</v>
      </c>
      <c r="T399" s="25">
        <f t="shared" si="98"/>
        <v>0</v>
      </c>
      <c r="U399" s="25">
        <f t="shared" si="98"/>
        <v>0</v>
      </c>
      <c r="V399" s="25">
        <f t="shared" si="98"/>
        <v>0</v>
      </c>
      <c r="W399" s="26">
        <f t="shared" si="98"/>
        <v>0</v>
      </c>
      <c r="X399" s="27">
        <f t="shared" si="98"/>
        <v>0</v>
      </c>
      <c r="Y399" s="25">
        <f t="shared" si="98"/>
        <v>0</v>
      </c>
      <c r="Z399" s="25">
        <f t="shared" si="98"/>
        <v>0</v>
      </c>
      <c r="AA399" s="25">
        <f t="shared" si="94"/>
        <v>0</v>
      </c>
      <c r="AB399" s="25">
        <f t="shared" si="94"/>
        <v>0</v>
      </c>
      <c r="AC399" s="25">
        <f t="shared" si="94"/>
        <v>0</v>
      </c>
      <c r="AD399" s="25">
        <f t="shared" si="94"/>
        <v>0</v>
      </c>
      <c r="AE399" s="25">
        <f t="shared" si="94"/>
        <v>0</v>
      </c>
      <c r="AF399" s="25">
        <f t="shared" si="94"/>
        <v>0</v>
      </c>
      <c r="AG399" s="25">
        <f t="shared" si="94"/>
        <v>0</v>
      </c>
      <c r="AH399" s="25">
        <f t="shared" si="94"/>
        <v>0</v>
      </c>
      <c r="AI399" s="26">
        <f t="shared" si="94"/>
        <v>0</v>
      </c>
      <c r="AJ399" s="114"/>
      <c r="AK399" s="114"/>
      <c r="AL399" s="115"/>
    </row>
    <row r="400" spans="1:38" ht="16" hidden="1" outlineLevel="1">
      <c r="A400" s="206" t="s">
        <v>728</v>
      </c>
      <c r="B400" s="416" t="s">
        <v>211</v>
      </c>
      <c r="C400" s="172"/>
      <c r="D400" s="173"/>
      <c r="E400" s="378" t="e">
        <f>IF((#REF!-C400)/(D400-C400)&lt;0,0,IF((#REF!-C400)/(D400-C400)&gt;100%,100%,(#REF!-C400)/(D400-C400)))</f>
        <v>#REF!</v>
      </c>
      <c r="F400" s="186"/>
      <c r="G400" s="187"/>
      <c r="H400" s="378" t="e">
        <f>IF((#REF!-F400)/(G400-F400)&lt;0,0,IF((#REF!-F400)/(G400-F400)&gt;100%,100%,(#REF!-F400)/(G400-F400)))</f>
        <v>#REF!</v>
      </c>
      <c r="I400" s="182" t="e">
        <f t="shared" si="93"/>
        <v>#REF!</v>
      </c>
      <c r="J400" s="25">
        <f t="shared" si="97"/>
        <v>0</v>
      </c>
      <c r="K400" s="26">
        <f t="shared" si="97"/>
        <v>0</v>
      </c>
      <c r="L400" s="25">
        <f t="shared" si="97"/>
        <v>0</v>
      </c>
      <c r="M400" s="25">
        <f t="shared" si="98"/>
        <v>0</v>
      </c>
      <c r="N400" s="25">
        <f t="shared" si="98"/>
        <v>0</v>
      </c>
      <c r="O400" s="25">
        <f t="shared" si="98"/>
        <v>0</v>
      </c>
      <c r="P400" s="25">
        <f t="shared" si="98"/>
        <v>0</v>
      </c>
      <c r="Q400" s="25">
        <f t="shared" si="98"/>
        <v>0</v>
      </c>
      <c r="R400" s="25">
        <f t="shared" si="98"/>
        <v>0</v>
      </c>
      <c r="S400" s="25">
        <f t="shared" si="98"/>
        <v>0</v>
      </c>
      <c r="T400" s="25">
        <f t="shared" si="98"/>
        <v>0</v>
      </c>
      <c r="U400" s="25">
        <f t="shared" si="98"/>
        <v>0</v>
      </c>
      <c r="V400" s="25">
        <f t="shared" si="98"/>
        <v>0</v>
      </c>
      <c r="W400" s="26">
        <f t="shared" si="98"/>
        <v>0</v>
      </c>
      <c r="X400" s="27">
        <f t="shared" si="98"/>
        <v>0</v>
      </c>
      <c r="Y400" s="25">
        <f t="shared" si="98"/>
        <v>0</v>
      </c>
      <c r="Z400" s="25">
        <f t="shared" si="98"/>
        <v>0</v>
      </c>
      <c r="AA400" s="25">
        <f t="shared" si="94"/>
        <v>0</v>
      </c>
      <c r="AB400" s="25">
        <f t="shared" si="94"/>
        <v>0</v>
      </c>
      <c r="AC400" s="25">
        <f t="shared" si="94"/>
        <v>0</v>
      </c>
      <c r="AD400" s="25">
        <f t="shared" si="94"/>
        <v>0</v>
      </c>
      <c r="AE400" s="25">
        <f t="shared" si="94"/>
        <v>0</v>
      </c>
      <c r="AF400" s="25">
        <f t="shared" si="94"/>
        <v>0</v>
      </c>
      <c r="AG400" s="25">
        <f t="shared" si="94"/>
        <v>0</v>
      </c>
      <c r="AH400" s="25">
        <f t="shared" si="94"/>
        <v>0</v>
      </c>
      <c r="AI400" s="26">
        <f t="shared" ref="AA400:AI414" si="99">+IF(AI$3&gt;=$C400,IF(AI$3&lt;=$D400,1,0),0)</f>
        <v>0</v>
      </c>
      <c r="AJ400" s="114"/>
      <c r="AK400" s="114"/>
      <c r="AL400" s="115"/>
    </row>
    <row r="401" spans="1:38" ht="16" hidden="1" outlineLevel="1">
      <c r="A401" s="206" t="s">
        <v>729</v>
      </c>
      <c r="B401" s="416" t="s">
        <v>212</v>
      </c>
      <c r="C401" s="172"/>
      <c r="D401" s="173"/>
      <c r="E401" s="378" t="e">
        <f>IF((#REF!-C401)/(D401-C401)&lt;0,0,IF((#REF!-C401)/(D401-C401)&gt;100%,100%,(#REF!-C401)/(D401-C401)))</f>
        <v>#REF!</v>
      </c>
      <c r="F401" s="186"/>
      <c r="G401" s="187"/>
      <c r="H401" s="378" t="e">
        <f>IF((#REF!-F401)/(G401-F401)&lt;0,0,IF((#REF!-F401)/(G401-F401)&gt;100%,100%,(#REF!-F401)/(G401-F401)))</f>
        <v>#REF!</v>
      </c>
      <c r="I401" s="182" t="e">
        <f t="shared" si="93"/>
        <v>#REF!</v>
      </c>
      <c r="J401" s="25">
        <f t="shared" ref="J401:L409" si="100">+IF(J$3&gt;=$C401,IF(J$3&lt;=$D401,1,0),0)</f>
        <v>0</v>
      </c>
      <c r="K401" s="26">
        <f t="shared" si="100"/>
        <v>0</v>
      </c>
      <c r="L401" s="25">
        <f t="shared" si="100"/>
        <v>0</v>
      </c>
      <c r="M401" s="25">
        <f t="shared" si="98"/>
        <v>0</v>
      </c>
      <c r="N401" s="25">
        <f t="shared" si="98"/>
        <v>0</v>
      </c>
      <c r="O401" s="25">
        <f t="shared" si="98"/>
        <v>0</v>
      </c>
      <c r="P401" s="25">
        <f t="shared" si="98"/>
        <v>0</v>
      </c>
      <c r="Q401" s="25">
        <f t="shared" si="98"/>
        <v>0</v>
      </c>
      <c r="R401" s="25">
        <f t="shared" si="98"/>
        <v>0</v>
      </c>
      <c r="S401" s="25">
        <f t="shared" si="98"/>
        <v>0</v>
      </c>
      <c r="T401" s="25">
        <f t="shared" si="98"/>
        <v>0</v>
      </c>
      <c r="U401" s="25">
        <f t="shared" si="98"/>
        <v>0</v>
      </c>
      <c r="V401" s="25">
        <f t="shared" si="98"/>
        <v>0</v>
      </c>
      <c r="W401" s="26">
        <f t="shared" si="98"/>
        <v>0</v>
      </c>
      <c r="X401" s="27">
        <f t="shared" si="98"/>
        <v>0</v>
      </c>
      <c r="Y401" s="25">
        <f t="shared" si="98"/>
        <v>0</v>
      </c>
      <c r="Z401" s="25">
        <f t="shared" si="98"/>
        <v>0</v>
      </c>
      <c r="AA401" s="25">
        <f t="shared" si="99"/>
        <v>0</v>
      </c>
      <c r="AB401" s="25">
        <f t="shared" si="99"/>
        <v>0</v>
      </c>
      <c r="AC401" s="25">
        <f t="shared" si="99"/>
        <v>0</v>
      </c>
      <c r="AD401" s="25">
        <f t="shared" si="99"/>
        <v>0</v>
      </c>
      <c r="AE401" s="25">
        <f t="shared" si="99"/>
        <v>0</v>
      </c>
      <c r="AF401" s="25">
        <f t="shared" si="99"/>
        <v>0</v>
      </c>
      <c r="AG401" s="25">
        <f t="shared" si="99"/>
        <v>0</v>
      </c>
      <c r="AH401" s="25">
        <f t="shared" si="99"/>
        <v>0</v>
      </c>
      <c r="AI401" s="26">
        <f t="shared" si="99"/>
        <v>0</v>
      </c>
      <c r="AJ401" s="114"/>
      <c r="AK401" s="114"/>
      <c r="AL401" s="115"/>
    </row>
    <row r="402" spans="1:38" ht="16" hidden="1" outlineLevel="1">
      <c r="A402" s="206" t="s">
        <v>730</v>
      </c>
      <c r="B402" s="416" t="s">
        <v>213</v>
      </c>
      <c r="C402" s="172"/>
      <c r="D402" s="173"/>
      <c r="E402" s="378" t="e">
        <f>IF((#REF!-C402)/(D402-C402)&lt;0,0,IF((#REF!-C402)/(D402-C402)&gt;100%,100%,(#REF!-C402)/(D402-C402)))</f>
        <v>#REF!</v>
      </c>
      <c r="F402" s="186"/>
      <c r="G402" s="187"/>
      <c r="H402" s="378" t="e">
        <f>IF((#REF!-F402)/(G402-F402)&lt;0,0,IF((#REF!-F402)/(G402-F402)&gt;100%,100%,(#REF!-F402)/(G402-F402)))</f>
        <v>#REF!</v>
      </c>
      <c r="I402" s="182" t="e">
        <f t="shared" si="93"/>
        <v>#REF!</v>
      </c>
      <c r="J402" s="25">
        <f t="shared" si="100"/>
        <v>0</v>
      </c>
      <c r="K402" s="26">
        <f t="shared" si="100"/>
        <v>0</v>
      </c>
      <c r="L402" s="25">
        <f t="shared" si="100"/>
        <v>0</v>
      </c>
      <c r="M402" s="25">
        <f t="shared" si="98"/>
        <v>0</v>
      </c>
      <c r="N402" s="25">
        <f t="shared" si="98"/>
        <v>0</v>
      </c>
      <c r="O402" s="25">
        <f t="shared" si="98"/>
        <v>0</v>
      </c>
      <c r="P402" s="25">
        <f t="shared" si="98"/>
        <v>0</v>
      </c>
      <c r="Q402" s="25">
        <f t="shared" si="98"/>
        <v>0</v>
      </c>
      <c r="R402" s="25">
        <f t="shared" si="98"/>
        <v>0</v>
      </c>
      <c r="S402" s="25">
        <f t="shared" si="98"/>
        <v>0</v>
      </c>
      <c r="T402" s="25">
        <f t="shared" si="98"/>
        <v>0</v>
      </c>
      <c r="U402" s="25">
        <f t="shared" si="98"/>
        <v>0</v>
      </c>
      <c r="V402" s="25">
        <f t="shared" si="98"/>
        <v>0</v>
      </c>
      <c r="W402" s="26">
        <f t="shared" si="98"/>
        <v>0</v>
      </c>
      <c r="X402" s="27">
        <f t="shared" si="98"/>
        <v>0</v>
      </c>
      <c r="Y402" s="25">
        <f t="shared" si="98"/>
        <v>0</v>
      </c>
      <c r="Z402" s="25">
        <f t="shared" si="98"/>
        <v>0</v>
      </c>
      <c r="AA402" s="25">
        <f t="shared" si="99"/>
        <v>0</v>
      </c>
      <c r="AB402" s="25">
        <f t="shared" si="99"/>
        <v>0</v>
      </c>
      <c r="AC402" s="25">
        <f t="shared" si="99"/>
        <v>0</v>
      </c>
      <c r="AD402" s="25">
        <f t="shared" si="99"/>
        <v>0</v>
      </c>
      <c r="AE402" s="25">
        <f t="shared" si="99"/>
        <v>0</v>
      </c>
      <c r="AF402" s="25">
        <f t="shared" si="99"/>
        <v>0</v>
      </c>
      <c r="AG402" s="25">
        <f t="shared" si="99"/>
        <v>0</v>
      </c>
      <c r="AH402" s="25">
        <f t="shared" si="99"/>
        <v>0</v>
      </c>
      <c r="AI402" s="26">
        <f t="shared" si="99"/>
        <v>0</v>
      </c>
      <c r="AJ402" s="114"/>
      <c r="AK402" s="114"/>
      <c r="AL402" s="115"/>
    </row>
    <row r="403" spans="1:38" ht="28" hidden="1" outlineLevel="1">
      <c r="A403" s="206" t="s">
        <v>731</v>
      </c>
      <c r="B403" s="416" t="s">
        <v>214</v>
      </c>
      <c r="C403" s="172"/>
      <c r="D403" s="173"/>
      <c r="E403" s="378" t="e">
        <f>IF((#REF!-C403)/(D403-C403)&lt;0,0,IF((#REF!-C403)/(D403-C403)&gt;100%,100%,(#REF!-C403)/(D403-C403)))</f>
        <v>#REF!</v>
      </c>
      <c r="F403" s="186"/>
      <c r="G403" s="187"/>
      <c r="H403" s="378" t="e">
        <f>IF((#REF!-F403)/(G403-F403)&lt;0,0,IF((#REF!-F403)/(G403-F403)&gt;100%,100%,(#REF!-F403)/(G403-F403)))</f>
        <v>#REF!</v>
      </c>
      <c r="I403" s="182" t="e">
        <f t="shared" si="93"/>
        <v>#REF!</v>
      </c>
      <c r="J403" s="25">
        <f t="shared" si="100"/>
        <v>0</v>
      </c>
      <c r="K403" s="26">
        <f t="shared" si="100"/>
        <v>0</v>
      </c>
      <c r="L403" s="25">
        <f t="shared" si="100"/>
        <v>0</v>
      </c>
      <c r="M403" s="25">
        <f t="shared" si="98"/>
        <v>0</v>
      </c>
      <c r="N403" s="25">
        <f t="shared" si="98"/>
        <v>0</v>
      </c>
      <c r="O403" s="25">
        <f t="shared" si="98"/>
        <v>0</v>
      </c>
      <c r="P403" s="25">
        <f t="shared" si="98"/>
        <v>0</v>
      </c>
      <c r="Q403" s="25">
        <f t="shared" si="98"/>
        <v>0</v>
      </c>
      <c r="R403" s="25">
        <f t="shared" si="98"/>
        <v>0</v>
      </c>
      <c r="S403" s="25">
        <f t="shared" si="98"/>
        <v>0</v>
      </c>
      <c r="T403" s="25">
        <f t="shared" si="98"/>
        <v>0</v>
      </c>
      <c r="U403" s="25">
        <f t="shared" si="98"/>
        <v>0</v>
      </c>
      <c r="V403" s="25">
        <f t="shared" si="98"/>
        <v>0</v>
      </c>
      <c r="W403" s="26">
        <f t="shared" si="98"/>
        <v>0</v>
      </c>
      <c r="X403" s="27">
        <f t="shared" si="98"/>
        <v>0</v>
      </c>
      <c r="Y403" s="25">
        <f t="shared" si="98"/>
        <v>0</v>
      </c>
      <c r="Z403" s="25">
        <f t="shared" si="98"/>
        <v>0</v>
      </c>
      <c r="AA403" s="25">
        <f t="shared" si="99"/>
        <v>0</v>
      </c>
      <c r="AB403" s="25">
        <f t="shared" si="99"/>
        <v>0</v>
      </c>
      <c r="AC403" s="25">
        <f t="shared" si="99"/>
        <v>0</v>
      </c>
      <c r="AD403" s="25">
        <f t="shared" si="99"/>
        <v>0</v>
      </c>
      <c r="AE403" s="25">
        <f t="shared" si="99"/>
        <v>0</v>
      </c>
      <c r="AF403" s="25">
        <f t="shared" si="99"/>
        <v>0</v>
      </c>
      <c r="AG403" s="25">
        <f t="shared" si="99"/>
        <v>0</v>
      </c>
      <c r="AH403" s="25">
        <f t="shared" si="99"/>
        <v>0</v>
      </c>
      <c r="AI403" s="26">
        <f t="shared" si="99"/>
        <v>0</v>
      </c>
      <c r="AJ403" s="114"/>
      <c r="AK403" s="114"/>
      <c r="AL403" s="115"/>
    </row>
    <row r="404" spans="1:38" ht="28" hidden="1" outlineLevel="1">
      <c r="A404" s="206" t="s">
        <v>732</v>
      </c>
      <c r="B404" s="416" t="s">
        <v>215</v>
      </c>
      <c r="C404" s="172"/>
      <c r="D404" s="173"/>
      <c r="E404" s="378" t="e">
        <f>IF((#REF!-C404)/(D404-C404)&lt;0,0,IF((#REF!-C404)/(D404-C404)&gt;100%,100%,(#REF!-C404)/(D404-C404)))</f>
        <v>#REF!</v>
      </c>
      <c r="F404" s="186"/>
      <c r="G404" s="187"/>
      <c r="H404" s="378" t="e">
        <f>IF((#REF!-F404)/(G404-F404)&lt;0,0,IF((#REF!-F404)/(G404-F404)&gt;100%,100%,(#REF!-F404)/(G404-F404)))</f>
        <v>#REF!</v>
      </c>
      <c r="I404" s="182" t="e">
        <f t="shared" si="93"/>
        <v>#REF!</v>
      </c>
      <c r="J404" s="25">
        <f t="shared" si="100"/>
        <v>0</v>
      </c>
      <c r="K404" s="26">
        <f t="shared" si="100"/>
        <v>0</v>
      </c>
      <c r="L404" s="25">
        <f t="shared" si="100"/>
        <v>0</v>
      </c>
      <c r="M404" s="25">
        <f t="shared" si="98"/>
        <v>0</v>
      </c>
      <c r="N404" s="25">
        <f t="shared" si="98"/>
        <v>0</v>
      </c>
      <c r="O404" s="25">
        <f t="shared" si="98"/>
        <v>0</v>
      </c>
      <c r="P404" s="25">
        <f t="shared" si="98"/>
        <v>0</v>
      </c>
      <c r="Q404" s="25">
        <f t="shared" si="98"/>
        <v>0</v>
      </c>
      <c r="R404" s="25">
        <f t="shared" si="98"/>
        <v>0</v>
      </c>
      <c r="S404" s="25">
        <f t="shared" si="98"/>
        <v>0</v>
      </c>
      <c r="T404" s="25">
        <f t="shared" si="98"/>
        <v>0</v>
      </c>
      <c r="U404" s="25">
        <f t="shared" si="98"/>
        <v>0</v>
      </c>
      <c r="V404" s="25">
        <f t="shared" si="98"/>
        <v>0</v>
      </c>
      <c r="W404" s="26">
        <f t="shared" si="98"/>
        <v>0</v>
      </c>
      <c r="X404" s="27">
        <f t="shared" si="98"/>
        <v>0</v>
      </c>
      <c r="Y404" s="25">
        <f t="shared" si="98"/>
        <v>0</v>
      </c>
      <c r="Z404" s="25">
        <f t="shared" si="98"/>
        <v>0</v>
      </c>
      <c r="AA404" s="25">
        <f t="shared" si="99"/>
        <v>0</v>
      </c>
      <c r="AB404" s="25">
        <f t="shared" si="99"/>
        <v>0</v>
      </c>
      <c r="AC404" s="25">
        <f t="shared" si="99"/>
        <v>0</v>
      </c>
      <c r="AD404" s="25">
        <f t="shared" si="99"/>
        <v>0</v>
      </c>
      <c r="AE404" s="25">
        <f t="shared" si="99"/>
        <v>0</v>
      </c>
      <c r="AF404" s="25">
        <f t="shared" si="99"/>
        <v>0</v>
      </c>
      <c r="AG404" s="25">
        <f t="shared" si="99"/>
        <v>0</v>
      </c>
      <c r="AH404" s="25">
        <f t="shared" si="99"/>
        <v>0</v>
      </c>
      <c r="AI404" s="26">
        <f t="shared" si="99"/>
        <v>0</v>
      </c>
      <c r="AJ404" s="114"/>
      <c r="AK404" s="114"/>
      <c r="AL404" s="115"/>
    </row>
    <row r="405" spans="1:38" ht="19.25" hidden="1" customHeight="1" outlineLevel="1">
      <c r="A405" s="206" t="s">
        <v>733</v>
      </c>
      <c r="B405" s="416" t="s">
        <v>216</v>
      </c>
      <c r="C405" s="172"/>
      <c r="D405" s="173"/>
      <c r="E405" s="378" t="e">
        <f>IF((#REF!-C405)/(D405-C405)&lt;0,0,IF((#REF!-C405)/(D405-C405)&gt;100%,100%,(#REF!-C405)/(D405-C405)))</f>
        <v>#REF!</v>
      </c>
      <c r="F405" s="186"/>
      <c r="G405" s="187"/>
      <c r="H405" s="378" t="e">
        <f>IF((#REF!-F405)/(G405-F405)&lt;0,0,IF((#REF!-F405)/(G405-F405)&gt;100%,100%,(#REF!-F405)/(G405-F405)))</f>
        <v>#REF!</v>
      </c>
      <c r="I405" s="182" t="e">
        <f t="shared" si="93"/>
        <v>#REF!</v>
      </c>
      <c r="J405" s="25">
        <f t="shared" si="100"/>
        <v>0</v>
      </c>
      <c r="K405" s="26">
        <f t="shared" si="100"/>
        <v>0</v>
      </c>
      <c r="L405" s="25">
        <f t="shared" si="100"/>
        <v>0</v>
      </c>
      <c r="M405" s="25">
        <f t="shared" si="98"/>
        <v>0</v>
      </c>
      <c r="N405" s="25">
        <f t="shared" si="98"/>
        <v>0</v>
      </c>
      <c r="O405" s="25">
        <f t="shared" si="98"/>
        <v>0</v>
      </c>
      <c r="P405" s="25">
        <f t="shared" si="98"/>
        <v>0</v>
      </c>
      <c r="Q405" s="25">
        <f t="shared" si="98"/>
        <v>0</v>
      </c>
      <c r="R405" s="25">
        <f t="shared" si="98"/>
        <v>0</v>
      </c>
      <c r="S405" s="25">
        <f t="shared" si="98"/>
        <v>0</v>
      </c>
      <c r="T405" s="25">
        <f t="shared" si="98"/>
        <v>0</v>
      </c>
      <c r="U405" s="25">
        <f t="shared" si="98"/>
        <v>0</v>
      </c>
      <c r="V405" s="25">
        <f t="shared" si="98"/>
        <v>0</v>
      </c>
      <c r="W405" s="26">
        <f t="shared" si="98"/>
        <v>0</v>
      </c>
      <c r="X405" s="27">
        <f t="shared" si="98"/>
        <v>0</v>
      </c>
      <c r="Y405" s="25">
        <f t="shared" si="98"/>
        <v>0</v>
      </c>
      <c r="Z405" s="25">
        <f t="shared" si="98"/>
        <v>0</v>
      </c>
      <c r="AA405" s="25">
        <f t="shared" si="99"/>
        <v>0</v>
      </c>
      <c r="AB405" s="25">
        <f t="shared" si="99"/>
        <v>0</v>
      </c>
      <c r="AC405" s="25">
        <f t="shared" si="99"/>
        <v>0</v>
      </c>
      <c r="AD405" s="25">
        <f t="shared" si="99"/>
        <v>0</v>
      </c>
      <c r="AE405" s="25">
        <f t="shared" si="99"/>
        <v>0</v>
      </c>
      <c r="AF405" s="25">
        <f t="shared" si="99"/>
        <v>0</v>
      </c>
      <c r="AG405" s="25">
        <f t="shared" si="99"/>
        <v>0</v>
      </c>
      <c r="AH405" s="25">
        <f t="shared" si="99"/>
        <v>0</v>
      </c>
      <c r="AI405" s="26">
        <f t="shared" si="99"/>
        <v>0</v>
      </c>
      <c r="AJ405" s="114"/>
      <c r="AK405" s="114"/>
      <c r="AL405" s="115"/>
    </row>
    <row r="406" spans="1:38" ht="16" hidden="1" outlineLevel="1">
      <c r="A406" s="206" t="s">
        <v>734</v>
      </c>
      <c r="B406" s="416" t="s">
        <v>217</v>
      </c>
      <c r="C406" s="129"/>
      <c r="D406" s="130"/>
      <c r="E406" s="378" t="e">
        <f>IF((#REF!-C406)/(D406-C406)&lt;0,0,IF((#REF!-C406)/(D406-C406)&gt;100%,100%,(#REF!-C406)/(D406-C406)))</f>
        <v>#REF!</v>
      </c>
      <c r="F406" s="186"/>
      <c r="G406" s="187"/>
      <c r="H406" s="378" t="e">
        <f>IF((#REF!-F406)/(G406-F406)&lt;0,0,IF((#REF!-F406)/(G406-F406)&gt;100%,100%,(#REF!-F406)/(G406-F406)))</f>
        <v>#REF!</v>
      </c>
      <c r="I406" s="182" t="e">
        <f t="shared" si="93"/>
        <v>#REF!</v>
      </c>
      <c r="J406" s="25">
        <f t="shared" si="100"/>
        <v>0</v>
      </c>
      <c r="K406" s="26">
        <f t="shared" si="100"/>
        <v>0</v>
      </c>
      <c r="L406" s="25">
        <f t="shared" si="100"/>
        <v>0</v>
      </c>
      <c r="M406" s="25">
        <f t="shared" si="98"/>
        <v>0</v>
      </c>
      <c r="N406" s="25">
        <f t="shared" si="98"/>
        <v>0</v>
      </c>
      <c r="O406" s="25">
        <f t="shared" si="98"/>
        <v>0</v>
      </c>
      <c r="P406" s="25">
        <f t="shared" si="98"/>
        <v>0</v>
      </c>
      <c r="Q406" s="25">
        <f t="shared" si="98"/>
        <v>0</v>
      </c>
      <c r="R406" s="25">
        <f t="shared" si="98"/>
        <v>0</v>
      </c>
      <c r="S406" s="25">
        <f t="shared" si="98"/>
        <v>0</v>
      </c>
      <c r="T406" s="25">
        <f t="shared" si="98"/>
        <v>0</v>
      </c>
      <c r="U406" s="25">
        <f t="shared" si="98"/>
        <v>0</v>
      </c>
      <c r="V406" s="25">
        <f t="shared" si="98"/>
        <v>0</v>
      </c>
      <c r="W406" s="26">
        <f t="shared" si="98"/>
        <v>0</v>
      </c>
      <c r="X406" s="27">
        <f t="shared" si="98"/>
        <v>0</v>
      </c>
      <c r="Y406" s="25">
        <f t="shared" si="98"/>
        <v>0</v>
      </c>
      <c r="Z406" s="25">
        <f t="shared" si="98"/>
        <v>0</v>
      </c>
      <c r="AA406" s="25">
        <f t="shared" si="99"/>
        <v>0</v>
      </c>
      <c r="AB406" s="25">
        <f t="shared" si="99"/>
        <v>0</v>
      </c>
      <c r="AC406" s="25">
        <f t="shared" si="99"/>
        <v>0</v>
      </c>
      <c r="AD406" s="25">
        <f t="shared" si="99"/>
        <v>0</v>
      </c>
      <c r="AE406" s="25">
        <f t="shared" si="99"/>
        <v>0</v>
      </c>
      <c r="AF406" s="25">
        <f t="shared" si="99"/>
        <v>0</v>
      </c>
      <c r="AG406" s="25">
        <f t="shared" si="99"/>
        <v>0</v>
      </c>
      <c r="AH406" s="25">
        <f t="shared" si="99"/>
        <v>0</v>
      </c>
      <c r="AI406" s="26">
        <f t="shared" si="99"/>
        <v>0</v>
      </c>
      <c r="AJ406" s="114"/>
      <c r="AK406" s="114"/>
      <c r="AL406" s="115"/>
    </row>
    <row r="407" spans="1:38" ht="16" hidden="1" outlineLevel="1">
      <c r="A407" s="206" t="s">
        <v>735</v>
      </c>
      <c r="B407" s="416" t="s">
        <v>218</v>
      </c>
      <c r="C407" s="129"/>
      <c r="D407" s="130"/>
      <c r="E407" s="378" t="e">
        <f>IF((#REF!-C407)/(D407-C407)&lt;0,0,IF((#REF!-C407)/(D407-C407)&gt;100%,100%,(#REF!-C407)/(D407-C407)))</f>
        <v>#REF!</v>
      </c>
      <c r="F407" s="186"/>
      <c r="G407" s="187"/>
      <c r="H407" s="378" t="e">
        <f>IF((#REF!-F407)/(G407-F407)&lt;0,0,IF((#REF!-F407)/(G407-F407)&gt;100%,100%,(#REF!-F407)/(G407-F407)))</f>
        <v>#REF!</v>
      </c>
      <c r="I407" s="182" t="e">
        <f t="shared" si="93"/>
        <v>#REF!</v>
      </c>
      <c r="J407" s="25">
        <f t="shared" si="100"/>
        <v>0</v>
      </c>
      <c r="K407" s="26">
        <f t="shared" si="100"/>
        <v>0</v>
      </c>
      <c r="L407" s="25">
        <f t="shared" si="100"/>
        <v>0</v>
      </c>
      <c r="M407" s="25">
        <f t="shared" si="98"/>
        <v>0</v>
      </c>
      <c r="N407" s="25">
        <f t="shared" si="98"/>
        <v>0</v>
      </c>
      <c r="O407" s="25">
        <f t="shared" si="98"/>
        <v>0</v>
      </c>
      <c r="P407" s="25">
        <f t="shared" si="98"/>
        <v>0</v>
      </c>
      <c r="Q407" s="25">
        <f t="shared" si="98"/>
        <v>0</v>
      </c>
      <c r="R407" s="25">
        <f t="shared" si="98"/>
        <v>0</v>
      </c>
      <c r="S407" s="25">
        <f t="shared" si="98"/>
        <v>0</v>
      </c>
      <c r="T407" s="25">
        <f t="shared" si="98"/>
        <v>0</v>
      </c>
      <c r="U407" s="25">
        <f t="shared" si="98"/>
        <v>0</v>
      </c>
      <c r="V407" s="25">
        <f t="shared" si="98"/>
        <v>0</v>
      </c>
      <c r="W407" s="26">
        <f t="shared" si="98"/>
        <v>0</v>
      </c>
      <c r="X407" s="27">
        <f t="shared" si="98"/>
        <v>0</v>
      </c>
      <c r="Y407" s="25">
        <f t="shared" si="98"/>
        <v>0</v>
      </c>
      <c r="Z407" s="25">
        <f t="shared" si="98"/>
        <v>0</v>
      </c>
      <c r="AA407" s="25">
        <f t="shared" si="99"/>
        <v>0</v>
      </c>
      <c r="AB407" s="25">
        <f t="shared" si="99"/>
        <v>0</v>
      </c>
      <c r="AC407" s="25">
        <f t="shared" si="99"/>
        <v>0</v>
      </c>
      <c r="AD407" s="25">
        <f t="shared" si="99"/>
        <v>0</v>
      </c>
      <c r="AE407" s="25">
        <f t="shared" si="99"/>
        <v>0</v>
      </c>
      <c r="AF407" s="25">
        <f t="shared" si="99"/>
        <v>0</v>
      </c>
      <c r="AG407" s="25">
        <f t="shared" si="99"/>
        <v>0</v>
      </c>
      <c r="AH407" s="25">
        <f t="shared" si="99"/>
        <v>0</v>
      </c>
      <c r="AI407" s="26">
        <f t="shared" si="99"/>
        <v>0</v>
      </c>
      <c r="AJ407" s="114"/>
      <c r="AK407" s="114"/>
      <c r="AL407" s="115"/>
    </row>
    <row r="408" spans="1:38" ht="16" collapsed="1">
      <c r="A408" s="206" t="s">
        <v>747</v>
      </c>
      <c r="B408" s="412" t="s">
        <v>194</v>
      </c>
      <c r="C408" s="376"/>
      <c r="D408" s="377"/>
      <c r="E408" s="385" t="e">
        <f>IF((#REF!-C408)/(D408-C408)&lt;0,0,IF((#REF!-C408)/(D408-C408)&gt;100%,100%,(#REF!-C408)/(D408-C408)))</f>
        <v>#REF!</v>
      </c>
      <c r="F408" s="374"/>
      <c r="G408" s="375"/>
      <c r="H408" s="385" t="e">
        <f>IF((#REF!-F408)/(G408-F408)&lt;0,0,IF((#REF!-F408)/(G408-F408)&gt;100%,100%,(#REF!-F408)/(G408-F408)))</f>
        <v>#REF!</v>
      </c>
      <c r="I408" s="182" t="e">
        <f>(D408-C408)/100%*(H408-E408)</f>
        <v>#REF!</v>
      </c>
      <c r="J408" s="25">
        <f t="shared" ref="J408:AI408" si="101">+IF(J$3&gt;=$C408,IF(J$3&lt;=$D408,1,0),0)</f>
        <v>0</v>
      </c>
      <c r="K408" s="26">
        <f t="shared" si="101"/>
        <v>0</v>
      </c>
      <c r="L408" s="25">
        <f t="shared" si="101"/>
        <v>0</v>
      </c>
      <c r="M408" s="25">
        <f t="shared" si="101"/>
        <v>0</v>
      </c>
      <c r="N408" s="25">
        <f t="shared" si="101"/>
        <v>0</v>
      </c>
      <c r="O408" s="25">
        <f t="shared" si="101"/>
        <v>0</v>
      </c>
      <c r="P408" s="25">
        <f t="shared" si="101"/>
        <v>0</v>
      </c>
      <c r="Q408" s="25">
        <f t="shared" si="101"/>
        <v>0</v>
      </c>
      <c r="R408" s="25">
        <f t="shared" si="101"/>
        <v>0</v>
      </c>
      <c r="S408" s="25">
        <f t="shared" si="101"/>
        <v>0</v>
      </c>
      <c r="T408" s="25">
        <f t="shared" si="101"/>
        <v>0</v>
      </c>
      <c r="U408" s="25">
        <f t="shared" si="101"/>
        <v>0</v>
      </c>
      <c r="V408" s="25">
        <f t="shared" si="101"/>
        <v>0</v>
      </c>
      <c r="W408" s="26">
        <f t="shared" si="101"/>
        <v>0</v>
      </c>
      <c r="X408" s="27">
        <f t="shared" si="101"/>
        <v>0</v>
      </c>
      <c r="Y408" s="25">
        <f t="shared" si="101"/>
        <v>0</v>
      </c>
      <c r="Z408" s="25">
        <f t="shared" si="101"/>
        <v>0</v>
      </c>
      <c r="AA408" s="25">
        <f t="shared" si="101"/>
        <v>0</v>
      </c>
      <c r="AB408" s="25">
        <f t="shared" si="101"/>
        <v>0</v>
      </c>
      <c r="AC408" s="25">
        <f t="shared" si="101"/>
        <v>0</v>
      </c>
      <c r="AD408" s="25">
        <f t="shared" si="101"/>
        <v>0</v>
      </c>
      <c r="AE408" s="25">
        <f t="shared" si="101"/>
        <v>0</v>
      </c>
      <c r="AF408" s="25">
        <f t="shared" si="101"/>
        <v>0</v>
      </c>
      <c r="AG408" s="25">
        <f t="shared" si="101"/>
        <v>0</v>
      </c>
      <c r="AH408" s="25">
        <f t="shared" si="101"/>
        <v>0</v>
      </c>
      <c r="AI408" s="26">
        <f t="shared" si="101"/>
        <v>0</v>
      </c>
      <c r="AJ408" s="111"/>
      <c r="AK408" s="111"/>
      <c r="AL408" s="112"/>
    </row>
    <row r="409" spans="1:38" ht="16">
      <c r="A409" s="110" t="s">
        <v>721</v>
      </c>
      <c r="B409" s="411" t="s">
        <v>219</v>
      </c>
      <c r="C409" s="132"/>
      <c r="D409" s="133"/>
      <c r="E409" s="380" t="e">
        <f>IF((#REF!-C409)/(D409-C409)&lt;0,0,IF((#REF!-C409)/(D409-C409)&gt;100%,100%,(#REF!-C409)/(D409-C409)))</f>
        <v>#REF!</v>
      </c>
      <c r="F409" s="189"/>
      <c r="G409" s="190"/>
      <c r="H409" s="380" t="e">
        <f>IF((#REF!-F409)/(G409-F409)&lt;0,0,IF((#REF!-F409)/(G409-F409)&gt;100%,100%,(#REF!-F409)/(G409-F409)))</f>
        <v>#REF!</v>
      </c>
      <c r="I409" s="182" t="e">
        <f t="shared" si="93"/>
        <v>#REF!</v>
      </c>
      <c r="J409" s="25">
        <f t="shared" si="100"/>
        <v>0</v>
      </c>
      <c r="K409" s="26">
        <f t="shared" si="100"/>
        <v>0</v>
      </c>
      <c r="L409" s="25">
        <f t="shared" si="100"/>
        <v>0</v>
      </c>
      <c r="M409" s="25">
        <f t="shared" si="98"/>
        <v>0</v>
      </c>
      <c r="N409" s="25">
        <f t="shared" si="98"/>
        <v>0</v>
      </c>
      <c r="O409" s="25">
        <f t="shared" si="98"/>
        <v>0</v>
      </c>
      <c r="P409" s="25">
        <f t="shared" si="98"/>
        <v>0</v>
      </c>
      <c r="Q409" s="25">
        <f t="shared" si="98"/>
        <v>0</v>
      </c>
      <c r="R409" s="25">
        <f t="shared" si="98"/>
        <v>0</v>
      </c>
      <c r="S409" s="25">
        <f t="shared" si="98"/>
        <v>0</v>
      </c>
      <c r="T409" s="25">
        <f t="shared" si="98"/>
        <v>0</v>
      </c>
      <c r="U409" s="25">
        <f t="shared" si="98"/>
        <v>0</v>
      </c>
      <c r="V409" s="25">
        <f t="shared" si="98"/>
        <v>0</v>
      </c>
      <c r="W409" s="26">
        <f t="shared" si="98"/>
        <v>0</v>
      </c>
      <c r="X409" s="27">
        <f t="shared" si="98"/>
        <v>0</v>
      </c>
      <c r="Y409" s="25">
        <f t="shared" si="98"/>
        <v>0</v>
      </c>
      <c r="Z409" s="25">
        <f t="shared" si="98"/>
        <v>0</v>
      </c>
      <c r="AA409" s="25">
        <f t="shared" si="99"/>
        <v>0</v>
      </c>
      <c r="AB409" s="25">
        <f t="shared" si="99"/>
        <v>0</v>
      </c>
      <c r="AC409" s="25">
        <f t="shared" si="99"/>
        <v>0</v>
      </c>
      <c r="AD409" s="25">
        <f t="shared" si="99"/>
        <v>0</v>
      </c>
      <c r="AE409" s="25">
        <f t="shared" si="99"/>
        <v>0</v>
      </c>
      <c r="AF409" s="25">
        <f t="shared" si="99"/>
        <v>0</v>
      </c>
      <c r="AG409" s="25">
        <f t="shared" si="99"/>
        <v>0</v>
      </c>
      <c r="AH409" s="25">
        <f t="shared" si="99"/>
        <v>0</v>
      </c>
      <c r="AI409" s="26">
        <f t="shared" si="99"/>
        <v>0</v>
      </c>
      <c r="AJ409" s="111"/>
      <c r="AK409" s="111"/>
      <c r="AL409" s="112"/>
    </row>
    <row r="410" spans="1:38" ht="16" hidden="1" outlineLevel="1">
      <c r="A410" s="206" t="s">
        <v>736</v>
      </c>
      <c r="B410" s="416" t="s">
        <v>220</v>
      </c>
      <c r="C410" s="129"/>
      <c r="D410" s="130"/>
      <c r="E410" s="378" t="e">
        <f>IF((#REF!-C410)/(D410-C410)&lt;0,0,IF((#REF!-C410)/(D410-C410)&gt;100%,100%,(#REF!-C410)/(D410-C410)))</f>
        <v>#REF!</v>
      </c>
      <c r="F410" s="186"/>
      <c r="G410" s="187"/>
      <c r="H410" s="378" t="e">
        <f>IF((#REF!-F410)/(G410-F410)&lt;0,0,IF((#REF!-F410)/(G410-F410)&gt;100%,100%,(#REF!-F410)/(G410-F410)))</f>
        <v>#REF!</v>
      </c>
      <c r="I410" s="182" t="e">
        <f t="shared" si="93"/>
        <v>#REF!</v>
      </c>
      <c r="J410" s="25">
        <f t="shared" ref="J410:L414" si="102">+IF(J$3&gt;=$C410,IF(J$3&lt;=$D410,1,0),0)</f>
        <v>0</v>
      </c>
      <c r="K410" s="26">
        <f t="shared" si="102"/>
        <v>0</v>
      </c>
      <c r="L410" s="25">
        <f t="shared" si="102"/>
        <v>0</v>
      </c>
      <c r="M410" s="25">
        <f t="shared" si="98"/>
        <v>0</v>
      </c>
      <c r="N410" s="25">
        <f t="shared" si="98"/>
        <v>0</v>
      </c>
      <c r="O410" s="25">
        <f t="shared" si="98"/>
        <v>0</v>
      </c>
      <c r="P410" s="25">
        <f t="shared" si="98"/>
        <v>0</v>
      </c>
      <c r="Q410" s="25">
        <f t="shared" si="98"/>
        <v>0</v>
      </c>
      <c r="R410" s="25">
        <f t="shared" si="98"/>
        <v>0</v>
      </c>
      <c r="S410" s="25">
        <f t="shared" si="98"/>
        <v>0</v>
      </c>
      <c r="T410" s="25">
        <f t="shared" si="98"/>
        <v>0</v>
      </c>
      <c r="U410" s="25">
        <f t="shared" si="98"/>
        <v>0</v>
      </c>
      <c r="V410" s="25">
        <f t="shared" si="98"/>
        <v>0</v>
      </c>
      <c r="W410" s="26">
        <f t="shared" si="98"/>
        <v>0</v>
      </c>
      <c r="X410" s="27">
        <f t="shared" si="98"/>
        <v>0</v>
      </c>
      <c r="Y410" s="25">
        <f t="shared" si="98"/>
        <v>0</v>
      </c>
      <c r="Z410" s="25">
        <f t="shared" si="98"/>
        <v>0</v>
      </c>
      <c r="AA410" s="25">
        <f t="shared" si="99"/>
        <v>0</v>
      </c>
      <c r="AB410" s="25">
        <f t="shared" si="99"/>
        <v>0</v>
      </c>
      <c r="AC410" s="25">
        <f t="shared" si="99"/>
        <v>0</v>
      </c>
      <c r="AD410" s="25">
        <f t="shared" si="99"/>
        <v>0</v>
      </c>
      <c r="AE410" s="25">
        <f t="shared" si="99"/>
        <v>0</v>
      </c>
      <c r="AF410" s="25">
        <f t="shared" si="99"/>
        <v>0</v>
      </c>
      <c r="AG410" s="25">
        <f t="shared" si="99"/>
        <v>0</v>
      </c>
      <c r="AH410" s="25">
        <f t="shared" si="99"/>
        <v>0</v>
      </c>
      <c r="AI410" s="26">
        <f t="shared" si="99"/>
        <v>0</v>
      </c>
      <c r="AJ410" s="114"/>
      <c r="AK410" s="114"/>
      <c r="AL410" s="115"/>
    </row>
    <row r="411" spans="1:38" ht="16" hidden="1" outlineLevel="1">
      <c r="A411" s="206" t="s">
        <v>737</v>
      </c>
      <c r="B411" s="416" t="s">
        <v>221</v>
      </c>
      <c r="C411" s="129"/>
      <c r="D411" s="130"/>
      <c r="E411" s="378" t="e">
        <f>IF((#REF!-C411)/(D411-C411)&lt;0,0,IF((#REF!-C411)/(D411-C411)&gt;100%,100%,(#REF!-C411)/(D411-C411)))</f>
        <v>#REF!</v>
      </c>
      <c r="F411" s="186"/>
      <c r="G411" s="187"/>
      <c r="H411" s="378" t="e">
        <f>IF((#REF!-F411)/(G411-F411)&lt;0,0,IF((#REF!-F411)/(G411-F411)&gt;100%,100%,(#REF!-F411)/(G411-F411)))</f>
        <v>#REF!</v>
      </c>
      <c r="I411" s="182" t="e">
        <f t="shared" si="93"/>
        <v>#REF!</v>
      </c>
      <c r="J411" s="25">
        <f t="shared" si="102"/>
        <v>0</v>
      </c>
      <c r="K411" s="26">
        <f t="shared" si="102"/>
        <v>0</v>
      </c>
      <c r="L411" s="25">
        <f t="shared" si="102"/>
        <v>0</v>
      </c>
      <c r="M411" s="25">
        <f t="shared" si="98"/>
        <v>0</v>
      </c>
      <c r="N411" s="25">
        <f t="shared" si="98"/>
        <v>0</v>
      </c>
      <c r="O411" s="25">
        <f t="shared" si="98"/>
        <v>0</v>
      </c>
      <c r="P411" s="25">
        <f t="shared" si="98"/>
        <v>0</v>
      </c>
      <c r="Q411" s="25">
        <f t="shared" si="98"/>
        <v>0</v>
      </c>
      <c r="R411" s="25">
        <f t="shared" si="98"/>
        <v>0</v>
      </c>
      <c r="S411" s="25">
        <f t="shared" si="98"/>
        <v>0</v>
      </c>
      <c r="T411" s="25">
        <f t="shared" si="98"/>
        <v>0</v>
      </c>
      <c r="U411" s="25">
        <f t="shared" si="98"/>
        <v>0</v>
      </c>
      <c r="V411" s="25">
        <f t="shared" si="98"/>
        <v>0</v>
      </c>
      <c r="W411" s="26">
        <f t="shared" si="98"/>
        <v>0</v>
      </c>
      <c r="X411" s="27">
        <f t="shared" si="98"/>
        <v>0</v>
      </c>
      <c r="Y411" s="25">
        <f t="shared" si="98"/>
        <v>0</v>
      </c>
      <c r="Z411" s="25">
        <f t="shared" si="98"/>
        <v>0</v>
      </c>
      <c r="AA411" s="25">
        <f t="shared" si="99"/>
        <v>0</v>
      </c>
      <c r="AB411" s="25">
        <f t="shared" si="99"/>
        <v>0</v>
      </c>
      <c r="AC411" s="25">
        <f t="shared" si="99"/>
        <v>0</v>
      </c>
      <c r="AD411" s="25">
        <f t="shared" si="99"/>
        <v>0</v>
      </c>
      <c r="AE411" s="25">
        <f t="shared" si="99"/>
        <v>0</v>
      </c>
      <c r="AF411" s="25">
        <f t="shared" si="99"/>
        <v>0</v>
      </c>
      <c r="AG411" s="25">
        <f t="shared" si="99"/>
        <v>0</v>
      </c>
      <c r="AH411" s="25">
        <f t="shared" si="99"/>
        <v>0</v>
      </c>
      <c r="AI411" s="26">
        <f t="shared" si="99"/>
        <v>0</v>
      </c>
      <c r="AJ411" s="114"/>
      <c r="AK411" s="114"/>
      <c r="AL411" s="115"/>
    </row>
    <row r="412" spans="1:38" ht="16" hidden="1" outlineLevel="1">
      <c r="A412" s="206" t="s">
        <v>738</v>
      </c>
      <c r="B412" s="416" t="s">
        <v>222</v>
      </c>
      <c r="C412" s="129"/>
      <c r="D412" s="130"/>
      <c r="E412" s="378" t="e">
        <f>IF((#REF!-C412)/(D412-C412)&lt;0,0,IF((#REF!-C412)/(D412-C412)&gt;100%,100%,(#REF!-C412)/(D412-C412)))</f>
        <v>#REF!</v>
      </c>
      <c r="F412" s="186"/>
      <c r="G412" s="187"/>
      <c r="H412" s="378" t="e">
        <f>IF((#REF!-F412)/(G412-F412)&lt;0,0,IF((#REF!-F412)/(G412-F412)&gt;100%,100%,(#REF!-F412)/(G412-F412)))</f>
        <v>#REF!</v>
      </c>
      <c r="I412" s="182" t="e">
        <f t="shared" si="93"/>
        <v>#REF!</v>
      </c>
      <c r="J412" s="25">
        <f t="shared" si="102"/>
        <v>0</v>
      </c>
      <c r="K412" s="26">
        <f t="shared" si="102"/>
        <v>0</v>
      </c>
      <c r="L412" s="25">
        <f t="shared" si="102"/>
        <v>0</v>
      </c>
      <c r="M412" s="25">
        <f t="shared" si="98"/>
        <v>0</v>
      </c>
      <c r="N412" s="25">
        <f t="shared" si="98"/>
        <v>0</v>
      </c>
      <c r="O412" s="25">
        <f t="shared" si="98"/>
        <v>0</v>
      </c>
      <c r="P412" s="25">
        <f t="shared" si="98"/>
        <v>0</v>
      </c>
      <c r="Q412" s="25">
        <f t="shared" si="98"/>
        <v>0</v>
      </c>
      <c r="R412" s="25">
        <f t="shared" si="98"/>
        <v>0</v>
      </c>
      <c r="S412" s="25">
        <f t="shared" si="98"/>
        <v>0</v>
      </c>
      <c r="T412" s="25">
        <f t="shared" si="98"/>
        <v>0</v>
      </c>
      <c r="U412" s="25">
        <f t="shared" si="98"/>
        <v>0</v>
      </c>
      <c r="V412" s="25">
        <f t="shared" si="98"/>
        <v>0</v>
      </c>
      <c r="W412" s="26">
        <f t="shared" si="98"/>
        <v>0</v>
      </c>
      <c r="X412" s="27">
        <f t="shared" si="98"/>
        <v>0</v>
      </c>
      <c r="Y412" s="25">
        <f t="shared" si="98"/>
        <v>0</v>
      </c>
      <c r="Z412" s="25">
        <f t="shared" si="98"/>
        <v>0</v>
      </c>
      <c r="AA412" s="25">
        <f t="shared" si="99"/>
        <v>0</v>
      </c>
      <c r="AB412" s="25">
        <f t="shared" si="99"/>
        <v>0</v>
      </c>
      <c r="AC412" s="25">
        <f t="shared" si="99"/>
        <v>0</v>
      </c>
      <c r="AD412" s="25">
        <f t="shared" si="99"/>
        <v>0</v>
      </c>
      <c r="AE412" s="25">
        <f t="shared" si="99"/>
        <v>0</v>
      </c>
      <c r="AF412" s="25">
        <f t="shared" si="99"/>
        <v>0</v>
      </c>
      <c r="AG412" s="25">
        <f t="shared" si="99"/>
        <v>0</v>
      </c>
      <c r="AH412" s="25">
        <f t="shared" si="99"/>
        <v>0</v>
      </c>
      <c r="AI412" s="26">
        <f t="shared" si="99"/>
        <v>0</v>
      </c>
      <c r="AJ412" s="114"/>
      <c r="AK412" s="114"/>
      <c r="AL412" s="115"/>
    </row>
    <row r="413" spans="1:38" ht="16" collapsed="1">
      <c r="A413" s="110" t="s">
        <v>722</v>
      </c>
      <c r="B413" s="411" t="s">
        <v>223</v>
      </c>
      <c r="C413" s="132"/>
      <c r="D413" s="133"/>
      <c r="E413" s="380" t="e">
        <f>IF((#REF!-C413)/(D413-C413)&lt;0,0,IF((#REF!-C413)/(D413-C413)&gt;100%,100%,(#REF!-C413)/(D413-C413)))</f>
        <v>#REF!</v>
      </c>
      <c r="F413" s="189"/>
      <c r="G413" s="190"/>
      <c r="H413" s="380" t="e">
        <f>IF((#REF!-F413)/(G413-F413)&lt;0,0,IF((#REF!-F413)/(G413-F413)&gt;100%,100%,(#REF!-F413)/(G413-F413)))</f>
        <v>#REF!</v>
      </c>
      <c r="I413" s="182" t="e">
        <f t="shared" si="93"/>
        <v>#REF!</v>
      </c>
      <c r="J413" s="25">
        <f t="shared" si="102"/>
        <v>0</v>
      </c>
      <c r="K413" s="26">
        <f t="shared" si="102"/>
        <v>0</v>
      </c>
      <c r="L413" s="25">
        <f t="shared" si="102"/>
        <v>0</v>
      </c>
      <c r="M413" s="25">
        <f t="shared" si="98"/>
        <v>0</v>
      </c>
      <c r="N413" s="25">
        <f t="shared" si="98"/>
        <v>0</v>
      </c>
      <c r="O413" s="25">
        <f t="shared" si="98"/>
        <v>0</v>
      </c>
      <c r="P413" s="25">
        <f t="shared" si="98"/>
        <v>0</v>
      </c>
      <c r="Q413" s="25">
        <f t="shared" si="98"/>
        <v>0</v>
      </c>
      <c r="R413" s="25">
        <f t="shared" si="98"/>
        <v>0</v>
      </c>
      <c r="S413" s="25">
        <f t="shared" si="98"/>
        <v>0</v>
      </c>
      <c r="T413" s="25">
        <f t="shared" si="98"/>
        <v>0</v>
      </c>
      <c r="U413" s="25">
        <f t="shared" si="98"/>
        <v>0</v>
      </c>
      <c r="V413" s="25">
        <f t="shared" si="98"/>
        <v>0</v>
      </c>
      <c r="W413" s="26">
        <f t="shared" si="98"/>
        <v>0</v>
      </c>
      <c r="X413" s="27">
        <f t="shared" si="98"/>
        <v>0</v>
      </c>
      <c r="Y413" s="25">
        <f t="shared" si="98"/>
        <v>0</v>
      </c>
      <c r="Z413" s="25">
        <f t="shared" si="98"/>
        <v>0</v>
      </c>
      <c r="AA413" s="25">
        <f t="shared" si="99"/>
        <v>0</v>
      </c>
      <c r="AB413" s="25">
        <f t="shared" si="99"/>
        <v>0</v>
      </c>
      <c r="AC413" s="25">
        <f t="shared" si="99"/>
        <v>0</v>
      </c>
      <c r="AD413" s="25">
        <f t="shared" si="99"/>
        <v>0</v>
      </c>
      <c r="AE413" s="25">
        <f t="shared" si="99"/>
        <v>0</v>
      </c>
      <c r="AF413" s="25">
        <f t="shared" si="99"/>
        <v>0</v>
      </c>
      <c r="AG413" s="25">
        <f t="shared" si="99"/>
        <v>0</v>
      </c>
      <c r="AH413" s="25">
        <f t="shared" si="99"/>
        <v>0</v>
      </c>
      <c r="AI413" s="26">
        <f t="shared" si="99"/>
        <v>0</v>
      </c>
      <c r="AJ413" s="111"/>
      <c r="AK413" s="111"/>
      <c r="AL413" s="112"/>
    </row>
    <row r="414" spans="1:38" ht="17" thickBot="1">
      <c r="A414" s="110" t="s">
        <v>723</v>
      </c>
      <c r="B414" s="411" t="s">
        <v>7</v>
      </c>
      <c r="C414" s="432"/>
      <c r="D414" s="433"/>
      <c r="E414" s="434" t="e">
        <f>IF((#REF!-C414)/(D414-C414)&lt;0,0,IF((#REF!-C414)/(D414-C414)&gt;100%,100%,(#REF!-C414)/(D414-C414)))</f>
        <v>#REF!</v>
      </c>
      <c r="F414" s="435"/>
      <c r="G414" s="436"/>
      <c r="H414" s="434" t="e">
        <f>IF((#REF!-F414)/(G414-F414)&lt;0,0,IF((#REF!-F414)/(G414-F414)&gt;100%,100%,(#REF!-F414)/(G414-F414)))</f>
        <v>#REF!</v>
      </c>
      <c r="I414" s="182" t="e">
        <f t="shared" si="93"/>
        <v>#REF!</v>
      </c>
      <c r="J414" s="25">
        <f t="shared" si="102"/>
        <v>0</v>
      </c>
      <c r="K414" s="26">
        <f t="shared" si="102"/>
        <v>0</v>
      </c>
      <c r="L414" s="25">
        <f t="shared" si="102"/>
        <v>0</v>
      </c>
      <c r="M414" s="25">
        <f t="shared" si="98"/>
        <v>0</v>
      </c>
      <c r="N414" s="25">
        <f t="shared" si="98"/>
        <v>0</v>
      </c>
      <c r="O414" s="25">
        <f t="shared" si="98"/>
        <v>0</v>
      </c>
      <c r="P414" s="25">
        <f t="shared" si="98"/>
        <v>0</v>
      </c>
      <c r="Q414" s="25">
        <f t="shared" si="98"/>
        <v>0</v>
      </c>
      <c r="R414" s="25">
        <f t="shared" si="98"/>
        <v>0</v>
      </c>
      <c r="S414" s="25">
        <f t="shared" si="98"/>
        <v>0</v>
      </c>
      <c r="T414" s="25">
        <f t="shared" si="98"/>
        <v>0</v>
      </c>
      <c r="U414" s="25">
        <f t="shared" si="98"/>
        <v>0</v>
      </c>
      <c r="V414" s="25">
        <f t="shared" si="98"/>
        <v>0</v>
      </c>
      <c r="W414" s="26">
        <f t="shared" si="98"/>
        <v>0</v>
      </c>
      <c r="X414" s="27">
        <f t="shared" si="98"/>
        <v>0</v>
      </c>
      <c r="Y414" s="25">
        <f t="shared" si="98"/>
        <v>0</v>
      </c>
      <c r="Z414" s="25">
        <f t="shared" si="98"/>
        <v>0</v>
      </c>
      <c r="AA414" s="25">
        <f t="shared" si="99"/>
        <v>0</v>
      </c>
      <c r="AB414" s="25">
        <f t="shared" si="99"/>
        <v>0</v>
      </c>
      <c r="AC414" s="25">
        <f t="shared" si="99"/>
        <v>0</v>
      </c>
      <c r="AD414" s="25">
        <f t="shared" si="99"/>
        <v>0</v>
      </c>
      <c r="AE414" s="25">
        <f t="shared" si="99"/>
        <v>0</v>
      </c>
      <c r="AF414" s="25">
        <f t="shared" si="99"/>
        <v>0</v>
      </c>
      <c r="AG414" s="25">
        <f t="shared" si="99"/>
        <v>0</v>
      </c>
      <c r="AH414" s="25">
        <f t="shared" si="99"/>
        <v>0</v>
      </c>
      <c r="AI414" s="26">
        <f t="shared" si="99"/>
        <v>0</v>
      </c>
      <c r="AJ414" s="111"/>
      <c r="AK414" s="111"/>
      <c r="AL414" s="112"/>
    </row>
    <row r="415" spans="1:38">
      <c r="F415" s="167"/>
      <c r="G415" s="167"/>
      <c r="I415" s="167"/>
    </row>
    <row r="416" spans="1:38">
      <c r="F416" s="167"/>
      <c r="G416" s="167"/>
      <c r="I416" s="167"/>
    </row>
    <row r="417" spans="6:9">
      <c r="F417" s="167"/>
      <c r="G417" s="167"/>
      <c r="I417" s="167"/>
    </row>
    <row r="418" spans="6:9">
      <c r="F418" s="167"/>
      <c r="G418" s="167"/>
      <c r="I418" s="167"/>
    </row>
    <row r="419" spans="6:9">
      <c r="F419" s="167"/>
      <c r="G419" s="167"/>
      <c r="I419" s="167"/>
    </row>
    <row r="420" spans="6:9">
      <c r="F420" s="167"/>
      <c r="G420" s="167"/>
      <c r="I420" s="167"/>
    </row>
    <row r="421" spans="6:9">
      <c r="F421" s="167"/>
      <c r="G421" s="167"/>
      <c r="I421" s="167"/>
    </row>
    <row r="422" spans="6:9">
      <c r="F422" s="167"/>
      <c r="G422" s="167"/>
      <c r="I422" s="167"/>
    </row>
    <row r="423" spans="6:9">
      <c r="F423" s="167"/>
      <c r="G423" s="167"/>
      <c r="I423" s="167"/>
    </row>
    <row r="424" spans="6:9">
      <c r="F424" s="167"/>
      <c r="G424" s="167"/>
      <c r="I424" s="167"/>
    </row>
    <row r="425" spans="6:9">
      <c r="F425" s="167"/>
      <c r="G425" s="167"/>
      <c r="I425" s="167"/>
    </row>
    <row r="426" spans="6:9">
      <c r="F426" s="167"/>
      <c r="G426" s="167"/>
      <c r="I426" s="167"/>
    </row>
    <row r="427" spans="6:9">
      <c r="F427" s="167"/>
      <c r="G427" s="167"/>
      <c r="I427" s="167"/>
    </row>
    <row r="428" spans="6:9">
      <c r="F428" s="167"/>
      <c r="G428" s="167"/>
      <c r="I428" s="167"/>
    </row>
    <row r="429" spans="6:9">
      <c r="F429" s="167"/>
      <c r="G429" s="167"/>
      <c r="I429" s="167"/>
    </row>
    <row r="430" spans="6:9">
      <c r="F430" s="167"/>
      <c r="G430" s="167"/>
      <c r="I430" s="167"/>
    </row>
    <row r="431" spans="6:9">
      <c r="F431" s="167"/>
      <c r="G431" s="167"/>
      <c r="I431" s="167"/>
    </row>
    <row r="432" spans="6:9">
      <c r="F432" s="167"/>
      <c r="G432" s="167"/>
      <c r="I432" s="167"/>
    </row>
    <row r="433" spans="6:9">
      <c r="F433" s="167"/>
      <c r="G433" s="167"/>
      <c r="I433" s="167"/>
    </row>
    <row r="434" spans="6:9">
      <c r="F434" s="167"/>
      <c r="G434" s="167"/>
      <c r="I434" s="167"/>
    </row>
    <row r="435" spans="6:9">
      <c r="F435" s="167"/>
      <c r="G435" s="167"/>
      <c r="I435" s="167"/>
    </row>
    <row r="436" spans="6:9">
      <c r="F436" s="167"/>
      <c r="G436" s="167"/>
      <c r="I436" s="167"/>
    </row>
    <row r="437" spans="6:9">
      <c r="F437" s="167"/>
      <c r="G437" s="167"/>
      <c r="I437" s="167"/>
    </row>
    <row r="438" spans="6:9">
      <c r="F438" s="167"/>
      <c r="G438" s="167"/>
      <c r="I438" s="167"/>
    </row>
    <row r="439" spans="6:9">
      <c r="F439" s="167"/>
      <c r="G439" s="167"/>
      <c r="I439" s="167"/>
    </row>
    <row r="440" spans="6:9">
      <c r="F440" s="167"/>
      <c r="G440" s="167"/>
      <c r="I440" s="167"/>
    </row>
    <row r="441" spans="6:9">
      <c r="F441" s="167"/>
      <c r="G441" s="167"/>
      <c r="I441" s="167"/>
    </row>
    <row r="442" spans="6:9">
      <c r="F442" s="167"/>
      <c r="G442" s="167"/>
      <c r="I442" s="167"/>
    </row>
    <row r="443" spans="6:9">
      <c r="F443" s="167"/>
      <c r="G443" s="167"/>
      <c r="I443" s="167"/>
    </row>
    <row r="444" spans="6:9">
      <c r="F444" s="167"/>
      <c r="G444" s="167"/>
      <c r="I444" s="167"/>
    </row>
    <row r="445" spans="6:9">
      <c r="F445" s="167"/>
      <c r="G445" s="167"/>
      <c r="I445" s="167"/>
    </row>
    <row r="446" spans="6:9">
      <c r="F446" s="167"/>
      <c r="G446" s="167"/>
      <c r="I446" s="167"/>
    </row>
    <row r="447" spans="6:9">
      <c r="F447" s="167"/>
      <c r="G447" s="167"/>
      <c r="I447" s="167"/>
    </row>
    <row r="448" spans="6:9">
      <c r="F448" s="167"/>
      <c r="G448" s="167"/>
      <c r="I448" s="167"/>
    </row>
    <row r="449" spans="6:9">
      <c r="F449" s="167"/>
      <c r="G449" s="167"/>
      <c r="I449" s="167"/>
    </row>
    <row r="450" spans="6:9">
      <c r="F450" s="167"/>
      <c r="G450" s="167"/>
      <c r="I450" s="167"/>
    </row>
    <row r="451" spans="6:9">
      <c r="F451" s="167"/>
      <c r="G451" s="167"/>
      <c r="I451" s="167"/>
    </row>
    <row r="452" spans="6:9">
      <c r="F452" s="167"/>
      <c r="G452" s="167"/>
      <c r="I452" s="167"/>
    </row>
    <row r="453" spans="6:9">
      <c r="F453" s="167"/>
      <c r="G453" s="167"/>
      <c r="I453" s="167"/>
    </row>
    <row r="454" spans="6:9">
      <c r="F454" s="167"/>
      <c r="G454" s="167"/>
      <c r="I454" s="167"/>
    </row>
    <row r="455" spans="6:9">
      <c r="F455" s="167"/>
      <c r="G455" s="167"/>
      <c r="I455" s="167"/>
    </row>
    <row r="456" spans="6:9">
      <c r="F456" s="167"/>
      <c r="G456" s="167"/>
      <c r="I456" s="167"/>
    </row>
    <row r="457" spans="6:9">
      <c r="F457" s="167"/>
      <c r="G457" s="167"/>
      <c r="I457" s="167"/>
    </row>
    <row r="458" spans="6:9">
      <c r="F458" s="167"/>
      <c r="G458" s="167"/>
      <c r="I458" s="167"/>
    </row>
    <row r="459" spans="6:9">
      <c r="F459" s="167"/>
      <c r="G459" s="167"/>
      <c r="I459" s="167"/>
    </row>
    <row r="460" spans="6:9">
      <c r="F460" s="167"/>
      <c r="G460" s="167"/>
      <c r="I460" s="167"/>
    </row>
    <row r="461" spans="6:9">
      <c r="F461" s="167"/>
      <c r="G461" s="167"/>
      <c r="I461" s="167"/>
    </row>
    <row r="462" spans="6:9">
      <c r="F462" s="167"/>
      <c r="G462" s="167"/>
      <c r="I462" s="167"/>
    </row>
    <row r="463" spans="6:9">
      <c r="F463" s="167"/>
      <c r="G463" s="167"/>
      <c r="I463" s="167"/>
    </row>
    <row r="464" spans="6:9">
      <c r="F464" s="167"/>
      <c r="G464" s="167"/>
      <c r="I464" s="167"/>
    </row>
    <row r="465" spans="6:9">
      <c r="F465" s="167"/>
      <c r="G465" s="167"/>
      <c r="I465" s="167"/>
    </row>
    <row r="466" spans="6:9">
      <c r="F466" s="167"/>
      <c r="G466" s="167"/>
      <c r="I466" s="167"/>
    </row>
    <row r="467" spans="6:9">
      <c r="F467" s="167"/>
      <c r="G467" s="167"/>
      <c r="I467" s="167"/>
    </row>
    <row r="468" spans="6:9">
      <c r="F468" s="167"/>
      <c r="G468" s="167"/>
      <c r="I468" s="167"/>
    </row>
    <row r="469" spans="6:9">
      <c r="F469" s="167"/>
      <c r="G469" s="167"/>
      <c r="I469" s="167"/>
    </row>
    <row r="470" spans="6:9">
      <c r="F470" s="167"/>
      <c r="G470" s="167"/>
      <c r="I470" s="167"/>
    </row>
    <row r="471" spans="6:9">
      <c r="F471" s="167"/>
      <c r="G471" s="167"/>
      <c r="I471" s="167"/>
    </row>
    <row r="472" spans="6:9">
      <c r="F472" s="167"/>
      <c r="G472" s="167"/>
      <c r="I472" s="167"/>
    </row>
    <row r="473" spans="6:9">
      <c r="F473" s="167"/>
      <c r="G473" s="167"/>
      <c r="I473" s="167"/>
    </row>
    <row r="474" spans="6:9">
      <c r="F474" s="167"/>
      <c r="G474" s="167"/>
      <c r="I474" s="167"/>
    </row>
    <row r="475" spans="6:9">
      <c r="F475" s="167"/>
      <c r="G475" s="167"/>
      <c r="I475" s="167"/>
    </row>
    <row r="476" spans="6:9">
      <c r="F476" s="167"/>
      <c r="G476" s="167"/>
      <c r="I476" s="167"/>
    </row>
    <row r="477" spans="6:9">
      <c r="F477" s="167"/>
      <c r="G477" s="167"/>
      <c r="I477" s="167"/>
    </row>
    <row r="478" spans="6:9">
      <c r="F478" s="167"/>
      <c r="G478" s="167"/>
      <c r="I478" s="167"/>
    </row>
    <row r="479" spans="6:9">
      <c r="F479" s="167"/>
      <c r="G479" s="167"/>
      <c r="I479" s="167"/>
    </row>
    <row r="480" spans="6:9">
      <c r="F480" s="167"/>
      <c r="G480" s="167"/>
      <c r="I480" s="167"/>
    </row>
    <row r="481" spans="6:9">
      <c r="F481" s="167"/>
      <c r="G481" s="167"/>
      <c r="I481" s="167"/>
    </row>
    <row r="482" spans="6:9">
      <c r="F482" s="167"/>
      <c r="G482" s="167"/>
      <c r="I482" s="167"/>
    </row>
    <row r="483" spans="6:9">
      <c r="F483" s="167"/>
      <c r="G483" s="167"/>
      <c r="I483" s="167"/>
    </row>
    <row r="484" spans="6:9">
      <c r="F484" s="167"/>
      <c r="G484" s="167"/>
      <c r="I484" s="167"/>
    </row>
    <row r="485" spans="6:9">
      <c r="F485" s="167"/>
      <c r="G485" s="167"/>
      <c r="I485" s="167"/>
    </row>
    <row r="486" spans="6:9">
      <c r="F486" s="167"/>
      <c r="G486" s="167"/>
      <c r="I486" s="167"/>
    </row>
    <row r="487" spans="6:9">
      <c r="F487" s="167"/>
      <c r="G487" s="167"/>
      <c r="I487" s="167"/>
    </row>
    <row r="488" spans="6:9">
      <c r="F488" s="167"/>
      <c r="G488" s="167"/>
      <c r="I488" s="167"/>
    </row>
    <row r="489" spans="6:9">
      <c r="F489" s="167"/>
      <c r="G489" s="167"/>
      <c r="I489" s="167"/>
    </row>
    <row r="490" spans="6:9">
      <c r="F490" s="167"/>
      <c r="G490" s="167"/>
      <c r="I490" s="167"/>
    </row>
    <row r="491" spans="6:9">
      <c r="F491" s="167"/>
      <c r="G491" s="167"/>
      <c r="I491" s="167"/>
    </row>
    <row r="492" spans="6:9">
      <c r="F492" s="167"/>
      <c r="G492" s="167"/>
      <c r="I492" s="167"/>
    </row>
    <row r="493" spans="6:9">
      <c r="F493" s="167"/>
      <c r="G493" s="167"/>
      <c r="I493" s="167"/>
    </row>
    <row r="494" spans="6:9">
      <c r="F494" s="167"/>
      <c r="G494" s="167"/>
      <c r="I494" s="167"/>
    </row>
    <row r="495" spans="6:9">
      <c r="F495" s="167"/>
      <c r="G495" s="167"/>
      <c r="I495" s="167"/>
    </row>
    <row r="496" spans="6:9">
      <c r="F496" s="167"/>
      <c r="G496" s="167"/>
      <c r="I496" s="167"/>
    </row>
    <row r="497" spans="6:9">
      <c r="F497" s="167"/>
      <c r="G497" s="167"/>
      <c r="I497" s="167"/>
    </row>
    <row r="498" spans="6:9">
      <c r="F498" s="167"/>
      <c r="G498" s="167"/>
      <c r="I498" s="167"/>
    </row>
    <row r="499" spans="6:9">
      <c r="F499" s="167"/>
      <c r="G499" s="167"/>
      <c r="I499" s="167"/>
    </row>
    <row r="500" spans="6:9">
      <c r="F500" s="167"/>
      <c r="G500" s="167"/>
      <c r="I500" s="167"/>
    </row>
    <row r="501" spans="6:9">
      <c r="F501" s="167"/>
      <c r="G501" s="167"/>
      <c r="I501" s="167"/>
    </row>
    <row r="502" spans="6:9">
      <c r="F502" s="167"/>
      <c r="G502" s="167"/>
      <c r="I502" s="167"/>
    </row>
    <row r="503" spans="6:9">
      <c r="F503" s="167"/>
      <c r="G503" s="167"/>
      <c r="I503" s="167"/>
    </row>
    <row r="504" spans="6:9">
      <c r="F504" s="167"/>
      <c r="G504" s="167"/>
      <c r="I504" s="167"/>
    </row>
    <row r="505" spans="6:9">
      <c r="F505" s="167"/>
      <c r="G505" s="167"/>
      <c r="I505" s="167"/>
    </row>
    <row r="506" spans="6:9">
      <c r="F506" s="167"/>
      <c r="G506" s="167"/>
      <c r="I506" s="167"/>
    </row>
    <row r="507" spans="6:9">
      <c r="F507" s="167"/>
      <c r="G507" s="167"/>
      <c r="I507" s="167"/>
    </row>
    <row r="508" spans="6:9">
      <c r="F508" s="167"/>
      <c r="G508" s="167"/>
      <c r="I508" s="167"/>
    </row>
    <row r="509" spans="6:9">
      <c r="F509" s="167"/>
      <c r="G509" s="167"/>
      <c r="I509" s="167"/>
    </row>
    <row r="510" spans="6:9">
      <c r="F510" s="167"/>
      <c r="G510" s="167"/>
      <c r="I510" s="167"/>
    </row>
    <row r="511" spans="6:9">
      <c r="F511" s="167"/>
      <c r="G511" s="167"/>
      <c r="I511" s="167"/>
    </row>
    <row r="512" spans="6:9">
      <c r="F512" s="167"/>
      <c r="G512" s="167"/>
      <c r="I512" s="167"/>
    </row>
    <row r="513" spans="6:9">
      <c r="F513" s="167"/>
      <c r="G513" s="167"/>
      <c r="I513" s="167"/>
    </row>
    <row r="514" spans="6:9">
      <c r="F514" s="167"/>
      <c r="G514" s="167"/>
      <c r="I514" s="167"/>
    </row>
    <row r="515" spans="6:9">
      <c r="F515" s="167"/>
      <c r="G515" s="167"/>
      <c r="I515" s="167"/>
    </row>
    <row r="516" spans="6:9">
      <c r="F516" s="167"/>
      <c r="G516" s="167"/>
      <c r="I516" s="167"/>
    </row>
    <row r="517" spans="6:9">
      <c r="F517" s="167"/>
      <c r="G517" s="167"/>
      <c r="I517" s="167"/>
    </row>
    <row r="518" spans="6:9">
      <c r="F518" s="167"/>
      <c r="G518" s="167"/>
      <c r="I518" s="167"/>
    </row>
    <row r="519" spans="6:9">
      <c r="F519" s="167"/>
      <c r="G519" s="167"/>
      <c r="I519" s="167"/>
    </row>
    <row r="520" spans="6:9">
      <c r="F520" s="167"/>
      <c r="G520" s="167"/>
      <c r="I520" s="167"/>
    </row>
    <row r="521" spans="6:9">
      <c r="F521" s="167"/>
      <c r="G521" s="167"/>
      <c r="I521" s="167"/>
    </row>
  </sheetData>
  <mergeCells count="12">
    <mergeCell ref="AL1:AL3"/>
    <mergeCell ref="C2:E2"/>
    <mergeCell ref="F2:H2"/>
    <mergeCell ref="I2:I3"/>
    <mergeCell ref="C1:AI1"/>
    <mergeCell ref="L2:W2"/>
    <mergeCell ref="X2:AI2"/>
    <mergeCell ref="A187:A197"/>
    <mergeCell ref="B1:B3"/>
    <mergeCell ref="A182:A184"/>
    <mergeCell ref="AJ1:AJ3"/>
    <mergeCell ref="AK1:AK3"/>
  </mergeCells>
  <phoneticPr fontId="12" type="noConversion"/>
  <conditionalFormatting sqref="I5">
    <cfRule type="cellIs" dxfId="725" priority="424" stopIfTrue="1" operator="lessThan">
      <formula>-1</formula>
    </cfRule>
    <cfRule type="cellIs" dxfId="724" priority="425" stopIfTrue="1" operator="greaterThan">
      <formula>1</formula>
    </cfRule>
  </conditionalFormatting>
  <conditionalFormatting sqref="I6">
    <cfRule type="cellIs" dxfId="723" priority="4272" operator="greaterThan">
      <formula>0</formula>
    </cfRule>
    <cfRule type="cellIs" dxfId="722" priority="4273" operator="lessThan">
      <formula>0</formula>
    </cfRule>
  </conditionalFormatting>
  <conditionalFormatting sqref="I7:I414">
    <cfRule type="expression" dxfId="721" priority="1">
      <formula>$I7&gt;0</formula>
    </cfRule>
    <cfRule type="expression" dxfId="720" priority="2">
      <formula>$I7&lt;0</formula>
    </cfRule>
    <cfRule type="expression" dxfId="719" priority="3">
      <formula>I7&lt;0</formula>
    </cfRule>
    <cfRule type="expression" dxfId="718" priority="4">
      <formula>I7&lt;0</formula>
    </cfRule>
    <cfRule type="expression" dxfId="717" priority="5">
      <formula>I7&gt;0</formula>
    </cfRule>
    <cfRule type="expression" dxfId="716" priority="6">
      <formula>$I7&lt;0</formula>
    </cfRule>
    <cfRule type="expression" dxfId="715" priority="7">
      <formula>$I7&gt;0</formula>
    </cfRule>
    <cfRule type="expression" dxfId="714" priority="8">
      <formula>I7&lt;0</formula>
    </cfRule>
    <cfRule type="expression" dxfId="713" priority="9">
      <formula>$G7&gt;0</formula>
    </cfRule>
    <cfRule type="expression" dxfId="712" priority="10">
      <formula>"""=$H&gt;0"</formula>
    </cfRule>
    <cfRule type="expression" dxfId="711" priority="11">
      <formula>$G7&lt;0</formula>
    </cfRule>
    <cfRule type="expression" dxfId="710" priority="12">
      <formula>"$H8&lt;0"</formula>
    </cfRule>
  </conditionalFormatting>
  <conditionalFormatting sqref="J7:K8 M7:O8 L8 J9:O182 J183:K201 L183:O216 X184:AE185 X187:AE193 X195:AE196 X197 AI197 J203:K216 X210:AI210 J231:O250">
    <cfRule type="cellIs" dxfId="709" priority="4260" stopIfTrue="1" operator="greaterThan">
      <formula>0</formula>
    </cfRule>
    <cfRule type="cellIs" dxfId="708" priority="4261" stopIfTrue="1" operator="greaterThan">
      <formula>0</formula>
    </cfRule>
    <cfRule type="cellIs" dxfId="707" priority="4262" stopIfTrue="1" operator="greaterThan">
      <formula>0</formula>
    </cfRule>
  </conditionalFormatting>
  <conditionalFormatting sqref="J7:K96 J9:AI414 J5:AI5">
    <cfRule type="cellIs" dxfId="706" priority="4263" stopIfTrue="1" operator="equal">
      <formula>0</formula>
    </cfRule>
  </conditionalFormatting>
  <conditionalFormatting sqref="J7:K96 J11:AI414 M7:O8 P9:AI10 J5:AI5 J9:O182 L8">
    <cfRule type="cellIs" dxfId="705" priority="4259" stopIfTrue="1" operator="equal">
      <formula>0</formula>
    </cfRule>
  </conditionalFormatting>
  <conditionalFormatting sqref="J159:K167">
    <cfRule type="cellIs" dxfId="704" priority="119" stopIfTrue="1" operator="equal">
      <formula>0</formula>
    </cfRule>
  </conditionalFormatting>
  <conditionalFormatting sqref="J167:K167">
    <cfRule type="cellIs" dxfId="703" priority="461" stopIfTrue="1" operator="equal">
      <formula>0</formula>
    </cfRule>
    <cfRule type="cellIs" dxfId="702" priority="462" stopIfTrue="1" operator="greaterThan">
      <formula>0</formula>
    </cfRule>
    <cfRule type="cellIs" dxfId="701" priority="463" stopIfTrue="1" operator="greaterThan">
      <formula>0</formula>
    </cfRule>
    <cfRule type="cellIs" dxfId="700" priority="464" stopIfTrue="1" operator="greaterThan">
      <formula>0</formula>
    </cfRule>
    <cfRule type="cellIs" dxfId="699" priority="465" stopIfTrue="1" operator="equal">
      <formula>0</formula>
    </cfRule>
  </conditionalFormatting>
  <conditionalFormatting sqref="J198:K198">
    <cfRule type="cellIs" dxfId="698" priority="215" stopIfTrue="1" operator="equal">
      <formula>0</formula>
    </cfRule>
  </conditionalFormatting>
  <conditionalFormatting sqref="J199:K199">
    <cfRule type="cellIs" dxfId="697" priority="2999" stopIfTrue="1" operator="equal">
      <formula>0</formula>
    </cfRule>
  </conditionalFormatting>
  <conditionalFormatting sqref="J200:K200 X200:AI202">
    <cfRule type="cellIs" dxfId="696" priority="152" operator="greaterThan">
      <formula>0</formula>
    </cfRule>
    <cfRule type="cellIs" dxfId="695" priority="153" operator="equal">
      <formula>0</formula>
    </cfRule>
  </conditionalFormatting>
  <conditionalFormatting sqref="J200:K200">
    <cfRule type="cellIs" dxfId="694" priority="183" stopIfTrue="1" operator="equal">
      <formula>0</formula>
    </cfRule>
  </conditionalFormatting>
  <conditionalFormatting sqref="J201:K201">
    <cfRule type="cellIs" dxfId="693" priority="2903" stopIfTrue="1" operator="equal">
      <formula>0</formula>
    </cfRule>
  </conditionalFormatting>
  <conditionalFormatting sqref="J202:K202">
    <cfRule type="cellIs" dxfId="692" priority="415" stopIfTrue="1" operator="equal">
      <formula>0</formula>
    </cfRule>
    <cfRule type="cellIs" dxfId="691" priority="419" stopIfTrue="1" operator="equal">
      <formula>0</formula>
    </cfRule>
    <cfRule type="cellIs" dxfId="690" priority="420" stopIfTrue="1" operator="greaterThan">
      <formula>0</formula>
    </cfRule>
    <cfRule type="cellIs" dxfId="689" priority="421" stopIfTrue="1" operator="greaterThan">
      <formula>0</formula>
    </cfRule>
    <cfRule type="cellIs" dxfId="688" priority="422" stopIfTrue="1" operator="greaterThan">
      <formula>0</formula>
    </cfRule>
    <cfRule type="cellIs" dxfId="687" priority="423" stopIfTrue="1" operator="equal">
      <formula>0</formula>
    </cfRule>
  </conditionalFormatting>
  <conditionalFormatting sqref="J203:K203">
    <cfRule type="cellIs" dxfId="686" priority="2855" stopIfTrue="1" operator="equal">
      <formula>0</formula>
    </cfRule>
  </conditionalFormatting>
  <conditionalFormatting sqref="J212:K216">
    <cfRule type="cellIs" dxfId="685" priority="3047" stopIfTrue="1" operator="equal">
      <formula>0</formula>
    </cfRule>
  </conditionalFormatting>
  <conditionalFormatting sqref="J7:L7 J7:K8">
    <cfRule type="cellIs" dxfId="684" priority="4258" stopIfTrue="1" operator="equal">
      <formula>0</formula>
    </cfRule>
  </conditionalFormatting>
  <conditionalFormatting sqref="J7:W8">
    <cfRule type="cellIs" dxfId="683" priority="59" operator="greaterThan">
      <formula>0</formula>
    </cfRule>
    <cfRule type="cellIs" dxfId="682" priority="60" operator="equal">
      <formula>0</formula>
    </cfRule>
  </conditionalFormatting>
  <conditionalFormatting sqref="J5:AI5 P7:W8 J7:K96 X8:AI8 P9:AI10 J11:AI414">
    <cfRule type="cellIs" dxfId="681" priority="537" stopIfTrue="1" operator="greaterThan">
      <formula>0</formula>
    </cfRule>
    <cfRule type="cellIs" dxfId="680" priority="538" stopIfTrue="1" operator="greaterThan">
      <formula>0</formula>
    </cfRule>
  </conditionalFormatting>
  <conditionalFormatting sqref="J5:AI5">
    <cfRule type="cellIs" dxfId="679" priority="144" operator="greaterThan">
      <formula>0</formula>
    </cfRule>
    <cfRule type="cellIs" dxfId="678" priority="145" operator="equal">
      <formula>0</formula>
    </cfRule>
  </conditionalFormatting>
  <conditionalFormatting sqref="J7:AI7">
    <cfRule type="cellIs" dxfId="677" priority="4216" operator="greaterThan">
      <formula>0</formula>
    </cfRule>
    <cfRule type="cellIs" dxfId="676" priority="4217" operator="equal">
      <formula>0</formula>
    </cfRule>
  </conditionalFormatting>
  <conditionalFormatting sqref="J9:AI414 X8:AI230">
    <cfRule type="cellIs" dxfId="675" priority="184" operator="greaterThan">
      <formula>0</formula>
    </cfRule>
    <cfRule type="cellIs" dxfId="674" priority="185" operator="equal">
      <formula>0</formula>
    </cfRule>
  </conditionalFormatting>
  <conditionalFormatting sqref="L7">
    <cfRule type="cellIs" dxfId="673" priority="61" stopIfTrue="1" operator="equal">
      <formula>0</formula>
    </cfRule>
    <cfRule type="cellIs" dxfId="672" priority="62" stopIfTrue="1" operator="equal">
      <formula>0</formula>
    </cfRule>
    <cfRule type="cellIs" dxfId="671" priority="63" stopIfTrue="1" operator="greaterThan">
      <formula>0</formula>
    </cfRule>
    <cfRule type="cellIs" dxfId="670" priority="64" stopIfTrue="1" operator="greaterThan">
      <formula>0</formula>
    </cfRule>
    <cfRule type="cellIs" dxfId="669" priority="65" stopIfTrue="1" operator="greaterThan">
      <formula>0</formula>
    </cfRule>
    <cfRule type="cellIs" dxfId="668" priority="66" stopIfTrue="1" operator="equal">
      <formula>0</formula>
    </cfRule>
    <cfRule type="cellIs" dxfId="667" priority="67" stopIfTrue="1" operator="equal">
      <formula>0</formula>
    </cfRule>
    <cfRule type="cellIs" dxfId="666" priority="68" stopIfTrue="1" operator="greaterThan">
      <formula>0</formula>
    </cfRule>
    <cfRule type="cellIs" dxfId="665" priority="69" stopIfTrue="1" operator="greaterThan">
      <formula>0</formula>
    </cfRule>
    <cfRule type="cellIs" dxfId="664" priority="70" stopIfTrue="1" operator="greaterThan">
      <formula>0</formula>
    </cfRule>
  </conditionalFormatting>
  <conditionalFormatting sqref="L7:L8">
    <cfRule type="cellIs" dxfId="663" priority="71" stopIfTrue="1" operator="equal">
      <formula>0</formula>
    </cfRule>
  </conditionalFormatting>
  <conditionalFormatting sqref="M7:W8">
    <cfRule type="cellIs" dxfId="662" priority="4247" stopIfTrue="1" operator="equal">
      <formula>0</formula>
    </cfRule>
  </conditionalFormatting>
  <conditionalFormatting sqref="P7:W7 AF231:AI250">
    <cfRule type="cellIs" dxfId="661" priority="4243" stopIfTrue="1" operator="equal">
      <formula>0</formula>
    </cfRule>
    <cfRule type="cellIs" dxfId="660" priority="4244" stopIfTrue="1" operator="greaterThan">
      <formula>0</formula>
    </cfRule>
    <cfRule type="cellIs" dxfId="659" priority="4245" stopIfTrue="1" operator="greaterThan">
      <formula>0</formula>
    </cfRule>
    <cfRule type="cellIs" dxfId="658" priority="4246" stopIfTrue="1" operator="greaterThan">
      <formula>0</formula>
    </cfRule>
  </conditionalFormatting>
  <conditionalFormatting sqref="P7:W8 X8:AI8 J11:AI414 J7:K226 P9:AI10 J5:AI5">
    <cfRule type="cellIs" dxfId="657" priority="536" stopIfTrue="1" operator="greaterThan">
      <formula>0</formula>
    </cfRule>
  </conditionalFormatting>
  <conditionalFormatting sqref="P7:AE7">
    <cfRule type="cellIs" dxfId="656" priority="4239" stopIfTrue="1" operator="equal">
      <formula>0</formula>
    </cfRule>
  </conditionalFormatting>
  <conditionalFormatting sqref="X158:Z158 AB158:AE158">
    <cfRule type="cellIs" dxfId="655" priority="4043" stopIfTrue="1" operator="equal">
      <formula>0</formula>
    </cfRule>
    <cfRule type="cellIs" dxfId="654" priority="4044" stopIfTrue="1" operator="greaterThan">
      <formula>0</formula>
    </cfRule>
    <cfRule type="cellIs" dxfId="653" priority="4045" stopIfTrue="1" operator="greaterThan">
      <formula>0</formula>
    </cfRule>
    <cfRule type="cellIs" dxfId="652" priority="4046" stopIfTrue="1" operator="greaterThan">
      <formula>0</formula>
    </cfRule>
    <cfRule type="cellIs" dxfId="651" priority="4047" stopIfTrue="1" operator="equal">
      <formula>0</formula>
    </cfRule>
  </conditionalFormatting>
  <conditionalFormatting sqref="X158:Z158">
    <cfRule type="cellIs" dxfId="650" priority="4040" operator="greaterThan">
      <formula>0</formula>
    </cfRule>
    <cfRule type="cellIs" dxfId="649" priority="4041" operator="equal">
      <formula>0</formula>
    </cfRule>
    <cfRule type="cellIs" dxfId="648" priority="4042" stopIfTrue="1" operator="equal">
      <formula>0</formula>
    </cfRule>
  </conditionalFormatting>
  <conditionalFormatting sqref="X174:AB174 AD174:AE174">
    <cfRule type="cellIs" dxfId="647" priority="3611" stopIfTrue="1" operator="equal">
      <formula>0</formula>
    </cfRule>
    <cfRule type="cellIs" dxfId="646" priority="3612" stopIfTrue="1" operator="greaterThan">
      <formula>0</formula>
    </cfRule>
    <cfRule type="cellIs" dxfId="645" priority="3613" stopIfTrue="1" operator="greaterThan">
      <formula>0</formula>
    </cfRule>
    <cfRule type="cellIs" dxfId="644" priority="3614" stopIfTrue="1" operator="greaterThan">
      <formula>0</formula>
    </cfRule>
    <cfRule type="cellIs" dxfId="643" priority="3615" stopIfTrue="1" operator="equal">
      <formula>0</formula>
    </cfRule>
  </conditionalFormatting>
  <conditionalFormatting sqref="X174:AB174">
    <cfRule type="cellIs" dxfId="642" priority="3608" operator="greaterThan">
      <formula>0</formula>
    </cfRule>
    <cfRule type="cellIs" dxfId="641" priority="3609" operator="equal">
      <formula>0</formula>
    </cfRule>
    <cfRule type="cellIs" dxfId="640" priority="3610" stopIfTrue="1" operator="equal">
      <formula>0</formula>
    </cfRule>
  </conditionalFormatting>
  <conditionalFormatting sqref="X172:AC172 AE172">
    <cfRule type="cellIs" dxfId="639" priority="3707" stopIfTrue="1" operator="equal">
      <formula>0</formula>
    </cfRule>
    <cfRule type="cellIs" dxfId="638" priority="3708" stopIfTrue="1" operator="greaterThan">
      <formula>0</formula>
    </cfRule>
    <cfRule type="cellIs" dxfId="637" priority="3709" stopIfTrue="1" operator="greaterThan">
      <formula>0</formula>
    </cfRule>
    <cfRule type="cellIs" dxfId="636" priority="3710" stopIfTrue="1" operator="greaterThan">
      <formula>0</formula>
    </cfRule>
    <cfRule type="cellIs" dxfId="635" priority="3711" stopIfTrue="1" operator="equal">
      <formula>0</formula>
    </cfRule>
  </conditionalFormatting>
  <conditionalFormatting sqref="X172:AC172">
    <cfRule type="cellIs" dxfId="634" priority="3704" operator="greaterThan">
      <formula>0</formula>
    </cfRule>
    <cfRule type="cellIs" dxfId="633" priority="3705" operator="equal">
      <formula>0</formula>
    </cfRule>
    <cfRule type="cellIs" dxfId="632" priority="3706" stopIfTrue="1" operator="equal">
      <formula>0</formula>
    </cfRule>
  </conditionalFormatting>
  <conditionalFormatting sqref="X7:AE7">
    <cfRule type="cellIs" dxfId="631" priority="4235" stopIfTrue="1" operator="equal">
      <formula>0</formula>
    </cfRule>
    <cfRule type="cellIs" dxfId="630" priority="4236" stopIfTrue="1" operator="greaterThan">
      <formula>0</formula>
    </cfRule>
    <cfRule type="cellIs" dxfId="629" priority="4237" stopIfTrue="1" operator="greaterThan">
      <formula>0</formula>
    </cfRule>
    <cfRule type="cellIs" dxfId="628" priority="4238" stopIfTrue="1" operator="greaterThan">
      <formula>0</formula>
    </cfRule>
  </conditionalFormatting>
  <conditionalFormatting sqref="X8:AE9">
    <cfRule type="cellIs" dxfId="627" priority="4187" stopIfTrue="1" operator="equal">
      <formula>0</formula>
    </cfRule>
    <cfRule type="cellIs" dxfId="626" priority="4188" stopIfTrue="1" operator="greaterThan">
      <formula>0</formula>
    </cfRule>
    <cfRule type="cellIs" dxfId="625" priority="4189" stopIfTrue="1" operator="greaterThan">
      <formula>0</formula>
    </cfRule>
    <cfRule type="cellIs" dxfId="624" priority="4190" stopIfTrue="1" operator="greaterThan">
      <formula>0</formula>
    </cfRule>
    <cfRule type="cellIs" dxfId="623" priority="4191" stopIfTrue="1" operator="equal">
      <formula>0</formula>
    </cfRule>
  </conditionalFormatting>
  <conditionalFormatting sqref="X10:AE250">
    <cfRule type="cellIs" dxfId="622" priority="1115" stopIfTrue="1" operator="equal">
      <formula>0</formula>
    </cfRule>
    <cfRule type="cellIs" dxfId="621" priority="1116" stopIfTrue="1" operator="greaterThan">
      <formula>0</formula>
    </cfRule>
    <cfRule type="cellIs" dxfId="620" priority="1117" stopIfTrue="1" operator="greaterThan">
      <formula>0</formula>
    </cfRule>
    <cfRule type="cellIs" dxfId="619" priority="1118" stopIfTrue="1" operator="greaterThan">
      <formula>0</formula>
    </cfRule>
    <cfRule type="cellIs" dxfId="618" priority="1119" stopIfTrue="1" operator="equal">
      <formula>0</formula>
    </cfRule>
  </conditionalFormatting>
  <conditionalFormatting sqref="X159:AE159">
    <cfRule type="cellIs" dxfId="617" priority="2459" stopIfTrue="1" operator="equal">
      <formula>0</formula>
    </cfRule>
    <cfRule type="cellIs" dxfId="616" priority="2460" stopIfTrue="1" operator="greaterThan">
      <formula>0</formula>
    </cfRule>
    <cfRule type="cellIs" dxfId="615" priority="2461" stopIfTrue="1" operator="greaterThan">
      <formula>0</formula>
    </cfRule>
    <cfRule type="cellIs" dxfId="614" priority="2462" stopIfTrue="1" operator="greaterThan">
      <formula>0</formula>
    </cfRule>
    <cfRule type="cellIs" dxfId="613" priority="2463" stopIfTrue="1" operator="equal">
      <formula>0</formula>
    </cfRule>
  </conditionalFormatting>
  <conditionalFormatting sqref="X160:AE160">
    <cfRule type="cellIs" dxfId="612" priority="2415" stopIfTrue="1" operator="equal">
      <formula>0</formula>
    </cfRule>
  </conditionalFormatting>
  <conditionalFormatting sqref="X161:AE161">
    <cfRule type="cellIs" dxfId="611" priority="2363" stopIfTrue="1" operator="equal">
      <formula>0</formula>
    </cfRule>
    <cfRule type="cellIs" dxfId="610" priority="2364" stopIfTrue="1" operator="greaterThan">
      <formula>0</formula>
    </cfRule>
    <cfRule type="cellIs" dxfId="609" priority="2365" stopIfTrue="1" operator="greaterThan">
      <formula>0</formula>
    </cfRule>
    <cfRule type="cellIs" dxfId="608" priority="2366" stopIfTrue="1" operator="greaterThan">
      <formula>0</formula>
    </cfRule>
    <cfRule type="cellIs" dxfId="607" priority="2367" stopIfTrue="1" operator="equal">
      <formula>0</formula>
    </cfRule>
  </conditionalFormatting>
  <conditionalFormatting sqref="X162:AE162">
    <cfRule type="cellIs" dxfId="606" priority="2311" stopIfTrue="1" operator="equal">
      <formula>0</formula>
    </cfRule>
  </conditionalFormatting>
  <conditionalFormatting sqref="X163:AE163">
    <cfRule type="cellIs" dxfId="605" priority="2251" stopIfTrue="1" operator="equal">
      <formula>0</formula>
    </cfRule>
    <cfRule type="cellIs" dxfId="604" priority="2252" stopIfTrue="1" operator="greaterThan">
      <formula>0</formula>
    </cfRule>
    <cfRule type="cellIs" dxfId="603" priority="2253" stopIfTrue="1" operator="greaterThan">
      <formula>0</formula>
    </cfRule>
    <cfRule type="cellIs" dxfId="602" priority="2254" stopIfTrue="1" operator="greaterThan">
      <formula>0</formula>
    </cfRule>
    <cfRule type="cellIs" dxfId="601" priority="2255" stopIfTrue="1" operator="equal">
      <formula>0</formula>
    </cfRule>
  </conditionalFormatting>
  <conditionalFormatting sqref="X164:AE164">
    <cfRule type="cellIs" dxfId="600" priority="2199" stopIfTrue="1" operator="equal">
      <formula>0</formula>
    </cfRule>
  </conditionalFormatting>
  <conditionalFormatting sqref="X165:AE165">
    <cfRule type="cellIs" dxfId="599" priority="2139" stopIfTrue="1" operator="equal">
      <formula>0</formula>
    </cfRule>
    <cfRule type="cellIs" dxfId="598" priority="2140" stopIfTrue="1" operator="greaterThan">
      <formula>0</formula>
    </cfRule>
    <cfRule type="cellIs" dxfId="597" priority="2141" stopIfTrue="1" operator="greaterThan">
      <formula>0</formula>
    </cfRule>
    <cfRule type="cellIs" dxfId="596" priority="2142" stopIfTrue="1" operator="greaterThan">
      <formula>0</formula>
    </cfRule>
    <cfRule type="cellIs" dxfId="595" priority="2143" stopIfTrue="1" operator="equal">
      <formula>0</formula>
    </cfRule>
  </conditionalFormatting>
  <conditionalFormatting sqref="X166:AE166">
    <cfRule type="cellIs" dxfId="594" priority="2087" stopIfTrue="1" operator="equal">
      <formula>0</formula>
    </cfRule>
  </conditionalFormatting>
  <conditionalFormatting sqref="X167:AE167">
    <cfRule type="cellIs" dxfId="593" priority="99" stopIfTrue="1" operator="equal">
      <formula>0</formula>
    </cfRule>
    <cfRule type="cellIs" dxfId="592" priority="100" stopIfTrue="1" operator="greaterThan">
      <formula>0</formula>
    </cfRule>
    <cfRule type="cellIs" dxfId="591" priority="101" stopIfTrue="1" operator="greaterThan">
      <formula>0</formula>
    </cfRule>
    <cfRule type="cellIs" dxfId="590" priority="102" stopIfTrue="1" operator="greaterThan">
      <formula>0</formula>
    </cfRule>
    <cfRule type="cellIs" dxfId="589" priority="103" stopIfTrue="1" operator="equal">
      <formula>0</formula>
    </cfRule>
  </conditionalFormatting>
  <conditionalFormatting sqref="X168:AE168">
    <cfRule type="cellIs" dxfId="588" priority="3903" stopIfTrue="1" operator="equal">
      <formula>0</formula>
    </cfRule>
  </conditionalFormatting>
  <conditionalFormatting sqref="X169:AE171">
    <cfRule type="cellIs" dxfId="587" priority="3755" stopIfTrue="1" operator="equal">
      <formula>0</formula>
    </cfRule>
    <cfRule type="cellIs" dxfId="586" priority="3756" stopIfTrue="1" operator="greaterThan">
      <formula>0</formula>
    </cfRule>
    <cfRule type="cellIs" dxfId="585" priority="3757" stopIfTrue="1" operator="greaterThan">
      <formula>0</formula>
    </cfRule>
    <cfRule type="cellIs" dxfId="584" priority="3758" stopIfTrue="1" operator="greaterThan">
      <formula>0</formula>
    </cfRule>
    <cfRule type="cellIs" dxfId="583" priority="3759" stopIfTrue="1" operator="equal">
      <formula>0</formula>
    </cfRule>
  </conditionalFormatting>
  <conditionalFormatting sqref="X173:AE173">
    <cfRule type="cellIs" dxfId="582" priority="3659" stopIfTrue="1" operator="equal">
      <formula>0</formula>
    </cfRule>
    <cfRule type="cellIs" dxfId="581" priority="3660" stopIfTrue="1" operator="greaterThan">
      <formula>0</formula>
    </cfRule>
    <cfRule type="cellIs" dxfId="580" priority="3661" stopIfTrue="1" operator="greaterThan">
      <formula>0</formula>
    </cfRule>
    <cfRule type="cellIs" dxfId="579" priority="3662" stopIfTrue="1" operator="greaterThan">
      <formula>0</formula>
    </cfRule>
    <cfRule type="cellIs" dxfId="578" priority="3663" stopIfTrue="1" operator="equal">
      <formula>0</formula>
    </cfRule>
  </conditionalFormatting>
  <conditionalFormatting sqref="X175:AE176">
    <cfRule type="cellIs" dxfId="577" priority="3515" stopIfTrue="1" operator="equal">
      <formula>0</formula>
    </cfRule>
    <cfRule type="cellIs" dxfId="576" priority="3516" stopIfTrue="1" operator="greaterThan">
      <formula>0</formula>
    </cfRule>
    <cfRule type="cellIs" dxfId="575" priority="3517" stopIfTrue="1" operator="greaterThan">
      <formula>0</formula>
    </cfRule>
    <cfRule type="cellIs" dxfId="574" priority="3518" stopIfTrue="1" operator="greaterThan">
      <formula>0</formula>
    </cfRule>
    <cfRule type="cellIs" dxfId="573" priority="3519" stopIfTrue="1" operator="equal">
      <formula>0</formula>
    </cfRule>
  </conditionalFormatting>
  <conditionalFormatting sqref="X178:AE178">
    <cfRule type="cellIs" dxfId="572" priority="3375" stopIfTrue="1" operator="equal">
      <formula>0</formula>
    </cfRule>
  </conditionalFormatting>
  <conditionalFormatting sqref="X179:AE179">
    <cfRule type="cellIs" dxfId="571" priority="3327" stopIfTrue="1" operator="equal">
      <formula>0</formula>
    </cfRule>
  </conditionalFormatting>
  <conditionalFormatting sqref="X180:AE180">
    <cfRule type="cellIs" dxfId="570" priority="3275" stopIfTrue="1" operator="equal">
      <formula>0</formula>
    </cfRule>
    <cfRule type="cellIs" dxfId="569" priority="3276" stopIfTrue="1" operator="greaterThan">
      <formula>0</formula>
    </cfRule>
    <cfRule type="cellIs" dxfId="568" priority="3277" stopIfTrue="1" operator="greaterThan">
      <formula>0</formula>
    </cfRule>
    <cfRule type="cellIs" dxfId="567" priority="3278" stopIfTrue="1" operator="greaterThan">
      <formula>0</formula>
    </cfRule>
    <cfRule type="cellIs" dxfId="566" priority="3279" stopIfTrue="1" operator="equal">
      <formula>0</formula>
    </cfRule>
  </conditionalFormatting>
  <conditionalFormatting sqref="X181:AE182">
    <cfRule type="cellIs" dxfId="565" priority="3231" stopIfTrue="1" operator="equal">
      <formula>0</formula>
    </cfRule>
  </conditionalFormatting>
  <conditionalFormatting sqref="X183:AE183">
    <cfRule type="cellIs" dxfId="564" priority="3131" stopIfTrue="1" operator="equal">
      <formula>0</formula>
    </cfRule>
    <cfRule type="cellIs" dxfId="563" priority="3132" stopIfTrue="1" operator="greaterThan">
      <formula>0</formula>
    </cfRule>
    <cfRule type="cellIs" dxfId="562" priority="3133" stopIfTrue="1" operator="greaterThan">
      <formula>0</formula>
    </cfRule>
    <cfRule type="cellIs" dxfId="561" priority="3134" stopIfTrue="1" operator="greaterThan">
      <formula>0</formula>
    </cfRule>
  </conditionalFormatting>
  <conditionalFormatting sqref="X183:AE185 J183:K186">
    <cfRule type="cellIs" dxfId="560" priority="151" stopIfTrue="1" operator="equal">
      <formula>0</formula>
    </cfRule>
  </conditionalFormatting>
  <conditionalFormatting sqref="X185:AE185">
    <cfRule type="cellIs" dxfId="559" priority="1642" stopIfTrue="1" operator="equal">
      <formula>0</formula>
    </cfRule>
    <cfRule type="cellIs" dxfId="558" priority="1643" stopIfTrue="1" operator="equal">
      <formula>0</formula>
    </cfRule>
    <cfRule type="cellIs" dxfId="557" priority="1644" stopIfTrue="1" operator="greaterThan">
      <formula>0</formula>
    </cfRule>
    <cfRule type="cellIs" dxfId="556" priority="1645" stopIfTrue="1" operator="greaterThan">
      <formula>0</formula>
    </cfRule>
    <cfRule type="cellIs" dxfId="555" priority="1646" stopIfTrue="1" operator="greaterThan">
      <formula>0</formula>
    </cfRule>
  </conditionalFormatting>
  <conditionalFormatting sqref="X186:AE186">
    <cfRule type="cellIs" dxfId="554" priority="291" stopIfTrue="1" operator="equal">
      <formula>0</formula>
    </cfRule>
    <cfRule type="cellIs" dxfId="553" priority="292" stopIfTrue="1" operator="greaterThan">
      <formula>0</formula>
    </cfRule>
    <cfRule type="cellIs" dxfId="552" priority="293" stopIfTrue="1" operator="greaterThan">
      <formula>0</formula>
    </cfRule>
    <cfRule type="cellIs" dxfId="551" priority="294" stopIfTrue="1" operator="greaterThan">
      <formula>0</formula>
    </cfRule>
    <cfRule type="cellIs" dxfId="550" priority="295" stopIfTrue="1" operator="equal">
      <formula>0</formula>
    </cfRule>
  </conditionalFormatting>
  <conditionalFormatting sqref="X187:AE187">
    <cfRule type="cellIs" dxfId="549" priority="1594" stopIfTrue="1" operator="equal">
      <formula>0</formula>
    </cfRule>
    <cfRule type="cellIs" dxfId="548" priority="1595" stopIfTrue="1" operator="equal">
      <formula>0</formula>
    </cfRule>
    <cfRule type="cellIs" dxfId="547" priority="1596" stopIfTrue="1" operator="greaterThan">
      <formula>0</formula>
    </cfRule>
    <cfRule type="cellIs" dxfId="546" priority="1597" stopIfTrue="1" operator="greaterThan">
      <formula>0</formula>
    </cfRule>
    <cfRule type="cellIs" dxfId="545" priority="1598" stopIfTrue="1" operator="greaterThan">
      <formula>0</formula>
    </cfRule>
  </conditionalFormatting>
  <conditionalFormatting sqref="X187:AE193 X195:AE196 X197 AI197 J187:K193">
    <cfRule type="cellIs" dxfId="544" priority="4256" operator="greaterThan">
      <formula>0</formula>
    </cfRule>
    <cfRule type="cellIs" dxfId="543" priority="4257" operator="equal">
      <formula>0</formula>
    </cfRule>
  </conditionalFormatting>
  <conditionalFormatting sqref="X188:AE188">
    <cfRule type="cellIs" dxfId="542" priority="1546" stopIfTrue="1" operator="equal">
      <formula>0</formula>
    </cfRule>
    <cfRule type="cellIs" dxfId="541" priority="1547" stopIfTrue="1" operator="equal">
      <formula>0</formula>
    </cfRule>
    <cfRule type="cellIs" dxfId="540" priority="1548" stopIfTrue="1" operator="greaterThan">
      <formula>0</formula>
    </cfRule>
    <cfRule type="cellIs" dxfId="539" priority="1549" stopIfTrue="1" operator="greaterThan">
      <formula>0</formula>
    </cfRule>
    <cfRule type="cellIs" dxfId="538" priority="1550" stopIfTrue="1" operator="greaterThan">
      <formula>0</formula>
    </cfRule>
  </conditionalFormatting>
  <conditionalFormatting sqref="X189:AE189">
    <cfRule type="cellIs" dxfId="537" priority="1498" stopIfTrue="1" operator="equal">
      <formula>0</formula>
    </cfRule>
    <cfRule type="cellIs" dxfId="536" priority="1499" stopIfTrue="1" operator="equal">
      <formula>0</formula>
    </cfRule>
    <cfRule type="cellIs" dxfId="535" priority="1500" stopIfTrue="1" operator="greaterThan">
      <formula>0</formula>
    </cfRule>
    <cfRule type="cellIs" dxfId="534" priority="1501" stopIfTrue="1" operator="greaterThan">
      <formula>0</formula>
    </cfRule>
    <cfRule type="cellIs" dxfId="533" priority="1502" stopIfTrue="1" operator="greaterThan">
      <formula>0</formula>
    </cfRule>
  </conditionalFormatting>
  <conditionalFormatting sqref="X190:AE191">
    <cfRule type="cellIs" dxfId="532" priority="1403" stopIfTrue="1" operator="equal">
      <formula>0</formula>
    </cfRule>
    <cfRule type="cellIs" dxfId="531" priority="1404" stopIfTrue="1" operator="greaterThan">
      <formula>0</formula>
    </cfRule>
    <cfRule type="cellIs" dxfId="530" priority="1405" stopIfTrue="1" operator="greaterThan">
      <formula>0</formula>
    </cfRule>
    <cfRule type="cellIs" dxfId="529" priority="1406" stopIfTrue="1" operator="greaterThan">
      <formula>0</formula>
    </cfRule>
    <cfRule type="cellIs" dxfId="528" priority="1407" stopIfTrue="1" operator="equal">
      <formula>0</formula>
    </cfRule>
  </conditionalFormatting>
  <conditionalFormatting sqref="X192:AE192">
    <cfRule type="cellIs" dxfId="527" priority="1354" stopIfTrue="1" operator="equal">
      <formula>0</formula>
    </cfRule>
    <cfRule type="cellIs" dxfId="526" priority="1355" stopIfTrue="1" operator="equal">
      <formula>0</formula>
    </cfRule>
    <cfRule type="cellIs" dxfId="525" priority="1356" stopIfTrue="1" operator="greaterThan">
      <formula>0</formula>
    </cfRule>
    <cfRule type="cellIs" dxfId="524" priority="1357" stopIfTrue="1" operator="greaterThan">
      <formula>0</formula>
    </cfRule>
    <cfRule type="cellIs" dxfId="523" priority="1358" stopIfTrue="1" operator="greaterThan">
      <formula>0</formula>
    </cfRule>
  </conditionalFormatting>
  <conditionalFormatting sqref="X193:AE193">
    <cfRule type="cellIs" dxfId="522" priority="1306" stopIfTrue="1" operator="equal">
      <formula>0</formula>
    </cfRule>
    <cfRule type="cellIs" dxfId="521" priority="1307" stopIfTrue="1" operator="equal">
      <formula>0</formula>
    </cfRule>
    <cfRule type="cellIs" dxfId="520" priority="1308" stopIfTrue="1" operator="greaterThan">
      <formula>0</formula>
    </cfRule>
    <cfRule type="cellIs" dxfId="519" priority="1309" stopIfTrue="1" operator="greaterThan">
      <formula>0</formula>
    </cfRule>
    <cfRule type="cellIs" dxfId="518" priority="1310" stopIfTrue="1" operator="greaterThan">
      <formula>0</formula>
    </cfRule>
  </conditionalFormatting>
  <conditionalFormatting sqref="X194:AE194">
    <cfRule type="cellIs" dxfId="517" priority="259" stopIfTrue="1" operator="equal">
      <formula>0</formula>
    </cfRule>
    <cfRule type="cellIs" dxfId="516" priority="260" stopIfTrue="1" operator="greaterThan">
      <formula>0</formula>
    </cfRule>
    <cfRule type="cellIs" dxfId="515" priority="261" stopIfTrue="1" operator="greaterThan">
      <formula>0</formula>
    </cfRule>
    <cfRule type="cellIs" dxfId="514" priority="262" stopIfTrue="1" operator="greaterThan">
      <formula>0</formula>
    </cfRule>
    <cfRule type="cellIs" dxfId="513" priority="263" stopIfTrue="1" operator="equal">
      <formula>0</formula>
    </cfRule>
  </conditionalFormatting>
  <conditionalFormatting sqref="X195:AE195">
    <cfRule type="cellIs" dxfId="512" priority="1258" stopIfTrue="1" operator="equal">
      <formula>0</formula>
    </cfRule>
    <cfRule type="cellIs" dxfId="511" priority="1259" stopIfTrue="1" operator="equal">
      <formula>0</formula>
    </cfRule>
    <cfRule type="cellIs" dxfId="510" priority="1260" stopIfTrue="1" operator="greaterThan">
      <formula>0</formula>
    </cfRule>
    <cfRule type="cellIs" dxfId="509" priority="1261" stopIfTrue="1" operator="greaterThan">
      <formula>0</formula>
    </cfRule>
    <cfRule type="cellIs" dxfId="508" priority="1262" stopIfTrue="1" operator="greaterThan">
      <formula>0</formula>
    </cfRule>
  </conditionalFormatting>
  <conditionalFormatting sqref="X196:AE196">
    <cfRule type="cellIs" dxfId="507" priority="1211" stopIfTrue="1" operator="equal">
      <formula>0</formula>
    </cfRule>
    <cfRule type="cellIs" dxfId="506" priority="1212" stopIfTrue="1" operator="greaterThan">
      <formula>0</formula>
    </cfRule>
    <cfRule type="cellIs" dxfId="505" priority="1213" stopIfTrue="1" operator="greaterThan">
      <formula>0</formula>
    </cfRule>
    <cfRule type="cellIs" dxfId="504" priority="1214" stopIfTrue="1" operator="greaterThan">
      <formula>0</formula>
    </cfRule>
    <cfRule type="cellIs" dxfId="503" priority="1215" stopIfTrue="1" operator="equal">
      <formula>0</formula>
    </cfRule>
  </conditionalFormatting>
  <conditionalFormatting sqref="X196:AE197">
    <cfRule type="cellIs" dxfId="502" priority="492" operator="greaterThan">
      <formula>0</formula>
    </cfRule>
    <cfRule type="cellIs" dxfId="501" priority="493" operator="equal">
      <formula>0</formula>
    </cfRule>
    <cfRule type="cellIs" dxfId="500" priority="499" stopIfTrue="1" operator="equal">
      <formula>0</formula>
    </cfRule>
  </conditionalFormatting>
  <conditionalFormatting sqref="X198:AE198">
    <cfRule type="cellIs" dxfId="499" priority="195" stopIfTrue="1" operator="equal">
      <formula>0</formula>
    </cfRule>
    <cfRule type="cellIs" dxfId="498" priority="196" stopIfTrue="1" operator="greaterThan">
      <formula>0</formula>
    </cfRule>
    <cfRule type="cellIs" dxfId="497" priority="197" stopIfTrue="1" operator="greaterThan">
      <formula>0</formula>
    </cfRule>
    <cfRule type="cellIs" dxfId="496" priority="198" stopIfTrue="1" operator="greaterThan">
      <formula>0</formula>
    </cfRule>
    <cfRule type="cellIs" dxfId="495" priority="199" stopIfTrue="1" operator="equal">
      <formula>0</formula>
    </cfRule>
  </conditionalFormatting>
  <conditionalFormatting sqref="X199:AE199">
    <cfRule type="cellIs" dxfId="494" priority="843" stopIfTrue="1" operator="equal">
      <formula>0</formula>
    </cfRule>
    <cfRule type="cellIs" dxfId="493" priority="844" stopIfTrue="1" operator="greaterThan">
      <formula>0</formula>
    </cfRule>
    <cfRule type="cellIs" dxfId="492" priority="845" stopIfTrue="1" operator="greaterThan">
      <formula>0</formula>
    </cfRule>
    <cfRule type="cellIs" dxfId="491" priority="846" stopIfTrue="1" operator="greaterThan">
      <formula>0</formula>
    </cfRule>
    <cfRule type="cellIs" dxfId="490" priority="847" stopIfTrue="1" operator="equal">
      <formula>0</formula>
    </cfRule>
    <cfRule type="cellIs" dxfId="489" priority="2987" stopIfTrue="1" operator="equal">
      <formula>0</formula>
    </cfRule>
    <cfRule type="cellIs" dxfId="488" priority="2988" stopIfTrue="1" operator="greaterThan">
      <formula>0</formula>
    </cfRule>
    <cfRule type="cellIs" dxfId="487" priority="2989" stopIfTrue="1" operator="greaterThan">
      <formula>0</formula>
    </cfRule>
    <cfRule type="cellIs" dxfId="486" priority="2990" stopIfTrue="1" operator="greaterThan">
      <formula>0</formula>
    </cfRule>
    <cfRule type="cellIs" dxfId="485" priority="2991" stopIfTrue="1" operator="equal">
      <formula>0</formula>
    </cfRule>
  </conditionalFormatting>
  <conditionalFormatting sqref="X200:AE200">
    <cfRule type="cellIs" dxfId="484" priority="163" stopIfTrue="1" operator="equal">
      <formula>0</formula>
    </cfRule>
    <cfRule type="cellIs" dxfId="483" priority="164" stopIfTrue="1" operator="greaterThan">
      <formula>0</formula>
    </cfRule>
    <cfRule type="cellIs" dxfId="482" priority="165" stopIfTrue="1" operator="greaterThan">
      <formula>0</formula>
    </cfRule>
    <cfRule type="cellIs" dxfId="481" priority="166" stopIfTrue="1" operator="greaterThan">
      <formula>0</formula>
    </cfRule>
    <cfRule type="cellIs" dxfId="480" priority="167" stopIfTrue="1" operator="equal">
      <formula>0</formula>
    </cfRule>
  </conditionalFormatting>
  <conditionalFormatting sqref="X201:AE201">
    <cfRule type="cellIs" dxfId="479" priority="731" stopIfTrue="1" operator="equal">
      <formula>0</formula>
    </cfRule>
    <cfRule type="cellIs" dxfId="478" priority="732" stopIfTrue="1" operator="greaterThan">
      <formula>0</formula>
    </cfRule>
    <cfRule type="cellIs" dxfId="477" priority="733" stopIfTrue="1" operator="greaterThan">
      <formula>0</formula>
    </cfRule>
    <cfRule type="cellIs" dxfId="476" priority="734" stopIfTrue="1" operator="greaterThan">
      <formula>0</formula>
    </cfRule>
    <cfRule type="cellIs" dxfId="475" priority="735" stopIfTrue="1" operator="equal">
      <formula>0</formula>
    </cfRule>
    <cfRule type="cellIs" dxfId="474" priority="2891" stopIfTrue="1" operator="equal">
      <formula>0</formula>
    </cfRule>
    <cfRule type="cellIs" dxfId="473" priority="2892" stopIfTrue="1" operator="greaterThan">
      <formula>0</formula>
    </cfRule>
    <cfRule type="cellIs" dxfId="472" priority="2893" stopIfTrue="1" operator="greaterThan">
      <formula>0</formula>
    </cfRule>
    <cfRule type="cellIs" dxfId="471" priority="2894" stopIfTrue="1" operator="greaterThan">
      <formula>0</formula>
    </cfRule>
    <cfRule type="cellIs" dxfId="470" priority="2895" stopIfTrue="1" operator="equal">
      <formula>0</formula>
    </cfRule>
  </conditionalFormatting>
  <conditionalFormatting sqref="X202:AE202">
    <cfRule type="cellIs" dxfId="469" priority="363" stopIfTrue="1" operator="equal">
      <formula>0</formula>
    </cfRule>
    <cfRule type="cellIs" dxfId="468" priority="364" stopIfTrue="1" operator="greaterThan">
      <formula>0</formula>
    </cfRule>
    <cfRule type="cellIs" dxfId="467" priority="365" stopIfTrue="1" operator="greaterThan">
      <formula>0</formula>
    </cfRule>
    <cfRule type="cellIs" dxfId="466" priority="366" stopIfTrue="1" operator="greaterThan">
      <formula>0</formula>
    </cfRule>
    <cfRule type="cellIs" dxfId="465" priority="367" stopIfTrue="1" operator="equal">
      <formula>0</formula>
    </cfRule>
    <cfRule type="cellIs" dxfId="464" priority="403" stopIfTrue="1" operator="equal">
      <formula>0</formula>
    </cfRule>
    <cfRule type="cellIs" dxfId="463" priority="404" stopIfTrue="1" operator="greaterThan">
      <formula>0</formula>
    </cfRule>
    <cfRule type="cellIs" dxfId="462" priority="405" stopIfTrue="1" operator="greaterThan">
      <formula>0</formula>
    </cfRule>
    <cfRule type="cellIs" dxfId="461" priority="406" stopIfTrue="1" operator="greaterThan">
      <formula>0</formula>
    </cfRule>
    <cfRule type="cellIs" dxfId="460" priority="407" stopIfTrue="1" operator="equal">
      <formula>0</formula>
    </cfRule>
  </conditionalFormatting>
  <conditionalFormatting sqref="X203:AE203">
    <cfRule type="cellIs" dxfId="459" priority="675" stopIfTrue="1" operator="equal">
      <formula>0</formula>
    </cfRule>
    <cfRule type="cellIs" dxfId="458" priority="676" stopIfTrue="1" operator="greaterThan">
      <formula>0</formula>
    </cfRule>
    <cfRule type="cellIs" dxfId="457" priority="677" stopIfTrue="1" operator="greaterThan">
      <formula>0</formula>
    </cfRule>
    <cfRule type="cellIs" dxfId="456" priority="678" stopIfTrue="1" operator="greaterThan">
      <formula>0</formula>
    </cfRule>
    <cfRule type="cellIs" dxfId="455" priority="679" stopIfTrue="1" operator="equal">
      <formula>0</formula>
    </cfRule>
    <cfRule type="cellIs" dxfId="454" priority="2843" stopIfTrue="1" operator="equal">
      <formula>0</formula>
    </cfRule>
    <cfRule type="cellIs" dxfId="453" priority="2844" stopIfTrue="1" operator="greaterThan">
      <formula>0</formula>
    </cfRule>
    <cfRule type="cellIs" dxfId="452" priority="2845" stopIfTrue="1" operator="greaterThan">
      <formula>0</formula>
    </cfRule>
    <cfRule type="cellIs" dxfId="451" priority="2846" stopIfTrue="1" operator="greaterThan">
      <formula>0</formula>
    </cfRule>
    <cfRule type="cellIs" dxfId="450" priority="2847" stopIfTrue="1" operator="equal">
      <formula>0</formula>
    </cfRule>
  </conditionalFormatting>
  <conditionalFormatting sqref="X204:AE204">
    <cfRule type="cellIs" dxfId="449" priority="131" stopIfTrue="1" operator="equal">
      <formula>0</formula>
    </cfRule>
    <cfRule type="cellIs" dxfId="448" priority="132" stopIfTrue="1" operator="greaterThan">
      <formula>0</formula>
    </cfRule>
    <cfRule type="cellIs" dxfId="447" priority="133" stopIfTrue="1" operator="greaterThan">
      <formula>0</formula>
    </cfRule>
    <cfRule type="cellIs" dxfId="446" priority="134" stopIfTrue="1" operator="greaterThan">
      <formula>0</formula>
    </cfRule>
    <cfRule type="cellIs" dxfId="445" priority="135" stopIfTrue="1" operator="equal">
      <formula>0</formula>
    </cfRule>
  </conditionalFormatting>
  <conditionalFormatting sqref="X205:AE205">
    <cfRule type="cellIs" dxfId="444" priority="563" stopIfTrue="1" operator="equal">
      <formula>0</formula>
    </cfRule>
    <cfRule type="cellIs" dxfId="443" priority="564" stopIfTrue="1" operator="greaterThan">
      <formula>0</formula>
    </cfRule>
    <cfRule type="cellIs" dxfId="442" priority="565" stopIfTrue="1" operator="greaterThan">
      <formula>0</formula>
    </cfRule>
    <cfRule type="cellIs" dxfId="441" priority="566" stopIfTrue="1" operator="greaterThan">
      <formula>0</formula>
    </cfRule>
    <cfRule type="cellIs" dxfId="440" priority="567" stopIfTrue="1" operator="equal">
      <formula>0</formula>
    </cfRule>
  </conditionalFormatting>
  <conditionalFormatting sqref="X205:AE216">
    <cfRule type="cellIs" dxfId="439" priority="2555" stopIfTrue="1" operator="equal">
      <formula>0</formula>
    </cfRule>
    <cfRule type="cellIs" dxfId="438" priority="2556" stopIfTrue="1" operator="greaterThan">
      <formula>0</formula>
    </cfRule>
    <cfRule type="cellIs" dxfId="437" priority="2557" stopIfTrue="1" operator="greaterThan">
      <formula>0</formula>
    </cfRule>
    <cfRule type="cellIs" dxfId="436" priority="2558" stopIfTrue="1" operator="greaterThan">
      <formula>0</formula>
    </cfRule>
    <cfRule type="cellIs" dxfId="435" priority="2559" stopIfTrue="1" operator="equal">
      <formula>0</formula>
    </cfRule>
  </conditionalFormatting>
  <conditionalFormatting sqref="X210:AE210">
    <cfRule type="cellIs" dxfId="434" priority="1015" stopIfTrue="1" operator="equal">
      <formula>0</formula>
    </cfRule>
  </conditionalFormatting>
  <conditionalFormatting sqref="X211:AE211">
    <cfRule type="cellIs" dxfId="433" priority="227" stopIfTrue="1" operator="equal">
      <formula>0</formula>
    </cfRule>
    <cfRule type="cellIs" dxfId="432" priority="228" stopIfTrue="1" operator="greaterThan">
      <formula>0</formula>
    </cfRule>
    <cfRule type="cellIs" dxfId="431" priority="229" stopIfTrue="1" operator="greaterThan">
      <formula>0</formula>
    </cfRule>
    <cfRule type="cellIs" dxfId="430" priority="230" stopIfTrue="1" operator="greaterThan">
      <formula>0</formula>
    </cfRule>
    <cfRule type="cellIs" dxfId="429" priority="231" stopIfTrue="1" operator="equal">
      <formula>0</formula>
    </cfRule>
  </conditionalFormatting>
  <conditionalFormatting sqref="X212:AE216">
    <cfRule type="cellIs" dxfId="428" priority="899" stopIfTrue="1" operator="equal">
      <formula>0</formula>
    </cfRule>
    <cfRule type="cellIs" dxfId="427" priority="900" stopIfTrue="1" operator="greaterThan">
      <formula>0</formula>
    </cfRule>
    <cfRule type="cellIs" dxfId="426" priority="901" stopIfTrue="1" operator="greaterThan">
      <formula>0</formula>
    </cfRule>
    <cfRule type="cellIs" dxfId="425" priority="902" stopIfTrue="1" operator="greaterThan">
      <formula>0</formula>
    </cfRule>
    <cfRule type="cellIs" dxfId="424" priority="903" stopIfTrue="1" operator="equal">
      <formula>0</formula>
    </cfRule>
    <cfRule type="cellIs" dxfId="423" priority="3035" stopIfTrue="1" operator="equal">
      <formula>0</formula>
    </cfRule>
    <cfRule type="cellIs" dxfId="422" priority="3036" stopIfTrue="1" operator="greaterThan">
      <formula>0</formula>
    </cfRule>
    <cfRule type="cellIs" dxfId="421" priority="3037" stopIfTrue="1" operator="greaterThan">
      <formula>0</formula>
    </cfRule>
    <cfRule type="cellIs" dxfId="420" priority="3038" stopIfTrue="1" operator="greaterThan">
      <formula>0</formula>
    </cfRule>
    <cfRule type="cellIs" dxfId="419" priority="3039" stopIfTrue="1" operator="equal">
      <formula>0</formula>
    </cfRule>
  </conditionalFormatting>
  <conditionalFormatting sqref="X217:AE217">
    <cfRule type="cellIs" dxfId="418" priority="2031" stopIfTrue="1" operator="equal">
      <formula>0</formula>
    </cfRule>
  </conditionalFormatting>
  <conditionalFormatting sqref="X218:AE221">
    <cfRule type="cellIs" dxfId="417" priority="1747" stopIfTrue="1" operator="equal">
      <formula>0</formula>
    </cfRule>
    <cfRule type="cellIs" dxfId="416" priority="1748" stopIfTrue="1" operator="greaterThan">
      <formula>0</formula>
    </cfRule>
    <cfRule type="cellIs" dxfId="415" priority="1749" stopIfTrue="1" operator="greaterThan">
      <formula>0</formula>
    </cfRule>
    <cfRule type="cellIs" dxfId="414" priority="1750" stopIfTrue="1" operator="greaterThan">
      <formula>0</formula>
    </cfRule>
    <cfRule type="cellIs" dxfId="413" priority="1751" stopIfTrue="1" operator="equal">
      <formula>0</formula>
    </cfRule>
  </conditionalFormatting>
  <conditionalFormatting sqref="X187:AG187">
    <cfRule type="cellIs" dxfId="412" priority="1592" operator="greaterThan">
      <formula>0</formula>
    </cfRule>
    <cfRule type="cellIs" dxfId="411" priority="1593" operator="equal">
      <formula>0</formula>
    </cfRule>
    <cfRule type="cellIs" dxfId="410" priority="1599" stopIfTrue="1" operator="equal">
      <formula>0</formula>
    </cfRule>
  </conditionalFormatting>
  <conditionalFormatting sqref="X189:AG189">
    <cfRule type="cellIs" dxfId="409" priority="1496" operator="greaterThan">
      <formula>0</formula>
    </cfRule>
    <cfRule type="cellIs" dxfId="408" priority="1497" operator="equal">
      <formula>0</formula>
    </cfRule>
    <cfRule type="cellIs" dxfId="407" priority="1503" stopIfTrue="1" operator="equal">
      <formula>0</formula>
    </cfRule>
  </conditionalFormatting>
  <conditionalFormatting sqref="X192:AG192">
    <cfRule type="cellIs" dxfId="406" priority="1352" operator="greaterThan">
      <formula>0</formula>
    </cfRule>
    <cfRule type="cellIs" dxfId="405" priority="1353" operator="equal">
      <formula>0</formula>
    </cfRule>
    <cfRule type="cellIs" dxfId="404" priority="1359" stopIfTrue="1" operator="equal">
      <formula>0</formula>
    </cfRule>
  </conditionalFormatting>
  <conditionalFormatting sqref="X7:AI8">
    <cfRule type="cellIs" dxfId="403" priority="4231" stopIfTrue="1" operator="equal">
      <formula>0</formula>
    </cfRule>
  </conditionalFormatting>
  <conditionalFormatting sqref="X8:AI8 P7:W8">
    <cfRule type="cellIs" dxfId="402" priority="535" stopIfTrue="1" operator="equal">
      <formula>0</formula>
    </cfRule>
  </conditionalFormatting>
  <conditionalFormatting sqref="X8:AI9">
    <cfRule type="cellIs" dxfId="401" priority="4183" stopIfTrue="1" operator="equal">
      <formula>0</formula>
    </cfRule>
  </conditionalFormatting>
  <conditionalFormatting sqref="X159:AI159">
    <cfRule type="cellIs" dxfId="400" priority="2455" stopIfTrue="1" operator="equal">
      <formula>0</formula>
    </cfRule>
  </conditionalFormatting>
  <conditionalFormatting sqref="X160:AI160">
    <cfRule type="cellIs" dxfId="399" priority="2403" stopIfTrue="1" operator="equal">
      <formula>0</formula>
    </cfRule>
    <cfRule type="cellIs" dxfId="398" priority="2404" stopIfTrue="1" operator="greaterThan">
      <formula>0</formula>
    </cfRule>
    <cfRule type="cellIs" dxfId="397" priority="2405" stopIfTrue="1" operator="greaterThan">
      <formula>0</formula>
    </cfRule>
    <cfRule type="cellIs" dxfId="396" priority="2406" stopIfTrue="1" operator="greaterThan">
      <formula>0</formula>
    </cfRule>
  </conditionalFormatting>
  <conditionalFormatting sqref="X160:AI161">
    <cfRule type="cellIs" dxfId="395" priority="2359" stopIfTrue="1" operator="equal">
      <formula>0</formula>
    </cfRule>
  </conditionalFormatting>
  <conditionalFormatting sqref="X162:AI162">
    <cfRule type="cellIs" dxfId="394" priority="2299" stopIfTrue="1" operator="equal">
      <formula>0</formula>
    </cfRule>
    <cfRule type="cellIs" dxfId="393" priority="2300" stopIfTrue="1" operator="greaterThan">
      <formula>0</formula>
    </cfRule>
    <cfRule type="cellIs" dxfId="392" priority="2301" stopIfTrue="1" operator="greaterThan">
      <formula>0</formula>
    </cfRule>
    <cfRule type="cellIs" dxfId="391" priority="2302" stopIfTrue="1" operator="greaterThan">
      <formula>0</formula>
    </cfRule>
  </conditionalFormatting>
  <conditionalFormatting sqref="X162:AI163">
    <cfRule type="cellIs" dxfId="390" priority="2247" stopIfTrue="1" operator="equal">
      <formula>0</formula>
    </cfRule>
  </conditionalFormatting>
  <conditionalFormatting sqref="X164:AI164">
    <cfRule type="cellIs" dxfId="389" priority="2187" stopIfTrue="1" operator="equal">
      <formula>0</formula>
    </cfRule>
    <cfRule type="cellIs" dxfId="388" priority="2188" stopIfTrue="1" operator="greaterThan">
      <formula>0</formula>
    </cfRule>
    <cfRule type="cellIs" dxfId="387" priority="2189" stopIfTrue="1" operator="greaterThan">
      <formula>0</formula>
    </cfRule>
    <cfRule type="cellIs" dxfId="386" priority="2190" stopIfTrue="1" operator="greaterThan">
      <formula>0</formula>
    </cfRule>
  </conditionalFormatting>
  <conditionalFormatting sqref="X164:AI165">
    <cfRule type="cellIs" dxfId="385" priority="2135" stopIfTrue="1" operator="equal">
      <formula>0</formula>
    </cfRule>
  </conditionalFormatting>
  <conditionalFormatting sqref="X166:AI166">
    <cfRule type="cellIs" dxfId="384" priority="2075" stopIfTrue="1" operator="equal">
      <formula>0</formula>
    </cfRule>
    <cfRule type="cellIs" dxfId="383" priority="2076" stopIfTrue="1" operator="greaterThan">
      <formula>0</formula>
    </cfRule>
    <cfRule type="cellIs" dxfId="382" priority="2077" stopIfTrue="1" operator="greaterThan">
      <formula>0</formula>
    </cfRule>
    <cfRule type="cellIs" dxfId="381" priority="2078" stopIfTrue="1" operator="greaterThan">
      <formula>0</formula>
    </cfRule>
  </conditionalFormatting>
  <conditionalFormatting sqref="X167:AI167">
    <cfRule type="cellIs" dxfId="380" priority="88" operator="greaterThan">
      <formula>0</formula>
    </cfRule>
    <cfRule type="cellIs" dxfId="379" priority="89" operator="equal">
      <formula>0</formula>
    </cfRule>
    <cfRule type="cellIs" dxfId="378" priority="95" stopIfTrue="1" operator="equal">
      <formula>0</formula>
    </cfRule>
  </conditionalFormatting>
  <conditionalFormatting sqref="X168:AI168">
    <cfRule type="cellIs" dxfId="377" priority="3891" stopIfTrue="1" operator="equal">
      <formula>0</formula>
    </cfRule>
    <cfRule type="cellIs" dxfId="376" priority="3892" stopIfTrue="1" operator="greaterThan">
      <formula>0</formula>
    </cfRule>
    <cfRule type="cellIs" dxfId="375" priority="3893" stopIfTrue="1" operator="greaterThan">
      <formula>0</formula>
    </cfRule>
    <cfRule type="cellIs" dxfId="374" priority="3894" stopIfTrue="1" operator="greaterThan">
      <formula>0</formula>
    </cfRule>
  </conditionalFormatting>
  <conditionalFormatting sqref="X169:AI171">
    <cfRule type="cellIs" dxfId="373" priority="3736" operator="greaterThan">
      <formula>0</formula>
    </cfRule>
    <cfRule type="cellIs" dxfId="372" priority="3737" operator="equal">
      <formula>0</formula>
    </cfRule>
    <cfRule type="cellIs" dxfId="371" priority="3751" stopIfTrue="1" operator="equal">
      <formula>0</formula>
    </cfRule>
  </conditionalFormatting>
  <conditionalFormatting sqref="X173:AI173">
    <cfRule type="cellIs" dxfId="370" priority="3640" operator="greaterThan">
      <formula>0</formula>
    </cfRule>
    <cfRule type="cellIs" dxfId="369" priority="3641" operator="equal">
      <formula>0</formula>
    </cfRule>
    <cfRule type="cellIs" dxfId="368" priority="3655" stopIfTrue="1" operator="equal">
      <formula>0</formula>
    </cfRule>
  </conditionalFormatting>
  <conditionalFormatting sqref="X175:AI176">
    <cfRule type="cellIs" dxfId="367" priority="3496" operator="greaterThan">
      <formula>0</formula>
    </cfRule>
    <cfRule type="cellIs" dxfId="366" priority="3497" operator="equal">
      <formula>0</formula>
    </cfRule>
    <cfRule type="cellIs" dxfId="365" priority="3511" stopIfTrue="1" operator="equal">
      <formula>0</formula>
    </cfRule>
  </conditionalFormatting>
  <conditionalFormatting sqref="X178:AI178">
    <cfRule type="cellIs" dxfId="364" priority="3363" stopIfTrue="1" operator="equal">
      <formula>0</formula>
    </cfRule>
    <cfRule type="cellIs" dxfId="363" priority="3364" stopIfTrue="1" operator="greaterThan">
      <formula>0</formula>
    </cfRule>
    <cfRule type="cellIs" dxfId="362" priority="3365" stopIfTrue="1" operator="greaterThan">
      <formula>0</formula>
    </cfRule>
    <cfRule type="cellIs" dxfId="361" priority="3366" stopIfTrue="1" operator="greaterThan">
      <formula>0</formula>
    </cfRule>
  </conditionalFormatting>
  <conditionalFormatting sqref="X179:AI179">
    <cfRule type="cellIs" dxfId="360" priority="3315" stopIfTrue="1" operator="equal">
      <formula>0</formula>
    </cfRule>
    <cfRule type="cellIs" dxfId="359" priority="3316" stopIfTrue="1" operator="greaterThan">
      <formula>0</formula>
    </cfRule>
    <cfRule type="cellIs" dxfId="358" priority="3317" stopIfTrue="1" operator="greaterThan">
      <formula>0</formula>
    </cfRule>
    <cfRule type="cellIs" dxfId="357" priority="3318" stopIfTrue="1" operator="greaterThan">
      <formula>0</formula>
    </cfRule>
  </conditionalFormatting>
  <conditionalFormatting sqref="X179:AI180">
    <cfRule type="cellIs" dxfId="356" priority="3271" stopIfTrue="1" operator="equal">
      <formula>0</formula>
    </cfRule>
  </conditionalFormatting>
  <conditionalFormatting sqref="X181:AI182">
    <cfRule type="cellIs" dxfId="355" priority="3219" stopIfTrue="1" operator="equal">
      <formula>0</formula>
    </cfRule>
    <cfRule type="cellIs" dxfId="354" priority="3220" stopIfTrue="1" operator="greaterThan">
      <formula>0</formula>
    </cfRule>
    <cfRule type="cellIs" dxfId="353" priority="3221" stopIfTrue="1" operator="greaterThan">
      <formula>0</formula>
    </cfRule>
    <cfRule type="cellIs" dxfId="352" priority="3222" stopIfTrue="1" operator="greaterThan">
      <formula>0</formula>
    </cfRule>
  </conditionalFormatting>
  <conditionalFormatting sqref="X181:AI183">
    <cfRule type="cellIs" dxfId="351" priority="3127" stopIfTrue="1" operator="equal">
      <formula>0</formula>
    </cfRule>
  </conditionalFormatting>
  <conditionalFormatting sqref="X185:AI185">
    <cfRule type="cellIs" dxfId="350" priority="1640" operator="greaterThan">
      <formula>0</formula>
    </cfRule>
    <cfRule type="cellIs" dxfId="349" priority="1641" operator="equal">
      <formula>0</formula>
    </cfRule>
    <cfRule type="cellIs" dxfId="348" priority="1647" stopIfTrue="1" operator="equal">
      <formula>0</formula>
    </cfRule>
  </conditionalFormatting>
  <conditionalFormatting sqref="X186:AI186">
    <cfRule type="cellIs" dxfId="347" priority="287" stopIfTrue="1" operator="equal">
      <formula>0</formula>
    </cfRule>
  </conditionalFormatting>
  <conditionalFormatting sqref="X188:AI188">
    <cfRule type="cellIs" dxfId="346" priority="1544" operator="greaterThan">
      <formula>0</formula>
    </cfRule>
    <cfRule type="cellIs" dxfId="345" priority="1545" operator="equal">
      <formula>0</formula>
    </cfRule>
    <cfRule type="cellIs" dxfId="344" priority="1551" stopIfTrue="1" operator="equal">
      <formula>0</formula>
    </cfRule>
  </conditionalFormatting>
  <conditionalFormatting sqref="X190:AI191">
    <cfRule type="cellIs" dxfId="343" priority="1392" operator="greaterThan">
      <formula>0</formula>
    </cfRule>
    <cfRule type="cellIs" dxfId="342" priority="1393" operator="equal">
      <formula>0</formula>
    </cfRule>
    <cfRule type="cellIs" dxfId="341" priority="1399" stopIfTrue="1" operator="equal">
      <formula>0</formula>
    </cfRule>
  </conditionalFormatting>
  <conditionalFormatting sqref="X193:AI193">
    <cfRule type="cellIs" dxfId="340" priority="1304" operator="greaterThan">
      <formula>0</formula>
    </cfRule>
    <cfRule type="cellIs" dxfId="339" priority="1305" operator="equal">
      <formula>0</formula>
    </cfRule>
    <cfRule type="cellIs" dxfId="338" priority="1311" stopIfTrue="1" operator="equal">
      <formula>0</formula>
    </cfRule>
  </conditionalFormatting>
  <conditionalFormatting sqref="X194:AI194">
    <cfRule type="cellIs" dxfId="337" priority="255" stopIfTrue="1" operator="equal">
      <formula>0</formula>
    </cfRule>
  </conditionalFormatting>
  <conditionalFormatting sqref="X195:AI195">
    <cfRule type="cellIs" dxfId="336" priority="1256" operator="greaterThan">
      <formula>0</formula>
    </cfRule>
    <cfRule type="cellIs" dxfId="335" priority="1257" operator="equal">
      <formula>0</formula>
    </cfRule>
    <cfRule type="cellIs" dxfId="334" priority="1263" stopIfTrue="1" operator="equal">
      <formula>0</formula>
    </cfRule>
  </conditionalFormatting>
  <conditionalFormatting sqref="X198:AI198">
    <cfRule type="cellIs" dxfId="333" priority="191" stopIfTrue="1" operator="equal">
      <formula>0</formula>
    </cfRule>
  </conditionalFormatting>
  <conditionalFormatting sqref="X199:AI199 J199:K199">
    <cfRule type="cellIs" dxfId="332" priority="2976" operator="greaterThan">
      <formula>0</formula>
    </cfRule>
    <cfRule type="cellIs" dxfId="331" priority="2977" operator="equal">
      <formula>0</formula>
    </cfRule>
  </conditionalFormatting>
  <conditionalFormatting sqref="X199:AI199">
    <cfRule type="cellIs" dxfId="330" priority="832" operator="greaterThan">
      <formula>0</formula>
    </cfRule>
    <cfRule type="cellIs" dxfId="329" priority="833" operator="equal">
      <formula>0</formula>
    </cfRule>
    <cfRule type="cellIs" dxfId="328" priority="839" stopIfTrue="1" operator="equal">
      <formula>0</formula>
    </cfRule>
    <cfRule type="cellIs" dxfId="327" priority="2983" stopIfTrue="1" operator="equal">
      <formula>0</formula>
    </cfRule>
  </conditionalFormatting>
  <conditionalFormatting sqref="X200:AI200">
    <cfRule type="cellIs" dxfId="326" priority="159" stopIfTrue="1" operator="equal">
      <formula>0</formula>
    </cfRule>
  </conditionalFormatting>
  <conditionalFormatting sqref="X201:AI201 J201:K201">
    <cfRule type="cellIs" dxfId="325" priority="2880" operator="greaterThan">
      <formula>0</formula>
    </cfRule>
    <cfRule type="cellIs" dxfId="324" priority="2881" operator="equal">
      <formula>0</formula>
    </cfRule>
  </conditionalFormatting>
  <conditionalFormatting sqref="X201:AI201">
    <cfRule type="cellIs" dxfId="323" priority="727" stopIfTrue="1" operator="equal">
      <formula>0</formula>
    </cfRule>
    <cfRule type="cellIs" dxfId="322" priority="2887" stopIfTrue="1" operator="equal">
      <formula>0</formula>
    </cfRule>
  </conditionalFormatting>
  <conditionalFormatting sqref="X202:AI202 J202:K202">
    <cfRule type="cellIs" dxfId="321" priority="384" operator="greaterThan">
      <formula>0</formula>
    </cfRule>
    <cfRule type="cellIs" dxfId="320" priority="385" operator="equal">
      <formula>0</formula>
    </cfRule>
  </conditionalFormatting>
  <conditionalFormatting sqref="X202:AI202">
    <cfRule type="cellIs" dxfId="319" priority="359" stopIfTrue="1" operator="equal">
      <formula>0</formula>
    </cfRule>
    <cfRule type="cellIs" dxfId="318" priority="399" stopIfTrue="1" operator="equal">
      <formula>0</formula>
    </cfRule>
  </conditionalFormatting>
  <conditionalFormatting sqref="X203:AI203 J203:K203">
    <cfRule type="cellIs" dxfId="317" priority="2832" operator="greaterThan">
      <formula>0</formula>
    </cfRule>
    <cfRule type="cellIs" dxfId="316" priority="2833" operator="equal">
      <formula>0</formula>
    </cfRule>
  </conditionalFormatting>
  <conditionalFormatting sqref="X203:AI203">
    <cfRule type="cellIs" dxfId="315" priority="664" operator="greaterThan">
      <formula>0</formula>
    </cfRule>
    <cfRule type="cellIs" dxfId="314" priority="665" operator="equal">
      <formula>0</formula>
    </cfRule>
    <cfRule type="cellIs" dxfId="313" priority="671" stopIfTrue="1" operator="equal">
      <formula>0</formula>
    </cfRule>
    <cfRule type="cellIs" dxfId="312" priority="2839" stopIfTrue="1" operator="equal">
      <formula>0</formula>
    </cfRule>
  </conditionalFormatting>
  <conditionalFormatting sqref="X204:AI204">
    <cfRule type="cellIs" dxfId="311" priority="127" stopIfTrue="1" operator="equal">
      <formula>0</formula>
    </cfRule>
  </conditionalFormatting>
  <conditionalFormatting sqref="X204:AI205">
    <cfRule type="cellIs" dxfId="310" priority="120" operator="greaterThan">
      <formula>0</formula>
    </cfRule>
    <cfRule type="cellIs" dxfId="309" priority="121" operator="equal">
      <formula>0</formula>
    </cfRule>
  </conditionalFormatting>
  <conditionalFormatting sqref="X205:AI205">
    <cfRule type="cellIs" dxfId="308" priority="559" stopIfTrue="1" operator="equal">
      <formula>0</formula>
    </cfRule>
  </conditionalFormatting>
  <conditionalFormatting sqref="X205:AI216">
    <cfRule type="cellIs" dxfId="307" priority="2536" operator="greaterThan">
      <formula>0</formula>
    </cfRule>
    <cfRule type="cellIs" dxfId="306" priority="2537" operator="equal">
      <formula>0</formula>
    </cfRule>
    <cfRule type="cellIs" dxfId="305" priority="2551" stopIfTrue="1" operator="equal">
      <formula>0</formula>
    </cfRule>
  </conditionalFormatting>
  <conditionalFormatting sqref="X210:AI210">
    <cfRule type="cellIs" dxfId="304" priority="1002" stopIfTrue="1" operator="equal">
      <formula>0</formula>
    </cfRule>
    <cfRule type="cellIs" dxfId="303" priority="1003" stopIfTrue="1" operator="equal">
      <formula>0</formula>
    </cfRule>
    <cfRule type="cellIs" dxfId="302" priority="1004" stopIfTrue="1" operator="greaterThan">
      <formula>0</formula>
    </cfRule>
    <cfRule type="cellIs" dxfId="301" priority="1005" stopIfTrue="1" operator="greaterThan">
      <formula>0</formula>
    </cfRule>
    <cfRule type="cellIs" dxfId="300" priority="1006" stopIfTrue="1" operator="greaterThan">
      <formula>0</formula>
    </cfRule>
  </conditionalFormatting>
  <conditionalFormatting sqref="X211:AI211">
    <cfRule type="cellIs" dxfId="299" priority="223" stopIfTrue="1" operator="equal">
      <formula>0</formula>
    </cfRule>
  </conditionalFormatting>
  <conditionalFormatting sqref="X212:AI216 J212:K216">
    <cfRule type="cellIs" dxfId="298" priority="3024" operator="greaterThan">
      <formula>0</formula>
    </cfRule>
    <cfRule type="cellIs" dxfId="297" priority="3025" operator="equal">
      <formula>0</formula>
    </cfRule>
  </conditionalFormatting>
  <conditionalFormatting sqref="X212:AI216">
    <cfRule type="cellIs" dxfId="296" priority="888" operator="greaterThan">
      <formula>0</formula>
    </cfRule>
    <cfRule type="cellIs" dxfId="295" priority="889" operator="equal">
      <formula>0</formula>
    </cfRule>
    <cfRule type="cellIs" dxfId="294" priority="895" stopIfTrue="1" operator="equal">
      <formula>0</formula>
    </cfRule>
    <cfRule type="cellIs" dxfId="293" priority="3031" stopIfTrue="1" operator="equal">
      <formula>0</formula>
    </cfRule>
  </conditionalFormatting>
  <conditionalFormatting sqref="X217:AI217">
    <cfRule type="cellIs" dxfId="292" priority="2019" stopIfTrue="1" operator="equal">
      <formula>0</formula>
    </cfRule>
    <cfRule type="cellIs" dxfId="291" priority="2020" stopIfTrue="1" operator="greaterThan">
      <formula>0</formula>
    </cfRule>
    <cfRule type="cellIs" dxfId="290" priority="2021" stopIfTrue="1" operator="greaterThan">
      <formula>0</formula>
    </cfRule>
    <cfRule type="cellIs" dxfId="289" priority="2022" stopIfTrue="1" operator="greaterThan">
      <formula>0</formula>
    </cfRule>
  </conditionalFormatting>
  <conditionalFormatting sqref="X218:AI221">
    <cfRule type="cellIs" dxfId="288" priority="1743" stopIfTrue="1" operator="equal">
      <formula>0</formula>
    </cfRule>
  </conditionalFormatting>
  <conditionalFormatting sqref="Y197:AE197">
    <cfRule type="cellIs" dxfId="287" priority="476" operator="greaterThan">
      <formula>0</formula>
    </cfRule>
    <cfRule type="cellIs" dxfId="286" priority="477" operator="equal">
      <formula>0</formula>
    </cfRule>
    <cfRule type="cellIs" dxfId="285" priority="478" stopIfTrue="1" operator="equal">
      <formula>0</formula>
    </cfRule>
    <cfRule type="cellIs" dxfId="284" priority="479" stopIfTrue="1" operator="equal">
      <formula>0</formula>
    </cfRule>
    <cfRule type="cellIs" dxfId="283" priority="480" stopIfTrue="1" operator="greaterThan">
      <formula>0</formula>
    </cfRule>
    <cfRule type="cellIs" dxfId="282" priority="481" stopIfTrue="1" operator="greaterThan">
      <formula>0</formula>
    </cfRule>
    <cfRule type="cellIs" dxfId="281" priority="482" stopIfTrue="1" operator="greaterThan">
      <formula>0</formula>
    </cfRule>
    <cfRule type="cellIs" dxfId="280" priority="483" stopIfTrue="1" operator="equal">
      <formula>0</formula>
    </cfRule>
    <cfRule type="cellIs" dxfId="279" priority="494" stopIfTrue="1" operator="equal">
      <formula>0</formula>
    </cfRule>
    <cfRule type="cellIs" dxfId="278" priority="495" stopIfTrue="1" operator="equal">
      <formula>0</formula>
    </cfRule>
    <cfRule type="cellIs" dxfId="277" priority="496" stopIfTrue="1" operator="greaterThan">
      <formula>0</formula>
    </cfRule>
    <cfRule type="cellIs" dxfId="276" priority="497" stopIfTrue="1" operator="greaterThan">
      <formula>0</formula>
    </cfRule>
    <cfRule type="cellIs" dxfId="275" priority="498" stopIfTrue="1" operator="greaterThan">
      <formula>0</formula>
    </cfRule>
  </conditionalFormatting>
  <conditionalFormatting sqref="AB158:AI158">
    <cfRule type="cellIs" dxfId="274" priority="4024" operator="greaterThan">
      <formula>0</formula>
    </cfRule>
    <cfRule type="cellIs" dxfId="273" priority="4025" operator="equal">
      <formula>0</formula>
    </cfRule>
    <cfRule type="cellIs" dxfId="272" priority="4031" stopIfTrue="1" operator="equal">
      <formula>0</formula>
    </cfRule>
  </conditionalFormatting>
  <conditionalFormatting sqref="AD174:AI174">
    <cfRule type="cellIs" dxfId="271" priority="3592" operator="greaterThan">
      <formula>0</formula>
    </cfRule>
    <cfRule type="cellIs" dxfId="270" priority="3593" operator="equal">
      <formula>0</formula>
    </cfRule>
    <cfRule type="cellIs" dxfId="269" priority="3607" stopIfTrue="1" operator="equal">
      <formula>0</formula>
    </cfRule>
  </conditionalFormatting>
  <conditionalFormatting sqref="AE172:AI172">
    <cfRule type="cellIs" dxfId="268" priority="3688" operator="greaterThan">
      <formula>0</formula>
    </cfRule>
    <cfRule type="cellIs" dxfId="267" priority="3689" operator="equal">
      <formula>0</formula>
    </cfRule>
    <cfRule type="cellIs" dxfId="266" priority="3703" stopIfTrue="1" operator="equal">
      <formula>0</formula>
    </cfRule>
  </conditionalFormatting>
  <conditionalFormatting sqref="AF187:AG187 AI187">
    <cfRule type="cellIs" dxfId="265" priority="1584" operator="greaterThan">
      <formula>0</formula>
    </cfRule>
    <cfRule type="cellIs" dxfId="264" priority="1585" operator="equal">
      <formula>0</formula>
    </cfRule>
    <cfRule type="cellIs" dxfId="263" priority="1586" stopIfTrue="1" operator="equal">
      <formula>0</formula>
    </cfRule>
    <cfRule type="cellIs" dxfId="262" priority="1587" stopIfTrue="1" operator="equal">
      <formula>0</formula>
    </cfRule>
    <cfRule type="cellIs" dxfId="261" priority="1588" stopIfTrue="1" operator="greaterThan">
      <formula>0</formula>
    </cfRule>
    <cfRule type="cellIs" dxfId="260" priority="1589" stopIfTrue="1" operator="greaterThan">
      <formula>0</formula>
    </cfRule>
    <cfRule type="cellIs" dxfId="259" priority="1590" stopIfTrue="1" operator="greaterThan">
      <formula>0</formula>
    </cfRule>
    <cfRule type="cellIs" dxfId="258" priority="1591" stopIfTrue="1" operator="equal">
      <formula>0</formula>
    </cfRule>
  </conditionalFormatting>
  <conditionalFormatting sqref="AF189:AG189 AI189">
    <cfRule type="cellIs" dxfId="257" priority="1488" operator="greaterThan">
      <formula>0</formula>
    </cfRule>
    <cfRule type="cellIs" dxfId="256" priority="1489" operator="equal">
      <formula>0</formula>
    </cfRule>
    <cfRule type="cellIs" dxfId="255" priority="1490" stopIfTrue="1" operator="equal">
      <formula>0</formula>
    </cfRule>
    <cfRule type="cellIs" dxfId="254" priority="1491" stopIfTrue="1" operator="equal">
      <formula>0</formula>
    </cfRule>
    <cfRule type="cellIs" dxfId="253" priority="1492" stopIfTrue="1" operator="greaterThan">
      <formula>0</formula>
    </cfRule>
    <cfRule type="cellIs" dxfId="252" priority="1493" stopIfTrue="1" operator="greaterThan">
      <formula>0</formula>
    </cfRule>
    <cfRule type="cellIs" dxfId="251" priority="1494" stopIfTrue="1" operator="greaterThan">
      <formula>0</formula>
    </cfRule>
    <cfRule type="cellIs" dxfId="250" priority="1495" stopIfTrue="1" operator="equal">
      <formula>0</formula>
    </cfRule>
  </conditionalFormatting>
  <conditionalFormatting sqref="AF192:AG192 AI192">
    <cfRule type="cellIs" dxfId="249" priority="1344" operator="greaterThan">
      <formula>0</formula>
    </cfRule>
    <cfRule type="cellIs" dxfId="248" priority="1345" operator="equal">
      <formula>0</formula>
    </cfRule>
    <cfRule type="cellIs" dxfId="247" priority="1346" stopIfTrue="1" operator="equal">
      <formula>0</formula>
    </cfRule>
    <cfRule type="cellIs" dxfId="246" priority="1347" stopIfTrue="1" operator="equal">
      <formula>0</formula>
    </cfRule>
    <cfRule type="cellIs" dxfId="245" priority="1348" stopIfTrue="1" operator="greaterThan">
      <formula>0</formula>
    </cfRule>
    <cfRule type="cellIs" dxfId="244" priority="1349" stopIfTrue="1" operator="greaterThan">
      <formula>0</formula>
    </cfRule>
    <cfRule type="cellIs" dxfId="243" priority="1350" stopIfTrue="1" operator="greaterThan">
      <formula>0</formula>
    </cfRule>
    <cfRule type="cellIs" dxfId="242" priority="1351" stopIfTrue="1" operator="equal">
      <formula>0</formula>
    </cfRule>
  </conditionalFormatting>
  <conditionalFormatting sqref="AF7:AI7">
    <cfRule type="cellIs" dxfId="241" priority="4223" stopIfTrue="1" operator="equal">
      <formula>0</formula>
    </cfRule>
    <cfRule type="cellIs" dxfId="240" priority="4227" stopIfTrue="1" operator="equal">
      <formula>0</formula>
    </cfRule>
    <cfRule type="cellIs" dxfId="239" priority="4228" stopIfTrue="1" operator="greaterThan">
      <formula>0</formula>
    </cfRule>
    <cfRule type="cellIs" dxfId="238" priority="4229" stopIfTrue="1" operator="greaterThan">
      <formula>0</formula>
    </cfRule>
    <cfRule type="cellIs" dxfId="237" priority="4230" stopIfTrue="1" operator="greaterThan">
      <formula>0</formula>
    </cfRule>
  </conditionalFormatting>
  <conditionalFormatting sqref="AF8:AI9">
    <cfRule type="cellIs" dxfId="236" priority="4175" stopIfTrue="1" operator="equal">
      <formula>0</formula>
    </cfRule>
  </conditionalFormatting>
  <conditionalFormatting sqref="AF8:AI158">
    <cfRule type="cellIs" dxfId="235" priority="4179" stopIfTrue="1" operator="equal">
      <formula>0</formula>
    </cfRule>
    <cfRule type="cellIs" dxfId="234" priority="4180" stopIfTrue="1" operator="greaterThan">
      <formula>0</formula>
    </cfRule>
    <cfRule type="cellIs" dxfId="233" priority="4181" stopIfTrue="1" operator="greaterThan">
      <formula>0</formula>
    </cfRule>
    <cfRule type="cellIs" dxfId="232" priority="4182" stopIfTrue="1" operator="greaterThan">
      <formula>0</formula>
    </cfRule>
  </conditionalFormatting>
  <conditionalFormatting sqref="AF159:AI159">
    <cfRule type="cellIs" dxfId="231" priority="2451" stopIfTrue="1" operator="equal">
      <formula>0</formula>
    </cfRule>
    <cfRule type="cellIs" dxfId="230" priority="2452" stopIfTrue="1" operator="greaterThan">
      <formula>0</formula>
    </cfRule>
    <cfRule type="cellIs" dxfId="229" priority="2453" stopIfTrue="1" operator="greaterThan">
      <formula>0</formula>
    </cfRule>
    <cfRule type="cellIs" dxfId="228" priority="2454" stopIfTrue="1" operator="greaterThan">
      <formula>0</formula>
    </cfRule>
  </conditionalFormatting>
  <conditionalFormatting sqref="AF159:AI160">
    <cfRule type="cellIs" dxfId="227" priority="2407" stopIfTrue="1" operator="equal">
      <formula>0</formula>
    </cfRule>
  </conditionalFormatting>
  <conditionalFormatting sqref="AF161:AI161">
    <cfRule type="cellIs" dxfId="226" priority="2355" stopIfTrue="1" operator="equal">
      <formula>0</formula>
    </cfRule>
    <cfRule type="cellIs" dxfId="225" priority="2356" stopIfTrue="1" operator="greaterThan">
      <formula>0</formula>
    </cfRule>
    <cfRule type="cellIs" dxfId="224" priority="2357" stopIfTrue="1" operator="greaterThan">
      <formula>0</formula>
    </cfRule>
    <cfRule type="cellIs" dxfId="223" priority="2358" stopIfTrue="1" operator="greaterThan">
      <formula>0</formula>
    </cfRule>
  </conditionalFormatting>
  <conditionalFormatting sqref="AF161:AI162">
    <cfRule type="cellIs" dxfId="222" priority="2303" stopIfTrue="1" operator="equal">
      <formula>0</formula>
    </cfRule>
  </conditionalFormatting>
  <conditionalFormatting sqref="AF163:AI163">
    <cfRule type="cellIs" dxfId="221" priority="2243" stopIfTrue="1" operator="equal">
      <formula>0</formula>
    </cfRule>
    <cfRule type="cellIs" dxfId="220" priority="2244" stopIfTrue="1" operator="greaterThan">
      <formula>0</formula>
    </cfRule>
    <cfRule type="cellIs" dxfId="219" priority="2245" stopIfTrue="1" operator="greaterThan">
      <formula>0</formula>
    </cfRule>
    <cfRule type="cellIs" dxfId="218" priority="2246" stopIfTrue="1" operator="greaterThan">
      <formula>0</formula>
    </cfRule>
  </conditionalFormatting>
  <conditionalFormatting sqref="AF163:AI164">
    <cfRule type="cellIs" dxfId="217" priority="2191" stopIfTrue="1" operator="equal">
      <formula>0</formula>
    </cfRule>
  </conditionalFormatting>
  <conditionalFormatting sqref="AF165:AI165">
    <cfRule type="cellIs" dxfId="216" priority="2131" stopIfTrue="1" operator="equal">
      <formula>0</formula>
    </cfRule>
    <cfRule type="cellIs" dxfId="215" priority="2132" stopIfTrue="1" operator="greaterThan">
      <formula>0</formula>
    </cfRule>
    <cfRule type="cellIs" dxfId="214" priority="2133" stopIfTrue="1" operator="greaterThan">
      <formula>0</formula>
    </cfRule>
    <cfRule type="cellIs" dxfId="213" priority="2134" stopIfTrue="1" operator="greaterThan">
      <formula>0</formula>
    </cfRule>
  </conditionalFormatting>
  <conditionalFormatting sqref="AF165:AI166">
    <cfRule type="cellIs" dxfId="212" priority="2079" stopIfTrue="1" operator="equal">
      <formula>0</formula>
    </cfRule>
  </conditionalFormatting>
  <conditionalFormatting sqref="AF167:AI167">
    <cfRule type="cellIs" dxfId="211" priority="90" stopIfTrue="1" operator="equal">
      <formula>0</formula>
    </cfRule>
    <cfRule type="cellIs" dxfId="210" priority="91" stopIfTrue="1" operator="equal">
      <formula>0</formula>
    </cfRule>
    <cfRule type="cellIs" dxfId="209" priority="92" stopIfTrue="1" operator="greaterThan">
      <formula>0</formula>
    </cfRule>
    <cfRule type="cellIs" dxfId="208" priority="93" stopIfTrue="1" operator="greaterThan">
      <formula>0</formula>
    </cfRule>
    <cfRule type="cellIs" dxfId="207" priority="94" stopIfTrue="1" operator="greaterThan">
      <formula>0</formula>
    </cfRule>
  </conditionalFormatting>
  <conditionalFormatting sqref="AF168:AI171">
    <cfRule type="cellIs" dxfId="206" priority="3743" stopIfTrue="1" operator="equal">
      <formula>0</formula>
    </cfRule>
  </conditionalFormatting>
  <conditionalFormatting sqref="AF169:AI171">
    <cfRule type="cellIs" dxfId="205" priority="3747" stopIfTrue="1" operator="equal">
      <formula>0</formula>
    </cfRule>
    <cfRule type="cellIs" dxfId="204" priority="3748" stopIfTrue="1" operator="greaterThan">
      <formula>0</formula>
    </cfRule>
    <cfRule type="cellIs" dxfId="203" priority="3749" stopIfTrue="1" operator="greaterThan">
      <formula>0</formula>
    </cfRule>
    <cfRule type="cellIs" dxfId="202" priority="3750" stopIfTrue="1" operator="greaterThan">
      <formula>0</formula>
    </cfRule>
  </conditionalFormatting>
  <conditionalFormatting sqref="AF172:AI172">
    <cfRule type="cellIs" dxfId="201" priority="3695" stopIfTrue="1" operator="equal">
      <formula>0</formula>
    </cfRule>
    <cfRule type="cellIs" dxfId="200" priority="3699" stopIfTrue="1" operator="equal">
      <formula>0</formula>
    </cfRule>
    <cfRule type="cellIs" dxfId="199" priority="3700" stopIfTrue="1" operator="greaterThan">
      <formula>0</formula>
    </cfRule>
    <cfRule type="cellIs" dxfId="198" priority="3701" stopIfTrue="1" operator="greaterThan">
      <formula>0</formula>
    </cfRule>
    <cfRule type="cellIs" dxfId="197" priority="3702" stopIfTrue="1" operator="greaterThan">
      <formula>0</formula>
    </cfRule>
  </conditionalFormatting>
  <conditionalFormatting sqref="AF173:AI173">
    <cfRule type="cellIs" dxfId="196" priority="3647" stopIfTrue="1" operator="equal">
      <formula>0</formula>
    </cfRule>
    <cfRule type="cellIs" dxfId="195" priority="3651" stopIfTrue="1" operator="equal">
      <formula>0</formula>
    </cfRule>
    <cfRule type="cellIs" dxfId="194" priority="3652" stopIfTrue="1" operator="greaterThan">
      <formula>0</formula>
    </cfRule>
    <cfRule type="cellIs" dxfId="193" priority="3653" stopIfTrue="1" operator="greaterThan">
      <formula>0</formula>
    </cfRule>
    <cfRule type="cellIs" dxfId="192" priority="3654" stopIfTrue="1" operator="greaterThan">
      <formula>0</formula>
    </cfRule>
  </conditionalFormatting>
  <conditionalFormatting sqref="AF174:AI174">
    <cfRule type="cellIs" dxfId="191" priority="3599" stopIfTrue="1" operator="equal">
      <formula>0</formula>
    </cfRule>
    <cfRule type="cellIs" dxfId="190" priority="3603" stopIfTrue="1" operator="equal">
      <formula>0</formula>
    </cfRule>
    <cfRule type="cellIs" dxfId="189" priority="3604" stopIfTrue="1" operator="greaterThan">
      <formula>0</formula>
    </cfRule>
    <cfRule type="cellIs" dxfId="188" priority="3605" stopIfTrue="1" operator="greaterThan">
      <formula>0</formula>
    </cfRule>
    <cfRule type="cellIs" dxfId="187" priority="3606" stopIfTrue="1" operator="greaterThan">
      <formula>0</formula>
    </cfRule>
  </conditionalFormatting>
  <conditionalFormatting sqref="AF175:AI176">
    <cfRule type="cellIs" dxfId="186" priority="3498" stopIfTrue="1" operator="equal">
      <formula>0</formula>
    </cfRule>
    <cfRule type="cellIs" dxfId="185" priority="3499" stopIfTrue="1" operator="equal">
      <formula>0</formula>
    </cfRule>
    <cfRule type="cellIs" dxfId="184" priority="3500" stopIfTrue="1" operator="greaterThan">
      <formula>0</formula>
    </cfRule>
    <cfRule type="cellIs" dxfId="183" priority="3501" stopIfTrue="1" operator="greaterThan">
      <formula>0</formula>
    </cfRule>
    <cfRule type="cellIs" dxfId="182" priority="3502" stopIfTrue="1" operator="greaterThan">
      <formula>0</formula>
    </cfRule>
  </conditionalFormatting>
  <conditionalFormatting sqref="AF178:AI179">
    <cfRule type="cellIs" dxfId="181" priority="3319" stopIfTrue="1" operator="equal">
      <formula>0</formula>
    </cfRule>
  </conditionalFormatting>
  <conditionalFormatting sqref="AF180:AI180">
    <cfRule type="cellIs" dxfId="180" priority="3267" stopIfTrue="1" operator="equal">
      <formula>0</formula>
    </cfRule>
    <cfRule type="cellIs" dxfId="179" priority="3268" stopIfTrue="1" operator="greaterThan">
      <formula>0</formula>
    </cfRule>
    <cfRule type="cellIs" dxfId="178" priority="3269" stopIfTrue="1" operator="greaterThan">
      <formula>0</formula>
    </cfRule>
    <cfRule type="cellIs" dxfId="177" priority="3270" stopIfTrue="1" operator="greaterThan">
      <formula>0</formula>
    </cfRule>
  </conditionalFormatting>
  <conditionalFormatting sqref="AF180:AI182">
    <cfRule type="cellIs" dxfId="176" priority="3223" stopIfTrue="1" operator="equal">
      <formula>0</formula>
    </cfRule>
  </conditionalFormatting>
  <conditionalFormatting sqref="AF183:AI183">
    <cfRule type="cellIs" dxfId="175" priority="3123" stopIfTrue="1" operator="equal">
      <formula>0</formula>
    </cfRule>
    <cfRule type="cellIs" dxfId="174" priority="3124" stopIfTrue="1" operator="greaterThan">
      <formula>0</formula>
    </cfRule>
    <cfRule type="cellIs" dxfId="173" priority="3125" stopIfTrue="1" operator="greaterThan">
      <formula>0</formula>
    </cfRule>
    <cfRule type="cellIs" dxfId="172" priority="3126" stopIfTrue="1" operator="greaterThan">
      <formula>0</formula>
    </cfRule>
  </conditionalFormatting>
  <conditionalFormatting sqref="AF183:AI184">
    <cfRule type="cellIs" dxfId="171" priority="312" operator="greaterThan">
      <formula>0</formula>
    </cfRule>
    <cfRule type="cellIs" dxfId="170" priority="313" operator="equal">
      <formula>0</formula>
    </cfRule>
  </conditionalFormatting>
  <conditionalFormatting sqref="AF183:AI185 AF187:AG187 AI187 AF188:AI188 AF189:AG189 AI189 AF190:AI191 AF192:AG192 AI192 AF193:AI193 AF195:AI195 AG196:AI196">
    <cfRule type="cellIs" dxfId="169" priority="3079" stopIfTrue="1" operator="equal">
      <formula>0</formula>
    </cfRule>
  </conditionalFormatting>
  <conditionalFormatting sqref="AF184:AI185 AF187:AG187 AI187 AF188:AI188 AF189:AG189 AI189 AF190:AI191 AF192:AG192 AI192 AF193:AI193 AF195:AI195 AG196:AI196">
    <cfRule type="cellIs" dxfId="168" priority="3076" stopIfTrue="1" operator="greaterThan">
      <formula>0</formula>
    </cfRule>
    <cfRule type="cellIs" dxfId="167" priority="3077" stopIfTrue="1" operator="greaterThan">
      <formula>0</formula>
    </cfRule>
    <cfRule type="cellIs" dxfId="166" priority="3078" stopIfTrue="1" operator="greaterThan">
      <formula>0</formula>
    </cfRule>
  </conditionalFormatting>
  <conditionalFormatting sqref="AF184:AI185">
    <cfRule type="cellIs" dxfId="165" priority="1639" stopIfTrue="1" operator="equal">
      <formula>0</formula>
    </cfRule>
  </conditionalFormatting>
  <conditionalFormatting sqref="AF185:AI185">
    <cfRule type="cellIs" dxfId="164" priority="1632" operator="greaterThan">
      <formula>0</formula>
    </cfRule>
    <cfRule type="cellIs" dxfId="163" priority="1633" operator="equal">
      <formula>0</formula>
    </cfRule>
    <cfRule type="cellIs" dxfId="162" priority="1634" stopIfTrue="1" operator="equal">
      <formula>0</formula>
    </cfRule>
    <cfRule type="cellIs" dxfId="161" priority="1635" stopIfTrue="1" operator="equal">
      <formula>0</formula>
    </cfRule>
    <cfRule type="cellIs" dxfId="160" priority="1636" stopIfTrue="1" operator="greaterThan">
      <formula>0</formula>
    </cfRule>
    <cfRule type="cellIs" dxfId="159" priority="1637" stopIfTrue="1" operator="greaterThan">
      <formula>0</formula>
    </cfRule>
    <cfRule type="cellIs" dxfId="158" priority="1638" stopIfTrue="1" operator="greaterThan">
      <formula>0</formula>
    </cfRule>
  </conditionalFormatting>
  <conditionalFormatting sqref="AF186:AI186">
    <cfRule type="cellIs" dxfId="157" priority="282" stopIfTrue="1" operator="equal">
      <formula>0</formula>
    </cfRule>
    <cfRule type="cellIs" dxfId="156" priority="283" stopIfTrue="1" operator="equal">
      <formula>0</formula>
    </cfRule>
    <cfRule type="cellIs" dxfId="155" priority="284" stopIfTrue="1" operator="greaterThan">
      <formula>0</formula>
    </cfRule>
    <cfRule type="cellIs" dxfId="154" priority="285" stopIfTrue="1" operator="greaterThan">
      <formula>0</formula>
    </cfRule>
    <cfRule type="cellIs" dxfId="153" priority="286" stopIfTrue="1" operator="greaterThan">
      <formula>0</formula>
    </cfRule>
  </conditionalFormatting>
  <conditionalFormatting sqref="AF188:AI188">
    <cfRule type="cellIs" dxfId="152" priority="1536" operator="greaterThan">
      <formula>0</formula>
    </cfRule>
    <cfRule type="cellIs" dxfId="151" priority="1537" operator="equal">
      <formula>0</formula>
    </cfRule>
    <cfRule type="cellIs" dxfId="150" priority="1538" stopIfTrue="1" operator="equal">
      <formula>0</formula>
    </cfRule>
    <cfRule type="cellIs" dxfId="149" priority="1539" stopIfTrue="1" operator="equal">
      <formula>0</formula>
    </cfRule>
    <cfRule type="cellIs" dxfId="148" priority="1540" stopIfTrue="1" operator="greaterThan">
      <formula>0</formula>
    </cfRule>
    <cfRule type="cellIs" dxfId="147" priority="1541" stopIfTrue="1" operator="greaterThan">
      <formula>0</formula>
    </cfRule>
    <cfRule type="cellIs" dxfId="146" priority="1542" stopIfTrue="1" operator="greaterThan">
      <formula>0</formula>
    </cfRule>
    <cfRule type="cellIs" dxfId="145" priority="1543" stopIfTrue="1" operator="equal">
      <formula>0</formula>
    </cfRule>
  </conditionalFormatting>
  <conditionalFormatting sqref="AF190:AI191">
    <cfRule type="cellIs" dxfId="144" priority="1394" stopIfTrue="1" operator="equal">
      <formula>0</formula>
    </cfRule>
    <cfRule type="cellIs" dxfId="143" priority="1395" stopIfTrue="1" operator="equal">
      <formula>0</formula>
    </cfRule>
    <cfRule type="cellIs" dxfId="142" priority="1396" stopIfTrue="1" operator="greaterThan">
      <formula>0</formula>
    </cfRule>
    <cfRule type="cellIs" dxfId="141" priority="1397" stopIfTrue="1" operator="greaterThan">
      <formula>0</formula>
    </cfRule>
    <cfRule type="cellIs" dxfId="140" priority="1398" stopIfTrue="1" operator="greaterThan">
      <formula>0</formula>
    </cfRule>
  </conditionalFormatting>
  <conditionalFormatting sqref="AF193:AI193">
    <cfRule type="cellIs" dxfId="139" priority="1296" operator="greaterThan">
      <formula>0</formula>
    </cfRule>
    <cfRule type="cellIs" dxfId="138" priority="1297" operator="equal">
      <formula>0</formula>
    </cfRule>
    <cfRule type="cellIs" dxfId="137" priority="1298" stopIfTrue="1" operator="equal">
      <formula>0</formula>
    </cfRule>
    <cfRule type="cellIs" dxfId="136" priority="1299" stopIfTrue="1" operator="equal">
      <formula>0</formula>
    </cfRule>
    <cfRule type="cellIs" dxfId="135" priority="1300" stopIfTrue="1" operator="greaterThan">
      <formula>0</formula>
    </cfRule>
    <cfRule type="cellIs" dxfId="134" priority="1301" stopIfTrue="1" operator="greaterThan">
      <formula>0</formula>
    </cfRule>
    <cfRule type="cellIs" dxfId="133" priority="1302" stopIfTrue="1" operator="greaterThan">
      <formula>0</formula>
    </cfRule>
    <cfRule type="cellIs" dxfId="132" priority="1303" stopIfTrue="1" operator="equal">
      <formula>0</formula>
    </cfRule>
  </conditionalFormatting>
  <conditionalFormatting sqref="AF194:AI194">
    <cfRule type="cellIs" dxfId="131" priority="250" stopIfTrue="1" operator="equal">
      <formula>0</formula>
    </cfRule>
    <cfRule type="cellIs" dxfId="130" priority="251" stopIfTrue="1" operator="equal">
      <formula>0</formula>
    </cfRule>
    <cfRule type="cellIs" dxfId="129" priority="252" stopIfTrue="1" operator="greaterThan">
      <formula>0</formula>
    </cfRule>
    <cfRule type="cellIs" dxfId="128" priority="253" stopIfTrue="1" operator="greaterThan">
      <formula>0</formula>
    </cfRule>
    <cfRule type="cellIs" dxfId="127" priority="254" stopIfTrue="1" operator="greaterThan">
      <formula>0</formula>
    </cfRule>
  </conditionalFormatting>
  <conditionalFormatting sqref="AF195:AI195">
    <cfRule type="cellIs" dxfId="126" priority="1248" operator="greaterThan">
      <formula>0</formula>
    </cfRule>
    <cfRule type="cellIs" dxfId="125" priority="1249" operator="equal">
      <formula>0</formula>
    </cfRule>
    <cfRule type="cellIs" dxfId="124" priority="1250" stopIfTrue="1" operator="equal">
      <formula>0</formula>
    </cfRule>
    <cfRule type="cellIs" dxfId="123" priority="1251" stopIfTrue="1" operator="equal">
      <formula>0</formula>
    </cfRule>
    <cfRule type="cellIs" dxfId="122" priority="1252" stopIfTrue="1" operator="greaterThan">
      <formula>0</formula>
    </cfRule>
    <cfRule type="cellIs" dxfId="121" priority="1253" stopIfTrue="1" operator="greaterThan">
      <formula>0</formula>
    </cfRule>
    <cfRule type="cellIs" dxfId="120" priority="1254" stopIfTrue="1" operator="greaterThan">
      <formula>0</formula>
    </cfRule>
    <cfRule type="cellIs" dxfId="119" priority="1255" stopIfTrue="1" operator="equal">
      <formula>0</formula>
    </cfRule>
  </conditionalFormatting>
  <conditionalFormatting sqref="AF198:AI198">
    <cfRule type="cellIs" dxfId="118" priority="186" stopIfTrue="1" operator="equal">
      <formula>0</formula>
    </cfRule>
    <cfRule type="cellIs" dxfId="117" priority="187" stopIfTrue="1" operator="equal">
      <formula>0</formula>
    </cfRule>
    <cfRule type="cellIs" dxfId="116" priority="188" stopIfTrue="1" operator="greaterThan">
      <formula>0</formula>
    </cfRule>
    <cfRule type="cellIs" dxfId="115" priority="189" stopIfTrue="1" operator="greaterThan">
      <formula>0</formula>
    </cfRule>
    <cfRule type="cellIs" dxfId="114" priority="190" stopIfTrue="1" operator="greaterThan">
      <formula>0</formula>
    </cfRule>
  </conditionalFormatting>
  <conditionalFormatting sqref="AF199:AI199">
    <cfRule type="cellIs" dxfId="113" priority="834" stopIfTrue="1" operator="equal">
      <formula>0</formula>
    </cfRule>
    <cfRule type="cellIs" dxfId="112" priority="835" stopIfTrue="1" operator="equal">
      <formula>0</formula>
    </cfRule>
    <cfRule type="cellIs" dxfId="111" priority="836" stopIfTrue="1" operator="greaterThan">
      <formula>0</formula>
    </cfRule>
    <cfRule type="cellIs" dxfId="110" priority="837" stopIfTrue="1" operator="greaterThan">
      <formula>0</formula>
    </cfRule>
    <cfRule type="cellIs" dxfId="109" priority="838" stopIfTrue="1" operator="greaterThan">
      <formula>0</formula>
    </cfRule>
    <cfRule type="cellIs" dxfId="108" priority="2978" stopIfTrue="1" operator="equal">
      <formula>0</formula>
    </cfRule>
    <cfRule type="cellIs" dxfId="107" priority="2979" stopIfTrue="1" operator="equal">
      <formula>0</formula>
    </cfRule>
    <cfRule type="cellIs" dxfId="106" priority="2980" stopIfTrue="1" operator="greaterThan">
      <formula>0</formula>
    </cfRule>
    <cfRule type="cellIs" dxfId="105" priority="2981" stopIfTrue="1" operator="greaterThan">
      <formula>0</formula>
    </cfRule>
    <cfRule type="cellIs" dxfId="104" priority="2982" stopIfTrue="1" operator="greaterThan">
      <formula>0</formula>
    </cfRule>
  </conditionalFormatting>
  <conditionalFormatting sqref="AF200:AI200">
    <cfRule type="cellIs" dxfId="103" priority="154" stopIfTrue="1" operator="equal">
      <formula>0</formula>
    </cfRule>
    <cfRule type="cellIs" dxfId="102" priority="155" stopIfTrue="1" operator="equal">
      <formula>0</formula>
    </cfRule>
    <cfRule type="cellIs" dxfId="101" priority="156" stopIfTrue="1" operator="greaterThan">
      <formula>0</formula>
    </cfRule>
    <cfRule type="cellIs" dxfId="100" priority="157" stopIfTrue="1" operator="greaterThan">
      <formula>0</formula>
    </cfRule>
    <cfRule type="cellIs" dxfId="99" priority="158" stopIfTrue="1" operator="greaterThan">
      <formula>0</formula>
    </cfRule>
  </conditionalFormatting>
  <conditionalFormatting sqref="AF201:AI201">
    <cfRule type="cellIs" dxfId="98" priority="719" stopIfTrue="1" operator="equal">
      <formula>0</formula>
    </cfRule>
    <cfRule type="cellIs" dxfId="97" priority="723" stopIfTrue="1" operator="equal">
      <formula>0</formula>
    </cfRule>
    <cfRule type="cellIs" dxfId="96" priority="724" stopIfTrue="1" operator="greaterThan">
      <formula>0</formula>
    </cfRule>
    <cfRule type="cellIs" dxfId="95" priority="725" stopIfTrue="1" operator="greaterThan">
      <formula>0</formula>
    </cfRule>
    <cfRule type="cellIs" dxfId="94" priority="726" stopIfTrue="1" operator="greaterThan">
      <formula>0</formula>
    </cfRule>
    <cfRule type="cellIs" dxfId="93" priority="2882" stopIfTrue="1" operator="equal">
      <formula>0</formula>
    </cfRule>
    <cfRule type="cellIs" dxfId="92" priority="2883" stopIfTrue="1" operator="equal">
      <formula>0</formula>
    </cfRule>
    <cfRule type="cellIs" dxfId="91" priority="2884" stopIfTrue="1" operator="greaterThan">
      <formula>0</formula>
    </cfRule>
    <cfRule type="cellIs" dxfId="90" priority="2885" stopIfTrue="1" operator="greaterThan">
      <formula>0</formula>
    </cfRule>
    <cfRule type="cellIs" dxfId="89" priority="2886" stopIfTrue="1" operator="greaterThan">
      <formula>0</formula>
    </cfRule>
  </conditionalFormatting>
  <conditionalFormatting sqref="AF202:AI202">
    <cfRule type="cellIs" dxfId="88" priority="346" stopIfTrue="1" operator="equal">
      <formula>0</formula>
    </cfRule>
    <cfRule type="cellIs" dxfId="87" priority="347" stopIfTrue="1" operator="equal">
      <formula>0</formula>
    </cfRule>
    <cfRule type="cellIs" dxfId="86" priority="348" stopIfTrue="1" operator="greaterThan">
      <formula>0</formula>
    </cfRule>
    <cfRule type="cellIs" dxfId="85" priority="349" stopIfTrue="1" operator="greaterThan">
      <formula>0</formula>
    </cfRule>
    <cfRule type="cellIs" dxfId="84" priority="350" stopIfTrue="1" operator="greaterThan">
      <formula>0</formula>
    </cfRule>
    <cfRule type="cellIs" dxfId="83" priority="391" stopIfTrue="1" operator="equal">
      <formula>0</formula>
    </cfRule>
    <cfRule type="cellIs" dxfId="82" priority="395" stopIfTrue="1" operator="equal">
      <formula>0</formula>
    </cfRule>
    <cfRule type="cellIs" dxfId="81" priority="396" stopIfTrue="1" operator="greaterThan">
      <formula>0</formula>
    </cfRule>
    <cfRule type="cellIs" dxfId="80" priority="397" stopIfTrue="1" operator="greaterThan">
      <formula>0</formula>
    </cfRule>
    <cfRule type="cellIs" dxfId="79" priority="398" stopIfTrue="1" operator="greaterThan">
      <formula>0</formula>
    </cfRule>
  </conditionalFormatting>
  <conditionalFormatting sqref="AF203:AI203">
    <cfRule type="cellIs" dxfId="78" priority="666" stopIfTrue="1" operator="equal">
      <formula>0</formula>
    </cfRule>
    <cfRule type="cellIs" dxfId="77" priority="667" stopIfTrue="1" operator="equal">
      <formula>0</formula>
    </cfRule>
    <cfRule type="cellIs" dxfId="76" priority="668" stopIfTrue="1" operator="greaterThan">
      <formula>0</formula>
    </cfRule>
    <cfRule type="cellIs" dxfId="75" priority="669" stopIfTrue="1" operator="greaterThan">
      <formula>0</formula>
    </cfRule>
    <cfRule type="cellIs" dxfId="74" priority="670" stopIfTrue="1" operator="greaterThan">
      <formula>0</formula>
    </cfRule>
    <cfRule type="cellIs" dxfId="73" priority="2834" stopIfTrue="1" operator="equal">
      <formula>0</formula>
    </cfRule>
    <cfRule type="cellIs" dxfId="72" priority="2835" stopIfTrue="1" operator="equal">
      <formula>0</formula>
    </cfRule>
    <cfRule type="cellIs" dxfId="71" priority="2836" stopIfTrue="1" operator="greaterThan">
      <formula>0</formula>
    </cfRule>
    <cfRule type="cellIs" dxfId="70" priority="2837" stopIfTrue="1" operator="greaterThan">
      <formula>0</formula>
    </cfRule>
    <cfRule type="cellIs" dxfId="69" priority="2838" stopIfTrue="1" operator="greaterThan">
      <formula>0</formula>
    </cfRule>
  </conditionalFormatting>
  <conditionalFormatting sqref="AF204:AI204">
    <cfRule type="cellIs" dxfId="68" priority="122" stopIfTrue="1" operator="equal">
      <formula>0</formula>
    </cfRule>
    <cfRule type="cellIs" dxfId="67" priority="123" stopIfTrue="1" operator="equal">
      <formula>0</formula>
    </cfRule>
    <cfRule type="cellIs" dxfId="66" priority="124" stopIfTrue="1" operator="greaterThan">
      <formula>0</formula>
    </cfRule>
    <cfRule type="cellIs" dxfId="65" priority="125" stopIfTrue="1" operator="greaterThan">
      <formula>0</formula>
    </cfRule>
    <cfRule type="cellIs" dxfId="64" priority="126" stopIfTrue="1" operator="greaterThan">
      <formula>0</formula>
    </cfRule>
  </conditionalFormatting>
  <conditionalFormatting sqref="AF205:AI205">
    <cfRule type="cellIs" dxfId="63" priority="546" stopIfTrue="1" operator="equal">
      <formula>0</formula>
    </cfRule>
    <cfRule type="cellIs" dxfId="62" priority="547" stopIfTrue="1" operator="equal">
      <formula>0</formula>
    </cfRule>
    <cfRule type="cellIs" dxfId="61" priority="548" stopIfTrue="1" operator="greaterThan">
      <formula>0</formula>
    </cfRule>
    <cfRule type="cellIs" dxfId="60" priority="549" stopIfTrue="1" operator="greaterThan">
      <formula>0</formula>
    </cfRule>
    <cfRule type="cellIs" dxfId="59" priority="550" stopIfTrue="1" operator="greaterThan">
      <formula>0</formula>
    </cfRule>
  </conditionalFormatting>
  <conditionalFormatting sqref="AF205:AI216">
    <cfRule type="cellIs" dxfId="58" priority="2538" stopIfTrue="1" operator="equal">
      <formula>0</formula>
    </cfRule>
    <cfRule type="cellIs" dxfId="57" priority="2539" stopIfTrue="1" operator="equal">
      <formula>0</formula>
    </cfRule>
    <cfRule type="cellIs" dxfId="56" priority="2540" stopIfTrue="1" operator="greaterThan">
      <formula>0</formula>
    </cfRule>
    <cfRule type="cellIs" dxfId="55" priority="2541" stopIfTrue="1" operator="greaterThan">
      <formula>0</formula>
    </cfRule>
    <cfRule type="cellIs" dxfId="54" priority="2542" stopIfTrue="1" operator="greaterThan">
      <formula>0</formula>
    </cfRule>
  </conditionalFormatting>
  <conditionalFormatting sqref="AF211:AI211">
    <cfRule type="cellIs" dxfId="53" priority="218" stopIfTrue="1" operator="equal">
      <formula>0</formula>
    </cfRule>
    <cfRule type="cellIs" dxfId="52" priority="219" stopIfTrue="1" operator="equal">
      <formula>0</formula>
    </cfRule>
    <cfRule type="cellIs" dxfId="51" priority="220" stopIfTrue="1" operator="greaterThan">
      <formula>0</formula>
    </cfRule>
    <cfRule type="cellIs" dxfId="50" priority="221" stopIfTrue="1" operator="greaterThan">
      <formula>0</formula>
    </cfRule>
    <cfRule type="cellIs" dxfId="49" priority="222" stopIfTrue="1" operator="greaterThan">
      <formula>0</formula>
    </cfRule>
  </conditionalFormatting>
  <conditionalFormatting sqref="AF212:AI216">
    <cfRule type="cellIs" dxfId="48" priority="891" stopIfTrue="1" operator="equal">
      <formula>0</formula>
    </cfRule>
    <cfRule type="cellIs" dxfId="47" priority="892" stopIfTrue="1" operator="greaterThan">
      <formula>0</formula>
    </cfRule>
    <cfRule type="cellIs" dxfId="46" priority="893" stopIfTrue="1" operator="greaterThan">
      <formula>0</formula>
    </cfRule>
    <cfRule type="cellIs" dxfId="45" priority="894" stopIfTrue="1" operator="greaterThan">
      <formula>0</formula>
    </cfRule>
    <cfRule type="cellIs" dxfId="44" priority="3026" stopIfTrue="1" operator="equal">
      <formula>0</formula>
    </cfRule>
    <cfRule type="cellIs" dxfId="43" priority="3027" stopIfTrue="1" operator="equal">
      <formula>0</formula>
    </cfRule>
    <cfRule type="cellIs" dxfId="42" priority="3028" stopIfTrue="1" operator="greaterThan">
      <formula>0</formula>
    </cfRule>
    <cfRule type="cellIs" dxfId="41" priority="3029" stopIfTrue="1" operator="greaterThan">
      <formula>0</formula>
    </cfRule>
    <cfRule type="cellIs" dxfId="40" priority="3030" stopIfTrue="1" operator="greaterThan">
      <formula>0</formula>
    </cfRule>
  </conditionalFormatting>
  <conditionalFormatting sqref="AF212:AI218">
    <cfRule type="cellIs" dxfId="39" priority="890" stopIfTrue="1" operator="equal">
      <formula>0</formula>
    </cfRule>
  </conditionalFormatting>
  <conditionalFormatting sqref="AF218:AI221">
    <cfRule type="cellIs" dxfId="38" priority="1739" stopIfTrue="1" operator="equal">
      <formula>0</formula>
    </cfRule>
    <cfRule type="cellIs" dxfId="37" priority="1740" stopIfTrue="1" operator="greaterThan">
      <formula>0</formula>
    </cfRule>
    <cfRule type="cellIs" dxfId="36" priority="1741" stopIfTrue="1" operator="greaterThan">
      <formula>0</formula>
    </cfRule>
    <cfRule type="cellIs" dxfId="35" priority="1742" stopIfTrue="1" operator="greaterThan">
      <formula>0</formula>
    </cfRule>
  </conditionalFormatting>
  <conditionalFormatting sqref="AF220:AI221">
    <cfRule type="cellIs" dxfId="34" priority="1735" stopIfTrue="1" operator="equal">
      <formula>0</formula>
    </cfRule>
  </conditionalFormatting>
  <conditionalFormatting sqref="AG197:AH197">
    <cfRule type="cellIs" dxfId="33" priority="468" operator="greaterThan">
      <formula>0</formula>
    </cfRule>
    <cfRule type="cellIs" dxfId="32" priority="469" operator="equal">
      <formula>0</formula>
    </cfRule>
    <cfRule type="cellIs" dxfId="31" priority="470" stopIfTrue="1" operator="equal">
      <formula>0</formula>
    </cfRule>
    <cfRule type="cellIs" dxfId="30" priority="471" stopIfTrue="1" operator="equal">
      <formula>0</formula>
    </cfRule>
    <cfRule type="cellIs" dxfId="29" priority="472" stopIfTrue="1" operator="greaterThan">
      <formula>0</formula>
    </cfRule>
    <cfRule type="cellIs" dxfId="28" priority="473" stopIfTrue="1" operator="greaterThan">
      <formula>0</formula>
    </cfRule>
    <cfRule type="cellIs" dxfId="27" priority="474" stopIfTrue="1" operator="greaterThan">
      <formula>0</formula>
    </cfRule>
    <cfRule type="cellIs" dxfId="26" priority="475" stopIfTrue="1" operator="equal">
      <formula>0</formula>
    </cfRule>
    <cfRule type="cellIs" dxfId="25" priority="486" stopIfTrue="1" operator="equal">
      <formula>0</formula>
    </cfRule>
    <cfRule type="cellIs" dxfId="24" priority="487" stopIfTrue="1" operator="equal">
      <formula>0</formula>
    </cfRule>
    <cfRule type="cellIs" dxfId="23" priority="488" stopIfTrue="1" operator="greaterThan">
      <formula>0</formula>
    </cfRule>
    <cfRule type="cellIs" dxfId="22" priority="489" stopIfTrue="1" operator="greaterThan">
      <formula>0</formula>
    </cfRule>
    <cfRule type="cellIs" dxfId="21" priority="490" stopIfTrue="1" operator="greaterThan">
      <formula>0</formula>
    </cfRule>
    <cfRule type="cellIs" dxfId="20" priority="491" stopIfTrue="1" operator="equal">
      <formula>0</formula>
    </cfRule>
  </conditionalFormatting>
  <conditionalFormatting sqref="AG196:AI196">
    <cfRule type="cellIs" dxfId="19" priority="1200" operator="greaterThan">
      <formula>0</formula>
    </cfRule>
    <cfRule type="cellIs" dxfId="18" priority="1201" operator="equal">
      <formula>0</formula>
    </cfRule>
    <cfRule type="cellIs" dxfId="17" priority="1202" stopIfTrue="1" operator="equal">
      <formula>0</formula>
    </cfRule>
    <cfRule type="cellIs" dxfId="16" priority="1203" stopIfTrue="1" operator="equal">
      <formula>0</formula>
    </cfRule>
    <cfRule type="cellIs" dxfId="15" priority="1204" stopIfTrue="1" operator="greaterThan">
      <formula>0</formula>
    </cfRule>
    <cfRule type="cellIs" dxfId="14" priority="1205" stopIfTrue="1" operator="greaterThan">
      <formula>0</formula>
    </cfRule>
    <cfRule type="cellIs" dxfId="13" priority="1206" stopIfTrue="1" operator="greaterThan">
      <formula>0</formula>
    </cfRule>
    <cfRule type="cellIs" dxfId="12" priority="1207" stopIfTrue="1" operator="equal">
      <formula>0</formula>
    </cfRule>
  </conditionalFormatting>
  <conditionalFormatting sqref="AG197:AI197">
    <cfRule type="cellIs" dxfId="11" priority="484" operator="greaterThan">
      <formula>0</formula>
    </cfRule>
    <cfRule type="cellIs" dxfId="10" priority="485" operator="equal">
      <formula>0</formula>
    </cfRule>
  </conditionalFormatting>
  <conditionalFormatting sqref="AI187 AI189 AF190:AI191 AI192 AG196:AI196 AF184:AI185 AF187:AG187 AF188:AI188 AF189:AG189 AF192:AG192 AF193:AI193 AF195:AI195">
    <cfRule type="cellIs" dxfId="9" priority="3075" stopIfTrue="1" operator="equal">
      <formula>0</formula>
    </cfRule>
  </conditionalFormatting>
  <conditionalFormatting sqref="AI187 AI189 AF190:AI191 AI192 AG196:AI196">
    <cfRule type="cellIs" dxfId="8" priority="3072" operator="greaterThan">
      <formula>0</formula>
    </cfRule>
    <cfRule type="cellIs" dxfId="7" priority="3073" operator="equal">
      <formula>0</formula>
    </cfRule>
    <cfRule type="cellIs" dxfId="6" priority="3074" stopIfTrue="1" operator="equal">
      <formula>0</formula>
    </cfRule>
  </conditionalFormatting>
  <conditionalFormatting sqref="AI197">
    <cfRule type="cellIs" dxfId="5" priority="1103" stopIfTrue="1" operator="equal">
      <formula>0</formula>
    </cfRule>
    <cfRule type="cellIs" dxfId="4" priority="1107" stopIfTrue="1" operator="equal">
      <formula>0</formula>
    </cfRule>
    <cfRule type="cellIs" dxfId="3" priority="1108" stopIfTrue="1" operator="greaterThan">
      <formula>0</formula>
    </cfRule>
    <cfRule type="cellIs" dxfId="2" priority="1109" stopIfTrue="1" operator="greaterThan">
      <formula>0</formula>
    </cfRule>
    <cfRule type="cellIs" dxfId="1" priority="1110" stopIfTrue="1" operator="greaterThan">
      <formula>0</formula>
    </cfRule>
    <cfRule type="cellIs" dxfId="0" priority="1111" stopIfTrue="1" operator="equal">
      <formula>0</formula>
    </cfRule>
  </conditionalFormatting>
  <pageMargins left="0.31496062992125984" right="0.11811023622047245" top="0.15748031496062992" bottom="0.15748031496062992" header="0.31496062992125984" footer="0.31496062992125984"/>
  <pageSetup paperSize="9" scale="3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 реализации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2026-03-02T11:57:47Z</dcterms:modified>
</cp:coreProperties>
</file>