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Job\Projects\construction-management\"/>
    </mc:Choice>
  </mc:AlternateContent>
  <xr:revisionPtr revIDLastSave="0" documentId="13_ncr:1_{AD813F5F-C2B6-4355-82D2-DC992727E4A7}" xr6:coauthVersionLast="47" xr6:coauthVersionMax="47" xr10:uidLastSave="{00000000-0000-0000-0000-000000000000}"/>
  <bookViews>
    <workbookView xWindow="-120" yWindow="-120" windowWidth="29040" windowHeight="16440" firstSheet="3" activeTab="3" xr2:uid="{00000000-000D-0000-FFFF-FFFF00000000}"/>
  </bookViews>
  <sheets>
    <sheet name="стратегия 2 под 100 тыс (отриц)" sheetId="1" state="hidden" r:id="rId1"/>
    <sheet name="1_вариант" sheetId="2" state="hidden" r:id="rId2"/>
    <sheet name="список_МСА" sheetId="3" state="hidden" r:id="rId3"/>
    <sheet name="Стратегия 23 - 27" sheetId="5" r:id="rId4"/>
    <sheet name="стратегия 2 под 100 тыс (реал-)" sheetId="6" state="hidden" r:id="rId5"/>
    <sheet name="стратегия 2 под 100 тыс" sheetId="8" state="hidden" r:id="rId6"/>
    <sheet name="стратегия 1" sheetId="9" state="hidden" r:id="rId7"/>
  </sheets>
  <definedNames>
    <definedName name="_xlnm._FilterDatabase" localSheetId="3" hidden="1">'Стратегия 23 - 27'!$A$6:$CJ$97</definedName>
  </definedNames>
  <calcPr calcId="181029"/>
</workbook>
</file>

<file path=xl/calcChain.xml><?xml version="1.0" encoding="utf-8"?>
<calcChain xmlns="http://schemas.openxmlformats.org/spreadsheetml/2006/main">
  <c r="F81" i="5" l="1"/>
  <c r="E91" i="5" l="1"/>
  <c r="E94" i="5" l="1"/>
  <c r="E88" i="5" l="1"/>
  <c r="W9" i="5" l="1"/>
  <c r="F73" i="5" l="1"/>
  <c r="CG48" i="5"/>
  <c r="CF48" i="5"/>
  <c r="CD48" i="5"/>
  <c r="CA48" i="5"/>
  <c r="BY48" i="5"/>
  <c r="BX48" i="5"/>
  <c r="AU48" i="5"/>
  <c r="AT48" i="5"/>
  <c r="AS48" i="5"/>
  <c r="AR48" i="5"/>
  <c r="AQ48" i="5"/>
  <c r="AP48" i="5"/>
  <c r="AO48" i="5"/>
  <c r="AN48" i="5"/>
  <c r="AM48" i="5"/>
  <c r="AL48" i="5"/>
  <c r="AK48" i="5"/>
  <c r="CJ47" i="5"/>
  <c r="BW47" i="5"/>
  <c r="BJ47" i="5"/>
  <c r="AW47" i="5"/>
  <c r="AJ47" i="5"/>
  <c r="W47" i="5"/>
  <c r="F47" i="5"/>
  <c r="CI48" i="5" s="1"/>
  <c r="AX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CJ49" i="5"/>
  <c r="BW49" i="5"/>
  <c r="BJ49" i="5"/>
  <c r="AW49" i="5"/>
  <c r="AJ49" i="5"/>
  <c r="W49" i="5"/>
  <c r="F49" i="5"/>
  <c r="CI50" i="5" s="1"/>
  <c r="AV48" i="5" l="1"/>
  <c r="BK50" i="5"/>
  <c r="BL48" i="5"/>
  <c r="BM48" i="5"/>
  <c r="BN48" i="5"/>
  <c r="BQ48" i="5"/>
  <c r="AX48" i="5"/>
  <c r="BS48" i="5"/>
  <c r="AY48" i="5"/>
  <c r="BT48" i="5"/>
  <c r="AZ48" i="5"/>
  <c r="BA48" i="5"/>
  <c r="BD48" i="5"/>
  <c r="BF48" i="5"/>
  <c r="BG48" i="5"/>
  <c r="BK48" i="5"/>
  <c r="BZ48" i="5"/>
  <c r="BX50" i="5"/>
  <c r="BB48" i="5"/>
  <c r="BO48" i="5"/>
  <c r="CB48" i="5"/>
  <c r="BC48" i="5"/>
  <c r="BP48" i="5"/>
  <c r="CC48" i="5"/>
  <c r="BE48" i="5"/>
  <c r="BR48" i="5"/>
  <c r="CE48" i="5"/>
  <c r="BH48" i="5"/>
  <c r="BU48" i="5"/>
  <c r="CH48" i="5"/>
  <c r="BI48" i="5"/>
  <c r="BV48" i="5"/>
  <c r="AY50" i="5"/>
  <c r="BL50" i="5"/>
  <c r="BY50" i="5"/>
  <c r="AZ50" i="5"/>
  <c r="BM50" i="5"/>
  <c r="BZ50" i="5"/>
  <c r="BA50" i="5"/>
  <c r="BN50" i="5"/>
  <c r="CA50" i="5"/>
  <c r="BB50" i="5"/>
  <c r="BO50" i="5"/>
  <c r="CB50" i="5"/>
  <c r="BC50" i="5"/>
  <c r="BP50" i="5"/>
  <c r="CC50" i="5"/>
  <c r="BD50" i="5"/>
  <c r="BQ50" i="5"/>
  <c r="CD50" i="5"/>
  <c r="BE50" i="5"/>
  <c r="BR50" i="5"/>
  <c r="CE50" i="5"/>
  <c r="BF50" i="5"/>
  <c r="BS50" i="5"/>
  <c r="CF50" i="5"/>
  <c r="BG50" i="5"/>
  <c r="BT50" i="5"/>
  <c r="CG50" i="5"/>
  <c r="BH50" i="5"/>
  <c r="BU50" i="5"/>
  <c r="CH50" i="5"/>
  <c r="BI50" i="5"/>
  <c r="BV50" i="5"/>
  <c r="CI86" i="5" l="1"/>
  <c r="CH86" i="5"/>
  <c r="CG86" i="5"/>
  <c r="CF86" i="5"/>
  <c r="CE86" i="5"/>
  <c r="CD86" i="5"/>
  <c r="CC86" i="5"/>
  <c r="CB86" i="5"/>
  <c r="CA86" i="5"/>
  <c r="BZ86" i="5"/>
  <c r="BY86" i="5"/>
  <c r="BX86" i="5"/>
  <c r="CI84" i="5"/>
  <c r="CH84" i="5"/>
  <c r="CG84" i="5"/>
  <c r="CF84" i="5"/>
  <c r="CE84" i="5"/>
  <c r="CD84" i="5"/>
  <c r="CC84" i="5"/>
  <c r="CB84" i="5"/>
  <c r="CA84" i="5"/>
  <c r="BZ84" i="5"/>
  <c r="BY84" i="5"/>
  <c r="BX84" i="5"/>
  <c r="CI82" i="5"/>
  <c r="CI80" i="5"/>
  <c r="CH80" i="5"/>
  <c r="CG80" i="5"/>
  <c r="CF80" i="5"/>
  <c r="CE80" i="5"/>
  <c r="CI78" i="5"/>
  <c r="CH78" i="5"/>
  <c r="CG78" i="5"/>
  <c r="CF78" i="5"/>
  <c r="CE78" i="5"/>
  <c r="CD78" i="5"/>
  <c r="CC78" i="5"/>
  <c r="CB78" i="5"/>
  <c r="CA78" i="5"/>
  <c r="BZ78" i="5"/>
  <c r="BY78" i="5"/>
  <c r="BX78" i="5"/>
  <c r="CI76" i="5"/>
  <c r="CH76" i="5"/>
  <c r="CG76" i="5"/>
  <c r="CF76" i="5"/>
  <c r="CE76" i="5"/>
  <c r="CD76" i="5"/>
  <c r="CC76" i="5"/>
  <c r="CB76" i="5"/>
  <c r="CA76" i="5"/>
  <c r="BZ76" i="5"/>
  <c r="BY76" i="5"/>
  <c r="BX76" i="5"/>
  <c r="CI74" i="5"/>
  <c r="CH74" i="5"/>
  <c r="CG74" i="5"/>
  <c r="CF74" i="5"/>
  <c r="CE74" i="5"/>
  <c r="CD74" i="5"/>
  <c r="CC74" i="5"/>
  <c r="CB74" i="5"/>
  <c r="CA74" i="5"/>
  <c r="BZ74" i="5"/>
  <c r="BY74" i="5"/>
  <c r="BX74" i="5"/>
  <c r="CE72" i="5"/>
  <c r="CD72" i="5"/>
  <c r="CC72" i="5"/>
  <c r="CB72" i="5"/>
  <c r="CA72" i="5"/>
  <c r="BZ72" i="5"/>
  <c r="BY72" i="5"/>
  <c r="BX72" i="5"/>
  <c r="CI70" i="5"/>
  <c r="CH70" i="5"/>
  <c r="CG70" i="5"/>
  <c r="CF70" i="5"/>
  <c r="CI64" i="5"/>
  <c r="CH64" i="5"/>
  <c r="CG64" i="5"/>
  <c r="CF64" i="5"/>
  <c r="CE64" i="5"/>
  <c r="CD64" i="5"/>
  <c r="CC64" i="5"/>
  <c r="CI62" i="5"/>
  <c r="CH62" i="5"/>
  <c r="CG62" i="5"/>
  <c r="CF62" i="5"/>
  <c r="CE62" i="5"/>
  <c r="CD62" i="5"/>
  <c r="CC62" i="5"/>
  <c r="CB62" i="5"/>
  <c r="CA62" i="5"/>
  <c r="CI60" i="5"/>
  <c r="CH60" i="5"/>
  <c r="CG60" i="5"/>
  <c r="CF60" i="5"/>
  <c r="CE60" i="5"/>
  <c r="CD60" i="5"/>
  <c r="CC60" i="5"/>
  <c r="CB60" i="5"/>
  <c r="CA60" i="5"/>
  <c r="BZ60" i="5"/>
  <c r="BY60" i="5"/>
  <c r="BX60" i="5"/>
  <c r="CI58" i="5"/>
  <c r="CH58" i="5"/>
  <c r="CG58" i="5"/>
  <c r="CF58" i="5"/>
  <c r="CE58" i="5"/>
  <c r="CD58" i="5"/>
  <c r="CC58" i="5"/>
  <c r="CB58" i="5"/>
  <c r="CA58" i="5"/>
  <c r="BZ58" i="5"/>
  <c r="BY58" i="5"/>
  <c r="BX58" i="5"/>
  <c r="CI56" i="5"/>
  <c r="CH56" i="5"/>
  <c r="CG56" i="5"/>
  <c r="CF56" i="5"/>
  <c r="CE56" i="5"/>
  <c r="CD56" i="5"/>
  <c r="CC56" i="5"/>
  <c r="CB56" i="5"/>
  <c r="CA56" i="5"/>
  <c r="BZ56" i="5"/>
  <c r="BY56" i="5"/>
  <c r="BX56" i="5"/>
  <c r="CF54" i="5"/>
  <c r="CE54" i="5"/>
  <c r="CD54" i="5"/>
  <c r="CC54" i="5"/>
  <c r="CB54" i="5"/>
  <c r="CA54" i="5"/>
  <c r="BZ54" i="5"/>
  <c r="BY54" i="5"/>
  <c r="BX54" i="5"/>
  <c r="CI44" i="5"/>
  <c r="CH44" i="5"/>
  <c r="CG44" i="5"/>
  <c r="CF44" i="5"/>
  <c r="CE44" i="5"/>
  <c r="CD44" i="5"/>
  <c r="CC44" i="5"/>
  <c r="CI42" i="5"/>
  <c r="CH42" i="5"/>
  <c r="CG42" i="5"/>
  <c r="CF42" i="5"/>
  <c r="CE42" i="5"/>
  <c r="CD42" i="5"/>
  <c r="CC42" i="5"/>
  <c r="CB42" i="5"/>
  <c r="CA42" i="5"/>
  <c r="CI40" i="5"/>
  <c r="CH40" i="5"/>
  <c r="CG40" i="5"/>
  <c r="CF40" i="5"/>
  <c r="CE40" i="5"/>
  <c r="CD40" i="5"/>
  <c r="CC40" i="5"/>
  <c r="CB40" i="5"/>
  <c r="CA40" i="5"/>
  <c r="BZ40" i="5"/>
  <c r="BY40" i="5"/>
  <c r="BX40" i="5"/>
  <c r="CI38" i="5"/>
  <c r="CH38" i="5"/>
  <c r="CG38" i="5"/>
  <c r="CF38" i="5"/>
  <c r="CE38" i="5"/>
  <c r="CD38" i="5"/>
  <c r="CC38" i="5"/>
  <c r="CB38" i="5"/>
  <c r="CA38" i="5"/>
  <c r="BZ38" i="5"/>
  <c r="BY38" i="5"/>
  <c r="BX38" i="5"/>
  <c r="CI36" i="5"/>
  <c r="CH36" i="5"/>
  <c r="CG36" i="5"/>
  <c r="CF36" i="5"/>
  <c r="CE36" i="5"/>
  <c r="CD36" i="5"/>
  <c r="CC36" i="5"/>
  <c r="CB36" i="5"/>
  <c r="CA36" i="5"/>
  <c r="BZ36" i="5"/>
  <c r="BY36" i="5"/>
  <c r="BX36" i="5"/>
  <c r="CI34" i="5"/>
  <c r="CH34" i="5"/>
  <c r="CG34" i="5"/>
  <c r="CF34" i="5"/>
  <c r="CE34" i="5"/>
  <c r="CD34" i="5"/>
  <c r="CC34" i="5"/>
  <c r="CB34" i="5"/>
  <c r="CA34" i="5"/>
  <c r="BZ34" i="5"/>
  <c r="BY34" i="5"/>
  <c r="BX34" i="5"/>
  <c r="CI32" i="5"/>
  <c r="CH32" i="5"/>
  <c r="CG32" i="5"/>
  <c r="CF32" i="5"/>
  <c r="CE32" i="5"/>
  <c r="CD32" i="5"/>
  <c r="CC32" i="5"/>
  <c r="CB32" i="5"/>
  <c r="CA32" i="5"/>
  <c r="BZ32" i="5"/>
  <c r="BY32" i="5"/>
  <c r="BX32" i="5"/>
  <c r="CI30" i="5"/>
  <c r="CH30" i="5"/>
  <c r="CG30" i="5"/>
  <c r="CF30" i="5"/>
  <c r="CE30" i="5"/>
  <c r="CD30" i="5"/>
  <c r="CC30" i="5"/>
  <c r="CB30" i="5"/>
  <c r="CA30" i="5"/>
  <c r="BZ30" i="5"/>
  <c r="BY30" i="5"/>
  <c r="BX30" i="5"/>
  <c r="CI28" i="5"/>
  <c r="CH28" i="5"/>
  <c r="CG28" i="5"/>
  <c r="CF28" i="5"/>
  <c r="CE28" i="5"/>
  <c r="CD28" i="5"/>
  <c r="CC28" i="5"/>
  <c r="CB28" i="5"/>
  <c r="CA28" i="5"/>
  <c r="BZ28" i="5"/>
  <c r="BY28" i="5"/>
  <c r="BX28" i="5"/>
  <c r="CI26" i="5"/>
  <c r="CH26" i="5"/>
  <c r="CG26" i="5"/>
  <c r="CF26" i="5"/>
  <c r="CE26" i="5"/>
  <c r="CD26" i="5"/>
  <c r="CC26" i="5"/>
  <c r="CB26" i="5"/>
  <c r="CA26" i="5"/>
  <c r="BZ26" i="5"/>
  <c r="BY26" i="5"/>
  <c r="BX26" i="5"/>
  <c r="CI24" i="5"/>
  <c r="CH24" i="5"/>
  <c r="CG24" i="5"/>
  <c r="CF24" i="5"/>
  <c r="CE24" i="5"/>
  <c r="CD24" i="5"/>
  <c r="CC24" i="5"/>
  <c r="CB24" i="5"/>
  <c r="CA24" i="5"/>
  <c r="BZ24" i="5"/>
  <c r="BY24" i="5"/>
  <c r="BX24" i="5"/>
  <c r="CI22" i="5"/>
  <c r="CH22" i="5"/>
  <c r="CG22" i="5"/>
  <c r="CI20" i="5"/>
  <c r="CH20" i="5"/>
  <c r="CG20" i="5"/>
  <c r="CF20" i="5"/>
  <c r="CE20" i="5"/>
  <c r="CD20" i="5"/>
  <c r="CC20" i="5"/>
  <c r="CB20" i="5"/>
  <c r="CA20" i="5"/>
  <c r="BZ20" i="5"/>
  <c r="BY20" i="5"/>
  <c r="CI18" i="5"/>
  <c r="CH18" i="5"/>
  <c r="CG18" i="5"/>
  <c r="CF18" i="5"/>
  <c r="CE18" i="5"/>
  <c r="CD18" i="5"/>
  <c r="CC18" i="5"/>
  <c r="CB18" i="5"/>
  <c r="CA18" i="5"/>
  <c r="BZ18" i="5"/>
  <c r="BY18" i="5"/>
  <c r="BX18" i="5"/>
  <c r="CI16" i="5"/>
  <c r="CH16" i="5"/>
  <c r="CG16" i="5"/>
  <c r="CF16" i="5"/>
  <c r="CE16" i="5"/>
  <c r="CD16" i="5"/>
  <c r="CC16" i="5"/>
  <c r="CB16" i="5"/>
  <c r="CA16" i="5"/>
  <c r="BZ16" i="5"/>
  <c r="BY16" i="5"/>
  <c r="BX16" i="5"/>
  <c r="CI14" i="5"/>
  <c r="CH14" i="5"/>
  <c r="CG14" i="5"/>
  <c r="CF14" i="5"/>
  <c r="CE14" i="5"/>
  <c r="CD14" i="5"/>
  <c r="CC14" i="5"/>
  <c r="CB14" i="5"/>
  <c r="CA14" i="5"/>
  <c r="BZ14" i="5"/>
  <c r="BY14" i="5"/>
  <c r="BX14" i="5"/>
  <c r="CI12" i="5"/>
  <c r="CH12" i="5"/>
  <c r="CG12" i="5"/>
  <c r="CF12" i="5"/>
  <c r="CE12" i="5"/>
  <c r="CD12" i="5"/>
  <c r="CC12" i="5"/>
  <c r="CB12" i="5"/>
  <c r="CA12" i="5"/>
  <c r="BZ12" i="5"/>
  <c r="BY12" i="5"/>
  <c r="BX12" i="5"/>
  <c r="CI10" i="5"/>
  <c r="CH10" i="5"/>
  <c r="CG10" i="5"/>
  <c r="CF10" i="5"/>
  <c r="CE10" i="5"/>
  <c r="CD10" i="5"/>
  <c r="CC10" i="5"/>
  <c r="CB10" i="5"/>
  <c r="CA10" i="5"/>
  <c r="BZ10" i="5"/>
  <c r="BY10" i="5"/>
  <c r="BX10" i="5"/>
  <c r="CI8" i="5"/>
  <c r="CH8" i="5"/>
  <c r="CG8" i="5"/>
  <c r="CF8" i="5"/>
  <c r="CE8" i="5"/>
  <c r="CD8" i="5"/>
  <c r="CC8" i="5"/>
  <c r="CB8" i="5"/>
  <c r="CA8" i="5"/>
  <c r="BZ8" i="5"/>
  <c r="BY8" i="5"/>
  <c r="BX8" i="5"/>
  <c r="BV86" i="5"/>
  <c r="BU86" i="5"/>
  <c r="BT86" i="5"/>
  <c r="BS86" i="5"/>
  <c r="BR86" i="5"/>
  <c r="BQ86" i="5"/>
  <c r="BP86" i="5"/>
  <c r="BO86" i="5"/>
  <c r="BN86" i="5"/>
  <c r="BM86" i="5"/>
  <c r="BL86" i="5"/>
  <c r="BK86" i="5"/>
  <c r="BV84" i="5"/>
  <c r="BU84" i="5"/>
  <c r="BT84" i="5"/>
  <c r="BS84" i="5"/>
  <c r="BR84" i="5"/>
  <c r="BQ84" i="5"/>
  <c r="BP84" i="5"/>
  <c r="BO84" i="5"/>
  <c r="BL82" i="5"/>
  <c r="BK82" i="5"/>
  <c r="BV78" i="5"/>
  <c r="BU78" i="5"/>
  <c r="BV76" i="5"/>
  <c r="BU76" i="5"/>
  <c r="BT76" i="5"/>
  <c r="BS76" i="5"/>
  <c r="BR76" i="5"/>
  <c r="BQ76" i="5"/>
  <c r="BP76" i="5"/>
  <c r="BO76" i="5"/>
  <c r="BN76" i="5"/>
  <c r="BV74" i="5"/>
  <c r="BU74" i="5"/>
  <c r="BT74" i="5"/>
  <c r="BS74" i="5"/>
  <c r="BR74" i="5"/>
  <c r="BQ74" i="5"/>
  <c r="BP74" i="5"/>
  <c r="BO74" i="5"/>
  <c r="BN74" i="5"/>
  <c r="BM74" i="5"/>
  <c r="BL74" i="5"/>
  <c r="BK74" i="5"/>
  <c r="BV72" i="5"/>
  <c r="BU72" i="5"/>
  <c r="BT72" i="5"/>
  <c r="BS72" i="5"/>
  <c r="BR72" i="5"/>
  <c r="BQ72" i="5"/>
  <c r="BP72" i="5"/>
  <c r="BO72" i="5"/>
  <c r="BN72" i="5"/>
  <c r="BM72" i="5"/>
  <c r="BL72" i="5"/>
  <c r="BK72" i="5"/>
  <c r="BV68" i="5"/>
  <c r="BU68" i="5"/>
  <c r="BT68" i="5"/>
  <c r="BS68" i="5"/>
  <c r="BS66" i="5"/>
  <c r="BR66" i="5"/>
  <c r="BQ66" i="5"/>
  <c r="BP66" i="5"/>
  <c r="BO66" i="5"/>
  <c r="BN66" i="5"/>
  <c r="BM66" i="5"/>
  <c r="BL66" i="5"/>
  <c r="BK66" i="5"/>
  <c r="BL64" i="5"/>
  <c r="BK64" i="5"/>
  <c r="BV60" i="5"/>
  <c r="BV58" i="5"/>
  <c r="BU58" i="5"/>
  <c r="BT58" i="5"/>
  <c r="BS58" i="5"/>
  <c r="BR58" i="5"/>
  <c r="BQ58" i="5"/>
  <c r="BP58" i="5"/>
  <c r="BO58" i="5"/>
  <c r="BN58" i="5"/>
  <c r="BM58" i="5"/>
  <c r="BL58" i="5"/>
  <c r="BK58" i="5"/>
  <c r="BW57" i="5"/>
  <c r="BV56" i="5"/>
  <c r="BU56" i="5"/>
  <c r="BT56" i="5"/>
  <c r="BS56" i="5"/>
  <c r="BR56" i="5"/>
  <c r="BQ56" i="5"/>
  <c r="BP56" i="5"/>
  <c r="BO56" i="5"/>
  <c r="BN56" i="5"/>
  <c r="BM56" i="5"/>
  <c r="BL56" i="5"/>
  <c r="BK56" i="5"/>
  <c r="BV54" i="5"/>
  <c r="BU54" i="5"/>
  <c r="BT54" i="5"/>
  <c r="BS54" i="5"/>
  <c r="BR54" i="5"/>
  <c r="BQ54" i="5"/>
  <c r="BP54" i="5"/>
  <c r="BO54" i="5"/>
  <c r="BN54" i="5"/>
  <c r="BM54" i="5"/>
  <c r="BL54" i="5"/>
  <c r="BK54" i="5"/>
  <c r="BV46" i="5"/>
  <c r="BU46" i="5"/>
  <c r="BT46" i="5"/>
  <c r="BV40" i="5"/>
  <c r="BU40" i="5"/>
  <c r="BT40" i="5"/>
  <c r="BS40" i="5"/>
  <c r="BR40" i="5"/>
  <c r="BQ40" i="5"/>
  <c r="BP40" i="5"/>
  <c r="BV38" i="5"/>
  <c r="BU38" i="5"/>
  <c r="BT38" i="5"/>
  <c r="BS38" i="5"/>
  <c r="BR38" i="5"/>
  <c r="BQ38" i="5"/>
  <c r="BP38" i="5"/>
  <c r="BO38" i="5"/>
  <c r="BN38" i="5"/>
  <c r="BM38" i="5"/>
  <c r="BL38" i="5"/>
  <c r="BK38" i="5"/>
  <c r="BV36" i="5"/>
  <c r="BU36" i="5"/>
  <c r="BT36" i="5"/>
  <c r="BS36" i="5"/>
  <c r="BR36" i="5"/>
  <c r="BQ36" i="5"/>
  <c r="BP36" i="5"/>
  <c r="BO36" i="5"/>
  <c r="BN36" i="5"/>
  <c r="BM36" i="5"/>
  <c r="BL36" i="5"/>
  <c r="BK36" i="5"/>
  <c r="BV32" i="5"/>
  <c r="BU32" i="5"/>
  <c r="BV30" i="5"/>
  <c r="BU30" i="5"/>
  <c r="BT30" i="5"/>
  <c r="BS30" i="5"/>
  <c r="BR30" i="5"/>
  <c r="BQ30" i="5"/>
  <c r="BP30" i="5"/>
  <c r="BO30" i="5"/>
  <c r="BN30" i="5"/>
  <c r="BM30" i="5"/>
  <c r="BL30" i="5"/>
  <c r="BK30" i="5"/>
  <c r="BV28" i="5"/>
  <c r="BU28" i="5"/>
  <c r="BT28" i="5"/>
  <c r="BS28" i="5"/>
  <c r="BR28" i="5"/>
  <c r="BQ28" i="5"/>
  <c r="BP28" i="5"/>
  <c r="BO28" i="5"/>
  <c r="BN28" i="5"/>
  <c r="BM28" i="5"/>
  <c r="BL28" i="5"/>
  <c r="BK28" i="5"/>
  <c r="BV26" i="5"/>
  <c r="BU26" i="5"/>
  <c r="BT26" i="5"/>
  <c r="BS26" i="5"/>
  <c r="BR26" i="5"/>
  <c r="BQ26" i="5"/>
  <c r="BP26" i="5"/>
  <c r="BO26" i="5"/>
  <c r="BN26" i="5"/>
  <c r="BM26" i="5"/>
  <c r="BL26" i="5"/>
  <c r="BK26" i="5"/>
  <c r="BV24" i="5"/>
  <c r="BU24" i="5"/>
  <c r="BT24" i="5"/>
  <c r="BS24" i="5"/>
  <c r="BR24" i="5"/>
  <c r="BQ24" i="5"/>
  <c r="BP24" i="5"/>
  <c r="BO24" i="5"/>
  <c r="BN24" i="5"/>
  <c r="BM24" i="5"/>
  <c r="BL24" i="5"/>
  <c r="BK24" i="5"/>
  <c r="BV18" i="5"/>
  <c r="BU18" i="5"/>
  <c r="BT18" i="5"/>
  <c r="BS18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V14" i="5"/>
  <c r="BU14" i="5"/>
  <c r="BT14" i="5"/>
  <c r="BS14" i="5"/>
  <c r="BR14" i="5"/>
  <c r="BQ14" i="5"/>
  <c r="BP14" i="5"/>
  <c r="BO14" i="5"/>
  <c r="BN14" i="5"/>
  <c r="BM14" i="5"/>
  <c r="BL14" i="5"/>
  <c r="BK14" i="5"/>
  <c r="BV12" i="5"/>
  <c r="BU12" i="5"/>
  <c r="BT12" i="5"/>
  <c r="BS12" i="5"/>
  <c r="BR12" i="5"/>
  <c r="BQ12" i="5"/>
  <c r="BP12" i="5"/>
  <c r="BO12" i="5"/>
  <c r="BN12" i="5"/>
  <c r="BM12" i="5"/>
  <c r="BL12" i="5"/>
  <c r="BK12" i="5"/>
  <c r="BV10" i="5"/>
  <c r="BU10" i="5"/>
  <c r="BT10" i="5"/>
  <c r="BS10" i="5"/>
  <c r="BR10" i="5"/>
  <c r="BQ10" i="5"/>
  <c r="BP10" i="5"/>
  <c r="BO10" i="5"/>
  <c r="BN10" i="5"/>
  <c r="BM10" i="5"/>
  <c r="BL10" i="5"/>
  <c r="BK10" i="5"/>
  <c r="BV8" i="5"/>
  <c r="BU8" i="5"/>
  <c r="BT8" i="5"/>
  <c r="BS8" i="5"/>
  <c r="BR8" i="5"/>
  <c r="BQ8" i="5"/>
  <c r="BP8" i="5"/>
  <c r="BO8" i="5"/>
  <c r="BN8" i="5"/>
  <c r="BM8" i="5"/>
  <c r="BL8" i="5"/>
  <c r="BK8" i="5"/>
  <c r="BI86" i="5"/>
  <c r="BH86" i="5"/>
  <c r="BG86" i="5"/>
  <c r="BF86" i="5"/>
  <c r="BE86" i="5"/>
  <c r="BD86" i="5"/>
  <c r="BC86" i="5"/>
  <c r="BB86" i="5"/>
  <c r="BA86" i="5"/>
  <c r="AZ86" i="5"/>
  <c r="AY86" i="5"/>
  <c r="AX86" i="5"/>
  <c r="BI82" i="5"/>
  <c r="BH82" i="5"/>
  <c r="BG82" i="5"/>
  <c r="BF82" i="5"/>
  <c r="BE82" i="5"/>
  <c r="BD82" i="5"/>
  <c r="BC82" i="5"/>
  <c r="BB82" i="5"/>
  <c r="BA82" i="5"/>
  <c r="AZ82" i="5"/>
  <c r="AY82" i="5"/>
  <c r="AX82" i="5"/>
  <c r="BD80" i="5"/>
  <c r="BC80" i="5"/>
  <c r="BB80" i="5"/>
  <c r="BA80" i="5"/>
  <c r="AZ80" i="5"/>
  <c r="AY80" i="5"/>
  <c r="AX80" i="5"/>
  <c r="AY78" i="5"/>
  <c r="AX78" i="5"/>
  <c r="BI74" i="5"/>
  <c r="BH74" i="5"/>
  <c r="BG74" i="5"/>
  <c r="BF74" i="5"/>
  <c r="BE74" i="5"/>
  <c r="BD74" i="5"/>
  <c r="BC74" i="5"/>
  <c r="BB74" i="5"/>
  <c r="BA74" i="5"/>
  <c r="AZ74" i="5"/>
  <c r="AY74" i="5"/>
  <c r="AX74" i="5"/>
  <c r="BI72" i="5"/>
  <c r="BH72" i="5"/>
  <c r="BG72" i="5"/>
  <c r="BF72" i="5"/>
  <c r="BE72" i="5"/>
  <c r="BD72" i="5"/>
  <c r="BC72" i="5"/>
  <c r="BB72" i="5"/>
  <c r="BA72" i="5"/>
  <c r="AZ72" i="5"/>
  <c r="AY72" i="5"/>
  <c r="AX72" i="5"/>
  <c r="BB70" i="5"/>
  <c r="BA70" i="5"/>
  <c r="AZ70" i="5"/>
  <c r="AY70" i="5"/>
  <c r="AX70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BC62" i="5"/>
  <c r="BB62" i="5"/>
  <c r="BA62" i="5"/>
  <c r="AZ62" i="5"/>
  <c r="AY62" i="5"/>
  <c r="AX62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BE44" i="5"/>
  <c r="BD44" i="5"/>
  <c r="BC44" i="5"/>
  <c r="BB44" i="5"/>
  <c r="BA44" i="5"/>
  <c r="AZ44" i="5"/>
  <c r="AY44" i="5"/>
  <c r="AX44" i="5"/>
  <c r="AZ42" i="5"/>
  <c r="AY42" i="5"/>
  <c r="AX42" i="5"/>
  <c r="BI36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X20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BI8" i="5"/>
  <c r="BH8" i="5"/>
  <c r="BG8" i="5"/>
  <c r="BF8" i="5"/>
  <c r="BE8" i="5"/>
  <c r="BD8" i="5"/>
  <c r="BC8" i="5"/>
  <c r="BB8" i="5"/>
  <c r="BA8" i="5"/>
  <c r="AZ8" i="5"/>
  <c r="AY8" i="5"/>
  <c r="AX8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L68" i="5"/>
  <c r="AK68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O60" i="5"/>
  <c r="AN60" i="5"/>
  <c r="AM60" i="5"/>
  <c r="AL60" i="5"/>
  <c r="AK60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F53" i="5"/>
  <c r="CI54" i="5" s="1"/>
  <c r="AV52" i="5"/>
  <c r="AU52" i="5"/>
  <c r="AT52" i="5"/>
  <c r="AS52" i="5"/>
  <c r="AR52" i="5"/>
  <c r="AQ52" i="5"/>
  <c r="AP52" i="5"/>
  <c r="AO52" i="5"/>
  <c r="AN52" i="5"/>
  <c r="AM52" i="5"/>
  <c r="AL52" i="5"/>
  <c r="AK52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R40" i="5"/>
  <c r="AQ40" i="5"/>
  <c r="AP40" i="5"/>
  <c r="AO40" i="5"/>
  <c r="AN40" i="5"/>
  <c r="AM40" i="5"/>
  <c r="AL40" i="5"/>
  <c r="AK40" i="5"/>
  <c r="AS34" i="5"/>
  <c r="AR34" i="5"/>
  <c r="AQ34" i="5"/>
  <c r="AP34" i="5"/>
  <c r="AO34" i="5"/>
  <c r="AN34" i="5"/>
  <c r="AM34" i="5"/>
  <c r="AL34" i="5"/>
  <c r="AK34" i="5"/>
  <c r="AV30" i="5"/>
  <c r="AV28" i="5"/>
  <c r="AU28" i="5"/>
  <c r="AT28" i="5"/>
  <c r="AS28" i="5"/>
  <c r="AR28" i="5"/>
  <c r="AQ28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O18" i="5"/>
  <c r="AN18" i="5"/>
  <c r="AM18" i="5"/>
  <c r="AL18" i="5"/>
  <c r="AK18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L8" i="5"/>
  <c r="AM8" i="5"/>
  <c r="AN8" i="5"/>
  <c r="AO8" i="5"/>
  <c r="AP8" i="5"/>
  <c r="AQ8" i="5"/>
  <c r="AR8" i="5"/>
  <c r="AS8" i="5"/>
  <c r="AT8" i="5"/>
  <c r="AU8" i="5"/>
  <c r="AV8" i="5"/>
  <c r="AK8" i="5"/>
  <c r="E92" i="5"/>
  <c r="E87" i="5"/>
  <c r="F31" i="5"/>
  <c r="BS32" i="5" s="1"/>
  <c r="F25" i="5"/>
  <c r="E90" i="5"/>
  <c r="E85" i="5" s="1"/>
  <c r="J7" i="5"/>
  <c r="J95" i="5"/>
  <c r="W95" i="5"/>
  <c r="W89" i="5"/>
  <c r="W87" i="5"/>
  <c r="W85" i="5"/>
  <c r="W83" i="5"/>
  <c r="W81" i="5"/>
  <c r="W79" i="5"/>
  <c r="W77" i="5"/>
  <c r="W75" i="5"/>
  <c r="W73" i="5"/>
  <c r="W71" i="5"/>
  <c r="W69" i="5"/>
  <c r="W67" i="5"/>
  <c r="W65" i="5"/>
  <c r="W63" i="5"/>
  <c r="W61" i="5"/>
  <c r="W59" i="5"/>
  <c r="W57" i="5"/>
  <c r="W55" i="5"/>
  <c r="W53" i="5"/>
  <c r="W51" i="5"/>
  <c r="W45" i="5"/>
  <c r="W43" i="5"/>
  <c r="W41" i="5"/>
  <c r="W39" i="5"/>
  <c r="W37" i="5"/>
  <c r="W35" i="5"/>
  <c r="W33" i="5"/>
  <c r="W31" i="5"/>
  <c r="W29" i="5"/>
  <c r="W27" i="5"/>
  <c r="W25" i="5"/>
  <c r="W23" i="5"/>
  <c r="W21" i="5"/>
  <c r="W19" i="5"/>
  <c r="W17" i="5"/>
  <c r="W15" i="5"/>
  <c r="W13" i="5"/>
  <c r="W11" i="5"/>
  <c r="W7" i="5"/>
  <c r="F9" i="5"/>
  <c r="CJ89" i="5"/>
  <c r="CJ87" i="5"/>
  <c r="CJ85" i="5"/>
  <c r="CJ83" i="5"/>
  <c r="CJ81" i="5"/>
  <c r="CJ79" i="5"/>
  <c r="CJ77" i="5"/>
  <c r="CJ75" i="5"/>
  <c r="CJ73" i="5"/>
  <c r="CJ71" i="5"/>
  <c r="CJ69" i="5"/>
  <c r="CJ67" i="5"/>
  <c r="CJ65" i="5"/>
  <c r="CJ63" i="5"/>
  <c r="CJ61" i="5"/>
  <c r="CJ59" i="5"/>
  <c r="CJ57" i="5"/>
  <c r="CJ55" i="5"/>
  <c r="CJ53" i="5"/>
  <c r="CJ51" i="5"/>
  <c r="CJ45" i="5"/>
  <c r="CJ41" i="5"/>
  <c r="CJ39" i="5"/>
  <c r="CJ37" i="5"/>
  <c r="CJ35" i="5"/>
  <c r="CJ33" i="5"/>
  <c r="CJ31" i="5"/>
  <c r="CJ29" i="5"/>
  <c r="CJ27" i="5"/>
  <c r="CJ25" i="5"/>
  <c r="CJ23" i="5"/>
  <c r="CJ21" i="5"/>
  <c r="CJ19" i="5"/>
  <c r="CJ17" i="5"/>
  <c r="CJ15" i="5"/>
  <c r="CJ13" i="5"/>
  <c r="CJ11" i="5"/>
  <c r="CJ9" i="5"/>
  <c r="CJ7" i="5"/>
  <c r="BW89" i="5"/>
  <c r="BW87" i="5"/>
  <c r="BW85" i="5"/>
  <c r="BW83" i="5"/>
  <c r="BW81" i="5"/>
  <c r="BW79" i="5"/>
  <c r="BW77" i="5"/>
  <c r="BW75" i="5"/>
  <c r="BW73" i="5"/>
  <c r="BW71" i="5"/>
  <c r="BW69" i="5"/>
  <c r="BW67" i="5"/>
  <c r="BW65" i="5"/>
  <c r="BW63" i="5"/>
  <c r="BW61" i="5"/>
  <c r="BW59" i="5"/>
  <c r="BW55" i="5"/>
  <c r="BW53" i="5"/>
  <c r="BW51" i="5"/>
  <c r="BW45" i="5"/>
  <c r="BW43" i="5"/>
  <c r="BW39" i="5"/>
  <c r="BW37" i="5"/>
  <c r="BW35" i="5"/>
  <c r="BW33" i="5"/>
  <c r="BW31" i="5"/>
  <c r="BW29" i="5"/>
  <c r="BW27" i="5"/>
  <c r="BW25" i="5"/>
  <c r="BW23" i="5"/>
  <c r="BW21" i="5"/>
  <c r="BW19" i="5"/>
  <c r="BW17" i="5"/>
  <c r="BW15" i="5"/>
  <c r="BW13" i="5"/>
  <c r="BW11" i="5"/>
  <c r="BW9" i="5"/>
  <c r="BW7" i="5"/>
  <c r="BJ89" i="5"/>
  <c r="BJ87" i="5"/>
  <c r="BJ85" i="5"/>
  <c r="BJ83" i="5"/>
  <c r="BJ81" i="5"/>
  <c r="BJ79" i="5"/>
  <c r="BJ77" i="5"/>
  <c r="BJ75" i="5"/>
  <c r="BJ73" i="5"/>
  <c r="BJ71" i="5"/>
  <c r="BJ69" i="5"/>
  <c r="BJ67" i="5"/>
  <c r="BJ65" i="5"/>
  <c r="BJ63" i="5"/>
  <c r="BJ61" i="5"/>
  <c r="BJ59" i="5"/>
  <c r="BJ57" i="5"/>
  <c r="BJ55" i="5"/>
  <c r="BJ53" i="5"/>
  <c r="BJ51" i="5"/>
  <c r="BJ45" i="5"/>
  <c r="BJ43" i="5"/>
  <c r="BJ41" i="5"/>
  <c r="BJ35" i="5"/>
  <c r="BJ33" i="5"/>
  <c r="BJ31" i="5"/>
  <c r="BJ29" i="5"/>
  <c r="BJ27" i="5"/>
  <c r="BJ25" i="5"/>
  <c r="BJ23" i="5"/>
  <c r="BJ21" i="5"/>
  <c r="BJ19" i="5"/>
  <c r="BJ17" i="5"/>
  <c r="BJ15" i="5"/>
  <c r="BJ13" i="5"/>
  <c r="BJ11" i="5"/>
  <c r="BJ9" i="5"/>
  <c r="BJ7" i="5"/>
  <c r="AW89" i="5"/>
  <c r="AW85" i="5"/>
  <c r="AW83" i="5"/>
  <c r="AW81" i="5"/>
  <c r="AW79" i="5"/>
  <c r="AW77" i="5"/>
  <c r="AW75" i="5"/>
  <c r="AW73" i="5"/>
  <c r="AW71" i="5"/>
  <c r="AW69" i="5"/>
  <c r="AW67" i="5"/>
  <c r="AW65" i="5"/>
  <c r="AW63" i="5"/>
  <c r="AW61" i="5"/>
  <c r="AW59" i="5"/>
  <c r="AW57" i="5"/>
  <c r="AW55" i="5"/>
  <c r="AW51" i="5"/>
  <c r="AW45" i="5"/>
  <c r="AW43" i="5"/>
  <c r="AW41" i="5"/>
  <c r="AW39" i="5"/>
  <c r="AW37" i="5"/>
  <c r="AW35" i="5"/>
  <c r="AW33" i="5"/>
  <c r="AW31" i="5"/>
  <c r="AW29" i="5"/>
  <c r="AW27" i="5"/>
  <c r="AW25" i="5"/>
  <c r="AW23" i="5"/>
  <c r="AW21" i="5"/>
  <c r="AW19" i="5"/>
  <c r="AW17" i="5"/>
  <c r="AW15" i="5"/>
  <c r="AW13" i="5"/>
  <c r="AW11" i="5"/>
  <c r="AW9" i="5"/>
  <c r="AW7" i="5"/>
  <c r="AJ85" i="5"/>
  <c r="AJ89" i="5"/>
  <c r="AJ87" i="5"/>
  <c r="AJ9" i="5"/>
  <c r="AJ7" i="5"/>
  <c r="AJ83" i="5"/>
  <c r="AJ81" i="5"/>
  <c r="AJ79" i="5"/>
  <c r="AJ77" i="5"/>
  <c r="AJ75" i="5"/>
  <c r="AJ73" i="5"/>
  <c r="AJ71" i="5"/>
  <c r="AJ69" i="5"/>
  <c r="AJ67" i="5"/>
  <c r="AJ65" i="5"/>
  <c r="AJ63" i="5"/>
  <c r="AJ61" i="5"/>
  <c r="AJ59" i="5"/>
  <c r="AJ57" i="5"/>
  <c r="AJ55" i="5"/>
  <c r="AJ53" i="5"/>
  <c r="AJ51" i="5"/>
  <c r="AJ45" i="5"/>
  <c r="AJ43" i="5"/>
  <c r="AJ41" i="5"/>
  <c r="AJ39" i="5"/>
  <c r="AJ37" i="5"/>
  <c r="AJ35" i="5"/>
  <c r="AJ33" i="5"/>
  <c r="AJ31" i="5"/>
  <c r="AJ29" i="5"/>
  <c r="AJ27" i="5"/>
  <c r="AJ25" i="5"/>
  <c r="AJ23" i="5"/>
  <c r="AJ21" i="5"/>
  <c r="AJ19" i="5"/>
  <c r="AJ17" i="5"/>
  <c r="AJ15" i="5"/>
  <c r="AJ13" i="5"/>
  <c r="AJ11" i="5"/>
  <c r="F23" i="5"/>
  <c r="AO24" i="5" s="1"/>
  <c r="F11" i="5"/>
  <c r="F13" i="5"/>
  <c r="F15" i="5"/>
  <c r="F17" i="5"/>
  <c r="AX18" i="5" s="1"/>
  <c r="F19" i="5"/>
  <c r="BR20" i="5" s="1"/>
  <c r="F21" i="5"/>
  <c r="BY22" i="5" s="1"/>
  <c r="F27" i="5"/>
  <c r="AO28" i="5" s="1"/>
  <c r="F29" i="5"/>
  <c r="AO30" i="5" s="1"/>
  <c r="F33" i="5"/>
  <c r="BS34" i="5" s="1"/>
  <c r="F35" i="5"/>
  <c r="AX36" i="5" s="1"/>
  <c r="F37" i="5"/>
  <c r="F39" i="5"/>
  <c r="AX40" i="5" s="1"/>
  <c r="F41" i="5"/>
  <c r="BS42" i="5" s="1"/>
  <c r="F43" i="5"/>
  <c r="BS44" i="5" s="1"/>
  <c r="F45" i="5"/>
  <c r="BR46" i="5" s="1"/>
  <c r="BZ52" i="5"/>
  <c r="F55" i="5"/>
  <c r="F59" i="5"/>
  <c r="BI60" i="5" s="1"/>
  <c r="F61" i="5"/>
  <c r="BU62" i="5" s="1"/>
  <c r="F63" i="5"/>
  <c r="BZ64" i="5" s="1"/>
  <c r="F65" i="5"/>
  <c r="BZ66" i="5" s="1"/>
  <c r="F67" i="5"/>
  <c r="BN68" i="5" s="1"/>
  <c r="F69" i="5"/>
  <c r="BV70" i="5" s="1"/>
  <c r="CI72" i="5"/>
  <c r="F75" i="5"/>
  <c r="BF76" i="5" s="1"/>
  <c r="F77" i="5"/>
  <c r="BM78" i="5" s="1"/>
  <c r="F79" i="5"/>
  <c r="BY80" i="5" s="1"/>
  <c r="BZ82" i="5"/>
  <c r="F83" i="5"/>
  <c r="BE84" i="5" s="1"/>
  <c r="F85" i="5"/>
  <c r="F7" i="5"/>
  <c r="BM76" i="5" l="1"/>
  <c r="AX38" i="5"/>
  <c r="BI38" i="5"/>
  <c r="BH38" i="5"/>
  <c r="BG38" i="5"/>
  <c r="BF38" i="5"/>
  <c r="BE36" i="5"/>
  <c r="BF36" i="5"/>
  <c r="BL76" i="5"/>
  <c r="BK76" i="5"/>
  <c r="BT78" i="5"/>
  <c r="BV20" i="5"/>
  <c r="BZ62" i="5"/>
  <c r="BY62" i="5"/>
  <c r="BX62" i="5"/>
  <c r="BG36" i="5"/>
  <c r="BH36" i="5"/>
  <c r="BQ18" i="5"/>
  <c r="BR18" i="5"/>
  <c r="BI76" i="5"/>
  <c r="BN84" i="5"/>
  <c r="BD70" i="5"/>
  <c r="BC70" i="5"/>
  <c r="BU20" i="5"/>
  <c r="BX20" i="5"/>
  <c r="BN18" i="5"/>
  <c r="BO18" i="5"/>
  <c r="BP18" i="5"/>
  <c r="AK76" i="5"/>
  <c r="BE70" i="5"/>
  <c r="AQ68" i="5"/>
  <c r="AP68" i="5"/>
  <c r="BF70" i="5"/>
  <c r="AR68" i="5"/>
  <c r="BG70" i="5"/>
  <c r="BC34" i="5"/>
  <c r="AN68" i="5"/>
  <c r="AM68" i="5"/>
  <c r="AO68" i="5"/>
  <c r="AK84" i="5"/>
  <c r="AL84" i="5"/>
  <c r="AM84" i="5"/>
  <c r="AY34" i="5"/>
  <c r="BB34" i="5"/>
  <c r="AV34" i="5"/>
  <c r="AX34" i="5"/>
  <c r="BA34" i="5"/>
  <c r="AZ34" i="5"/>
  <c r="AT34" i="5"/>
  <c r="AU34" i="5"/>
  <c r="AL76" i="5"/>
  <c r="AN76" i="5"/>
  <c r="AM76" i="5"/>
  <c r="AK38" i="5"/>
  <c r="AL38" i="5"/>
  <c r="BL22" i="5"/>
  <c r="BK22" i="5"/>
  <c r="BM22" i="5"/>
  <c r="BA20" i="5"/>
  <c r="AY20" i="5"/>
  <c r="AZ20" i="5"/>
  <c r="AP18" i="5"/>
  <c r="AQ18" i="5"/>
  <c r="AR18" i="5"/>
  <c r="AS18" i="5"/>
  <c r="E89" i="5"/>
  <c r="AN32" i="5"/>
  <c r="AO32" i="5"/>
  <c r="AR32" i="5"/>
  <c r="AT32" i="5"/>
  <c r="AP32" i="5"/>
  <c r="AQ32" i="5"/>
  <c r="AS32" i="5"/>
  <c r="AK32" i="5"/>
  <c r="AL32" i="5"/>
  <c r="AM32" i="5"/>
  <c r="BN40" i="5"/>
  <c r="BO40" i="5"/>
  <c r="AO16" i="5"/>
  <c r="AK16" i="5"/>
  <c r="BM40" i="5"/>
  <c r="BK40" i="5"/>
  <c r="BL40" i="5"/>
  <c r="AJ6" i="5"/>
  <c r="BR68" i="5"/>
  <c r="BP68" i="5"/>
  <c r="BQ68" i="5"/>
  <c r="CB44" i="5"/>
  <c r="CA44" i="5"/>
  <c r="BZ44" i="5"/>
  <c r="CH82" i="5"/>
  <c r="CG82" i="5"/>
  <c r="CE82" i="5"/>
  <c r="CF82" i="5"/>
  <c r="CF22" i="5"/>
  <c r="AP30" i="5"/>
  <c r="BD18" i="5"/>
  <c r="BI78" i="5"/>
  <c r="BZ42" i="5"/>
  <c r="AY32" i="5"/>
  <c r="BS20" i="5"/>
  <c r="BU60" i="5"/>
  <c r="CA22" i="5"/>
  <c r="BL18" i="5"/>
  <c r="BO68" i="5"/>
  <c r="BO64" i="5"/>
  <c r="BK84" i="5"/>
  <c r="AV16" i="5"/>
  <c r="AZ18" i="5"/>
  <c r="BR64" i="5"/>
  <c r="BX42" i="5"/>
  <c r="BY42" i="5"/>
  <c r="BV42" i="5"/>
  <c r="BU42" i="5"/>
  <c r="BT42" i="5"/>
  <c r="AP38" i="5"/>
  <c r="AY38" i="5"/>
  <c r="AK24" i="5"/>
  <c r="AL24" i="5"/>
  <c r="BL84" i="5"/>
  <c r="BM84" i="5"/>
  <c r="BH84" i="5"/>
  <c r="BF84" i="5"/>
  <c r="BI84" i="5"/>
  <c r="CD80" i="5"/>
  <c r="CB80" i="5"/>
  <c r="CC80" i="5"/>
  <c r="BN80" i="5"/>
  <c r="BZ80" i="5"/>
  <c r="CA80" i="5"/>
  <c r="BV62" i="5"/>
  <c r="BS60" i="5"/>
  <c r="BT60" i="5"/>
  <c r="BP60" i="5"/>
  <c r="BQ60" i="5"/>
  <c r="BR60" i="5"/>
  <c r="BN60" i="5"/>
  <c r="BO60" i="5"/>
  <c r="BM60" i="5"/>
  <c r="AY52" i="5"/>
  <c r="BB46" i="5"/>
  <c r="AK46" i="5"/>
  <c r="AQ46" i="5"/>
  <c r="AP46" i="5"/>
  <c r="BB18" i="5"/>
  <c r="BD46" i="5"/>
  <c r="BG84" i="5"/>
  <c r="BT20" i="5"/>
  <c r="BP64" i="5"/>
  <c r="BZ22" i="5"/>
  <c r="AQ24" i="5"/>
  <c r="AQ30" i="5"/>
  <c r="AS46" i="5"/>
  <c r="AQ60" i="5"/>
  <c r="BF18" i="5"/>
  <c r="AZ52" i="5"/>
  <c r="BS46" i="5"/>
  <c r="BO80" i="5"/>
  <c r="CC22" i="5"/>
  <c r="AS24" i="5"/>
  <c r="AS30" i="5"/>
  <c r="AU46" i="5"/>
  <c r="AR60" i="5"/>
  <c r="BB52" i="5"/>
  <c r="BQ80" i="5"/>
  <c r="AU24" i="5"/>
  <c r="AU30" i="5"/>
  <c r="AP36" i="5"/>
  <c r="AV46" i="5"/>
  <c r="AS60" i="5"/>
  <c r="AY36" i="5"/>
  <c r="BD52" i="5"/>
  <c r="BD68" i="5"/>
  <c r="AV24" i="5"/>
  <c r="AQ36" i="5"/>
  <c r="AZ36" i="5"/>
  <c r="AY40" i="5"/>
  <c r="BE68" i="5"/>
  <c r="CA52" i="5"/>
  <c r="AP28" i="5"/>
  <c r="AS36" i="5"/>
  <c r="BB36" i="5"/>
  <c r="AZ40" i="5"/>
  <c r="AX60" i="5"/>
  <c r="BG68" i="5"/>
  <c r="BS22" i="5"/>
  <c r="BS52" i="5"/>
  <c r="BN82" i="5"/>
  <c r="CC52" i="5"/>
  <c r="AP16" i="5"/>
  <c r="AU36" i="5"/>
  <c r="BB20" i="5"/>
  <c r="BD36" i="5"/>
  <c r="BB40" i="5"/>
  <c r="AY60" i="5"/>
  <c r="BI68" i="5"/>
  <c r="BF80" i="5"/>
  <c r="BT22" i="5"/>
  <c r="BT52" i="5"/>
  <c r="BN78" i="5"/>
  <c r="BO82" i="5"/>
  <c r="AQ16" i="5"/>
  <c r="AV36" i="5"/>
  <c r="AS40" i="5"/>
  <c r="AO84" i="5"/>
  <c r="BD20" i="5"/>
  <c r="BD40" i="5"/>
  <c r="BA60" i="5"/>
  <c r="BG80" i="5"/>
  <c r="BV22" i="5"/>
  <c r="BV52" i="5"/>
  <c r="BO78" i="5"/>
  <c r="BQ82" i="5"/>
  <c r="AS16" i="5"/>
  <c r="AU18" i="5"/>
  <c r="AU40" i="5"/>
  <c r="AQ84" i="5"/>
  <c r="BF40" i="5"/>
  <c r="AY46" i="5"/>
  <c r="BC60" i="5"/>
  <c r="BF78" i="5"/>
  <c r="BI80" i="5"/>
  <c r="BQ78" i="5"/>
  <c r="CA82" i="5"/>
  <c r="AP24" i="5"/>
  <c r="AU16" i="5"/>
  <c r="AV18" i="5"/>
  <c r="AV40" i="5"/>
  <c r="AS84" i="5"/>
  <c r="AY18" i="5"/>
  <c r="AZ46" i="5"/>
  <c r="BG78" i="5"/>
  <c r="AY84" i="5"/>
  <c r="CC82" i="5"/>
  <c r="AQ38" i="5"/>
  <c r="AZ32" i="5"/>
  <c r="AZ38" i="5"/>
  <c r="BG76" i="5"/>
  <c r="BT32" i="5"/>
  <c r="BT34" i="5"/>
  <c r="BT44" i="5"/>
  <c r="CA64" i="5"/>
  <c r="CA66" i="5"/>
  <c r="CA70" i="5"/>
  <c r="AR16" i="5"/>
  <c r="AR24" i="5"/>
  <c r="AR30" i="5"/>
  <c r="AR36" i="5"/>
  <c r="AR38" i="5"/>
  <c r="AR46" i="5"/>
  <c r="AN84" i="5"/>
  <c r="BA18" i="5"/>
  <c r="BA32" i="5"/>
  <c r="BA36" i="5"/>
  <c r="BA38" i="5"/>
  <c r="BA40" i="5"/>
  <c r="BA42" i="5"/>
  <c r="BA46" i="5"/>
  <c r="BA52" i="5"/>
  <c r="AZ60" i="5"/>
  <c r="BF68" i="5"/>
  <c r="BH76" i="5"/>
  <c r="BH78" i="5"/>
  <c r="BH80" i="5"/>
  <c r="BU22" i="5"/>
  <c r="BU34" i="5"/>
  <c r="BU44" i="5"/>
  <c r="BU52" i="5"/>
  <c r="BQ64" i="5"/>
  <c r="BP78" i="5"/>
  <c r="BP80" i="5"/>
  <c r="BP82" i="5"/>
  <c r="CB22" i="5"/>
  <c r="CB52" i="5"/>
  <c r="CB64" i="5"/>
  <c r="CB66" i="5"/>
  <c r="CB70" i="5"/>
  <c r="CB82" i="5"/>
  <c r="BB38" i="5"/>
  <c r="BV44" i="5"/>
  <c r="CC66" i="5"/>
  <c r="CC70" i="5"/>
  <c r="AT16" i="5"/>
  <c r="AT18" i="5"/>
  <c r="AT24" i="5"/>
  <c r="AT30" i="5"/>
  <c r="AT36" i="5"/>
  <c r="AT38" i="5"/>
  <c r="AT40" i="5"/>
  <c r="AT46" i="5"/>
  <c r="AP60" i="5"/>
  <c r="AP76" i="5"/>
  <c r="AP84" i="5"/>
  <c r="BC18" i="5"/>
  <c r="BC20" i="5"/>
  <c r="BC32" i="5"/>
  <c r="BC36" i="5"/>
  <c r="BC38" i="5"/>
  <c r="BC40" i="5"/>
  <c r="BC42" i="5"/>
  <c r="BC46" i="5"/>
  <c r="BC52" i="5"/>
  <c r="BB60" i="5"/>
  <c r="BH68" i="5"/>
  <c r="AX76" i="5"/>
  <c r="AX84" i="5"/>
  <c r="BK18" i="5"/>
  <c r="BK20" i="5"/>
  <c r="BK32" i="5"/>
  <c r="BK34" i="5"/>
  <c r="BK42" i="5"/>
  <c r="BK44" i="5"/>
  <c r="BK46" i="5"/>
  <c r="BK52" i="5"/>
  <c r="BS64" i="5"/>
  <c r="BR78" i="5"/>
  <c r="BR80" i="5"/>
  <c r="BR82" i="5"/>
  <c r="CD22" i="5"/>
  <c r="CD52" i="5"/>
  <c r="CD66" i="5"/>
  <c r="CD70" i="5"/>
  <c r="CD82" i="5"/>
  <c r="AY76" i="5"/>
  <c r="BL20" i="5"/>
  <c r="BL32" i="5"/>
  <c r="BL34" i="5"/>
  <c r="BL42" i="5"/>
  <c r="BL44" i="5"/>
  <c r="BL46" i="5"/>
  <c r="BL52" i="5"/>
  <c r="BK60" i="5"/>
  <c r="BK62" i="5"/>
  <c r="BT64" i="5"/>
  <c r="BT66" i="5"/>
  <c r="BS78" i="5"/>
  <c r="BS80" i="5"/>
  <c r="BS82" i="5"/>
  <c r="CE22" i="5"/>
  <c r="CE52" i="5"/>
  <c r="CE66" i="5"/>
  <c r="CE70" i="5"/>
  <c r="BD42" i="5"/>
  <c r="AR76" i="5"/>
  <c r="AR84" i="5"/>
  <c r="BE18" i="5"/>
  <c r="BE20" i="5"/>
  <c r="BE32" i="5"/>
  <c r="BE34" i="5"/>
  <c r="BE38" i="5"/>
  <c r="BE40" i="5"/>
  <c r="BE42" i="5"/>
  <c r="BE46" i="5"/>
  <c r="BE52" i="5"/>
  <c r="BD60" i="5"/>
  <c r="AX68" i="5"/>
  <c r="AZ76" i="5"/>
  <c r="AZ78" i="5"/>
  <c r="AZ84" i="5"/>
  <c r="BM18" i="5"/>
  <c r="BM20" i="5"/>
  <c r="BM32" i="5"/>
  <c r="BM34" i="5"/>
  <c r="BM42" i="5"/>
  <c r="BM44" i="5"/>
  <c r="BM46" i="5"/>
  <c r="BM52" i="5"/>
  <c r="BL60" i="5"/>
  <c r="BL62" i="5"/>
  <c r="BU64" i="5"/>
  <c r="BU66" i="5"/>
  <c r="BT80" i="5"/>
  <c r="BT82" i="5"/>
  <c r="CF52" i="5"/>
  <c r="CF66" i="5"/>
  <c r="CF72" i="5"/>
  <c r="BV34" i="5"/>
  <c r="AK36" i="5"/>
  <c r="AS76" i="5"/>
  <c r="BF20" i="5"/>
  <c r="BF32" i="5"/>
  <c r="BF34" i="5"/>
  <c r="BF42" i="5"/>
  <c r="BF44" i="5"/>
  <c r="BF46" i="5"/>
  <c r="BF52" i="5"/>
  <c r="BE60" i="5"/>
  <c r="AY68" i="5"/>
  <c r="BA76" i="5"/>
  <c r="BA78" i="5"/>
  <c r="BA84" i="5"/>
  <c r="BN20" i="5"/>
  <c r="BN22" i="5"/>
  <c r="BN32" i="5"/>
  <c r="BN34" i="5"/>
  <c r="BN42" i="5"/>
  <c r="BN44" i="5"/>
  <c r="BN46" i="5"/>
  <c r="BN52" i="5"/>
  <c r="BV64" i="5"/>
  <c r="BV66" i="5"/>
  <c r="BU80" i="5"/>
  <c r="BU82" i="5"/>
  <c r="CG52" i="5"/>
  <c r="CG54" i="5"/>
  <c r="CG66" i="5"/>
  <c r="CG72" i="5"/>
  <c r="AS38" i="5"/>
  <c r="BB32" i="5"/>
  <c r="AU38" i="5"/>
  <c r="AQ76" i="5"/>
  <c r="BD32" i="5"/>
  <c r="AL16" i="5"/>
  <c r="AL28" i="5"/>
  <c r="AL30" i="5"/>
  <c r="AL36" i="5"/>
  <c r="AL46" i="5"/>
  <c r="AT60" i="5"/>
  <c r="AT68" i="5"/>
  <c r="AT76" i="5"/>
  <c r="AT84" i="5"/>
  <c r="BG18" i="5"/>
  <c r="BG20" i="5"/>
  <c r="BG32" i="5"/>
  <c r="BG34" i="5"/>
  <c r="BG40" i="5"/>
  <c r="BG42" i="5"/>
  <c r="BG44" i="5"/>
  <c r="BG46" i="5"/>
  <c r="BG52" i="5"/>
  <c r="BF60" i="5"/>
  <c r="AZ68" i="5"/>
  <c r="BB76" i="5"/>
  <c r="BB78" i="5"/>
  <c r="BB84" i="5"/>
  <c r="BO20" i="5"/>
  <c r="BO22" i="5"/>
  <c r="BO32" i="5"/>
  <c r="BO34" i="5"/>
  <c r="BO42" i="5"/>
  <c r="BO44" i="5"/>
  <c r="BO46" i="5"/>
  <c r="BO52" i="5"/>
  <c r="BK68" i="5"/>
  <c r="BK70" i="5"/>
  <c r="BV80" i="5"/>
  <c r="BV82" i="5"/>
  <c r="CH52" i="5"/>
  <c r="CH54" i="5"/>
  <c r="CH66" i="5"/>
  <c r="CH72" i="5"/>
  <c r="AU32" i="5"/>
  <c r="BD38" i="5"/>
  <c r="AV32" i="5"/>
  <c r="AK30" i="5"/>
  <c r="AM16" i="5"/>
  <c r="AM24" i="5"/>
  <c r="AM28" i="5"/>
  <c r="AM30" i="5"/>
  <c r="AM36" i="5"/>
  <c r="AM38" i="5"/>
  <c r="AM46" i="5"/>
  <c r="AU60" i="5"/>
  <c r="AU68" i="5"/>
  <c r="AU76" i="5"/>
  <c r="AU84" i="5"/>
  <c r="BH18" i="5"/>
  <c r="BH20" i="5"/>
  <c r="BH32" i="5"/>
  <c r="BH34" i="5"/>
  <c r="BH40" i="5"/>
  <c r="BH42" i="5"/>
  <c r="BH44" i="5"/>
  <c r="BH46" i="5"/>
  <c r="BH52" i="5"/>
  <c r="BG60" i="5"/>
  <c r="BA68" i="5"/>
  <c r="BC76" i="5"/>
  <c r="BC78" i="5"/>
  <c r="BC84" i="5"/>
  <c r="BP20" i="5"/>
  <c r="BP22" i="5"/>
  <c r="BP32" i="5"/>
  <c r="BP34" i="5"/>
  <c r="BP42" i="5"/>
  <c r="BP44" i="5"/>
  <c r="BP46" i="5"/>
  <c r="BP52" i="5"/>
  <c r="BL68" i="5"/>
  <c r="BK78" i="5"/>
  <c r="BK80" i="5"/>
  <c r="CI52" i="5"/>
  <c r="CI66" i="5"/>
  <c r="BD34" i="5"/>
  <c r="AS68" i="5"/>
  <c r="AN16" i="5"/>
  <c r="AN24" i="5"/>
  <c r="AN28" i="5"/>
  <c r="AN30" i="5"/>
  <c r="AN36" i="5"/>
  <c r="AN38" i="5"/>
  <c r="AN46" i="5"/>
  <c r="AV60" i="5"/>
  <c r="AV68" i="5"/>
  <c r="AV76" i="5"/>
  <c r="AV84" i="5"/>
  <c r="BI18" i="5"/>
  <c r="BI20" i="5"/>
  <c r="BI32" i="5"/>
  <c r="BI34" i="5"/>
  <c r="BI40" i="5"/>
  <c r="BI42" i="5"/>
  <c r="BI44" i="5"/>
  <c r="BI46" i="5"/>
  <c r="BI52" i="5"/>
  <c r="BH60" i="5"/>
  <c r="BB68" i="5"/>
  <c r="BD76" i="5"/>
  <c r="BD78" i="5"/>
  <c r="BD84" i="5"/>
  <c r="BQ20" i="5"/>
  <c r="BQ22" i="5"/>
  <c r="BQ32" i="5"/>
  <c r="BQ34" i="5"/>
  <c r="BQ42" i="5"/>
  <c r="BQ44" i="5"/>
  <c r="BQ46" i="5"/>
  <c r="BQ52" i="5"/>
  <c r="BM64" i="5"/>
  <c r="BM68" i="5"/>
  <c r="BL78" i="5"/>
  <c r="BL80" i="5"/>
  <c r="BX22" i="5"/>
  <c r="BX44" i="5"/>
  <c r="BX52" i="5"/>
  <c r="BX64" i="5"/>
  <c r="BX66" i="5"/>
  <c r="BX70" i="5"/>
  <c r="BX80" i="5"/>
  <c r="BX82" i="5"/>
  <c r="AO76" i="5"/>
  <c r="BB42" i="5"/>
  <c r="AV38" i="5"/>
  <c r="AK28" i="5"/>
  <c r="AO36" i="5"/>
  <c r="AO38" i="5"/>
  <c r="AO46" i="5"/>
  <c r="AX32" i="5"/>
  <c r="AX46" i="5"/>
  <c r="AX52" i="5"/>
  <c r="BC68" i="5"/>
  <c r="BE76" i="5"/>
  <c r="BE78" i="5"/>
  <c r="BE80" i="5"/>
  <c r="BR22" i="5"/>
  <c r="BR32" i="5"/>
  <c r="BR34" i="5"/>
  <c r="BR42" i="5"/>
  <c r="BR44" i="5"/>
  <c r="BR52" i="5"/>
  <c r="BN64" i="5"/>
  <c r="BM80" i="5"/>
  <c r="BM82" i="5"/>
  <c r="BY44" i="5"/>
  <c r="BY52" i="5"/>
  <c r="BY64" i="5"/>
  <c r="BY66" i="5"/>
  <c r="BY70" i="5"/>
  <c r="BY82" i="5"/>
  <c r="BZ70" i="5"/>
  <c r="BL70" i="5"/>
  <c r="BM70" i="5"/>
  <c r="BN70" i="5"/>
  <c r="BO70" i="5"/>
  <c r="BP70" i="5"/>
  <c r="BH70" i="5"/>
  <c r="BQ70" i="5"/>
  <c r="BI70" i="5"/>
  <c r="BR70" i="5"/>
  <c r="BS70" i="5"/>
  <c r="BT70" i="5"/>
  <c r="BU70" i="5"/>
  <c r="BM62" i="5"/>
  <c r="BN62" i="5"/>
  <c r="BO62" i="5"/>
  <c r="BD62" i="5"/>
  <c r="BP62" i="5"/>
  <c r="BE62" i="5"/>
  <c r="BQ62" i="5"/>
  <c r="BF62" i="5"/>
  <c r="BR62" i="5"/>
  <c r="BG62" i="5"/>
  <c r="BS62" i="5"/>
  <c r="BH62" i="5"/>
  <c r="BT62" i="5"/>
  <c r="BI62" i="5"/>
  <c r="F57" i="5"/>
  <c r="AW53" i="5"/>
  <c r="AW6" i="5" s="1"/>
  <c r="W6" i="5"/>
  <c r="J6" i="5"/>
  <c r="J4" i="5" s="1"/>
  <c r="CI96" i="5" l="1"/>
  <c r="BY96" i="5"/>
  <c r="CE96" i="5"/>
  <c r="CG96" i="5"/>
  <c r="CH96" i="5"/>
  <c r="BV96" i="5"/>
  <c r="BI58" i="5"/>
  <c r="BI97" i="5" s="1"/>
  <c r="AM58" i="5"/>
  <c r="AM97" i="5" s="1"/>
  <c r="AL58" i="5"/>
  <c r="AL96" i="5" s="1"/>
  <c r="AK58" i="5"/>
  <c r="AK96" i="5" s="1"/>
  <c r="AM96" i="5"/>
  <c r="CF96" i="5"/>
  <c r="CD96" i="5"/>
  <c r="BZ96" i="5"/>
  <c r="CA96" i="5"/>
  <c r="BX96" i="5"/>
  <c r="BU96" i="5"/>
  <c r="CC96" i="5"/>
  <c r="CB96" i="5"/>
  <c r="BS96" i="5"/>
  <c r="BP96" i="5"/>
  <c r="BN96" i="5"/>
  <c r="BR96" i="5"/>
  <c r="BO96" i="5"/>
  <c r="BL96" i="5"/>
  <c r="BQ96" i="5"/>
  <c r="BT96" i="5"/>
  <c r="BK96" i="5"/>
  <c r="BM96" i="5"/>
  <c r="W4" i="5"/>
  <c r="AJ4" i="5" s="1"/>
  <c r="CH97" i="5"/>
  <c r="CI97" i="5"/>
  <c r="BM97" i="5"/>
  <c r="BK97" i="5"/>
  <c r="BN97" i="5"/>
  <c r="BL97" i="5"/>
  <c r="BV97" i="5"/>
  <c r="BU97" i="5"/>
  <c r="BQ97" i="5"/>
  <c r="AV58" i="5"/>
  <c r="AV96" i="5" s="1"/>
  <c r="AU58" i="5"/>
  <c r="AU96" i="5" s="1"/>
  <c r="BH58" i="5"/>
  <c r="BH97" i="5" s="1"/>
  <c r="BG58" i="5"/>
  <c r="BG96" i="5" s="1"/>
  <c r="AT58" i="5"/>
  <c r="AT96" i="5" s="1"/>
  <c r="BF58" i="5"/>
  <c r="BF96" i="5" s="1"/>
  <c r="AS58" i="5"/>
  <c r="AS97" i="5" s="1"/>
  <c r="BD58" i="5"/>
  <c r="BD96" i="5" s="1"/>
  <c r="AQ58" i="5"/>
  <c r="AQ96" i="5" s="1"/>
  <c r="BE58" i="5"/>
  <c r="BE97" i="5" s="1"/>
  <c r="AR58" i="5"/>
  <c r="AR96" i="5" s="1"/>
  <c r="BC58" i="5"/>
  <c r="BC97" i="5" s="1"/>
  <c r="AP58" i="5"/>
  <c r="AP97" i="5" s="1"/>
  <c r="BB58" i="5"/>
  <c r="BB97" i="5" s="1"/>
  <c r="AO58" i="5"/>
  <c r="AO96" i="5" s="1"/>
  <c r="AX58" i="5"/>
  <c r="AX96" i="5" s="1"/>
  <c r="BA58" i="5"/>
  <c r="BA96" i="5" s="1"/>
  <c r="AN58" i="5"/>
  <c r="AN96" i="5" s="1"/>
  <c r="AZ58" i="5"/>
  <c r="AZ96" i="5" s="1"/>
  <c r="AY58" i="5"/>
  <c r="AY97" i="5" s="1"/>
  <c r="CJ43" i="5"/>
  <c r="CJ6" i="5" s="1"/>
  <c r="BW41" i="5"/>
  <c r="BW6" i="5" s="1"/>
  <c r="BJ39" i="5"/>
  <c r="AP96" i="5" l="1"/>
  <c r="BI96" i="5"/>
  <c r="AK97" i="5"/>
  <c r="AL97" i="5"/>
  <c r="BH96" i="5"/>
  <c r="BB96" i="5"/>
  <c r="BC96" i="5"/>
  <c r="BE96" i="5"/>
  <c r="AS96" i="5"/>
  <c r="AY96" i="5"/>
  <c r="CF97" i="5"/>
  <c r="CB97" i="5"/>
  <c r="BT97" i="5"/>
  <c r="BD97" i="5"/>
  <c r="BF97" i="5"/>
  <c r="AV97" i="5"/>
  <c r="AZ97" i="5"/>
  <c r="BO97" i="5"/>
  <c r="CG97" i="5"/>
  <c r="CA97" i="5"/>
  <c r="AX97" i="5"/>
  <c r="BY97" i="5"/>
  <c r="AN97" i="5"/>
  <c r="AR97" i="5"/>
  <c r="CC97" i="5"/>
  <c r="CD97" i="5"/>
  <c r="BR97" i="5"/>
  <c r="CE97" i="5"/>
  <c r="BZ97" i="5"/>
  <c r="AO97" i="5"/>
  <c r="AU97" i="5"/>
  <c r="BX97" i="5"/>
  <c r="BG97" i="5"/>
  <c r="BA97" i="5"/>
  <c r="AQ97" i="5"/>
  <c r="BP97" i="5"/>
  <c r="AT97" i="5"/>
  <c r="BS97" i="5"/>
  <c r="BJ37" i="5"/>
  <c r="BJ6" i="5" s="1"/>
  <c r="V38" i="5"/>
  <c r="V44" i="5"/>
  <c r="V40" i="5"/>
  <c r="V42" i="5"/>
  <c r="AW87" i="5" l="1"/>
  <c r="AJ95" i="5"/>
  <c r="AA95" i="5" l="1"/>
  <c r="AT23" i="9"/>
  <c r="AH23" i="9"/>
  <c r="V23" i="9"/>
  <c r="V24" i="9" s="1"/>
  <c r="J23" i="9"/>
  <c r="C17" i="9"/>
  <c r="B17" i="9"/>
  <c r="C16" i="9"/>
  <c r="C15" i="9"/>
  <c r="B15" i="9"/>
  <c r="V20" i="8"/>
  <c r="J20" i="8"/>
  <c r="B15" i="8"/>
  <c r="C14" i="8"/>
  <c r="B11" i="8"/>
  <c r="AH20" i="8" s="1"/>
  <c r="C10" i="8"/>
  <c r="C9" i="8"/>
  <c r="C8" i="8"/>
  <c r="C13" i="8" s="1"/>
  <c r="V31" i="6"/>
  <c r="J31" i="6"/>
  <c r="B26" i="6"/>
  <c r="C25" i="6"/>
  <c r="B22" i="6"/>
  <c r="AT31" i="6" s="1"/>
  <c r="M21" i="6"/>
  <c r="L21" i="6"/>
  <c r="I21" i="6"/>
  <c r="C20" i="6"/>
  <c r="C19" i="6"/>
  <c r="J18" i="6"/>
  <c r="J21" i="6" s="1"/>
  <c r="C18" i="6"/>
  <c r="C24" i="6" s="1"/>
  <c r="H13" i="6"/>
  <c r="G13" i="6"/>
  <c r="F13" i="6"/>
  <c r="I12" i="6"/>
  <c r="J12" i="6" s="1"/>
  <c r="K12" i="6" s="1"/>
  <c r="L12" i="6" s="1"/>
  <c r="M12" i="6" s="1"/>
  <c r="N12" i="6" s="1"/>
  <c r="O12" i="6" s="1"/>
  <c r="P12" i="6" s="1"/>
  <c r="Q12" i="6" s="1"/>
  <c r="R12" i="6" s="1"/>
  <c r="M8" i="6"/>
  <c r="M7" i="6" s="1"/>
  <c r="L8" i="6"/>
  <c r="L7" i="6" s="1"/>
  <c r="K8" i="6"/>
  <c r="K7" i="6" s="1"/>
  <c r="J8" i="6"/>
  <c r="J7" i="6" s="1"/>
  <c r="I8" i="6"/>
  <c r="I7" i="6" s="1"/>
  <c r="I10" i="6" s="1"/>
  <c r="F8" i="6"/>
  <c r="R7" i="6"/>
  <c r="Q7" i="6"/>
  <c r="P7" i="6"/>
  <c r="O7" i="6"/>
  <c r="N7" i="6"/>
  <c r="R4" i="6"/>
  <c r="Q4" i="6"/>
  <c r="P4" i="6"/>
  <c r="O4" i="6"/>
  <c r="N4" i="6"/>
  <c r="M4" i="6"/>
  <c r="L4" i="6"/>
  <c r="K4" i="6"/>
  <c r="J4" i="6"/>
  <c r="I4" i="6"/>
  <c r="AI95" i="5"/>
  <c r="AH95" i="5"/>
  <c r="AG95" i="5"/>
  <c r="AF95" i="5"/>
  <c r="AE95" i="5"/>
  <c r="AD95" i="5"/>
  <c r="AC95" i="5"/>
  <c r="AB95" i="5"/>
  <c r="Z95" i="5"/>
  <c r="Y95" i="5"/>
  <c r="X95" i="5"/>
  <c r="V95" i="5"/>
  <c r="U95" i="5"/>
  <c r="T95" i="5"/>
  <c r="S95" i="5"/>
  <c r="R95" i="5"/>
  <c r="Q95" i="5"/>
  <c r="P95" i="5"/>
  <c r="O95" i="5"/>
  <c r="N95" i="5"/>
  <c r="M95" i="5"/>
  <c r="L95" i="5"/>
  <c r="K95" i="5"/>
  <c r="I95" i="5"/>
  <c r="H95" i="5"/>
  <c r="G95" i="5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D21" i="2"/>
  <c r="E19" i="2"/>
  <c r="E21" i="2" s="1"/>
  <c r="C19" i="2"/>
  <c r="C23" i="2" s="1"/>
  <c r="C14" i="2"/>
  <c r="D14" i="2" s="1"/>
  <c r="E14" i="2" s="1"/>
  <c r="F14" i="2" s="1"/>
  <c r="G14" i="2" s="1"/>
  <c r="H14" i="2" s="1"/>
  <c r="I14" i="2" s="1"/>
  <c r="J14" i="2" s="1"/>
  <c r="K14" i="2" s="1"/>
  <c r="L14" i="2" s="1"/>
  <c r="M13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C8" i="2"/>
  <c r="D8" i="2" s="1"/>
  <c r="H5" i="2"/>
  <c r="H3" i="2"/>
  <c r="H2" i="2" s="1"/>
  <c r="G3" i="2"/>
  <c r="F3" i="2"/>
  <c r="E3" i="2"/>
  <c r="D3" i="2"/>
  <c r="D5" i="2" s="1"/>
  <c r="D2" i="2" s="1"/>
  <c r="C3" i="2"/>
  <c r="C5" i="2" s="1"/>
  <c r="C2" i="2" s="1"/>
  <c r="B3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V31" i="1"/>
  <c r="J31" i="1"/>
  <c r="B26" i="1"/>
  <c r="C25" i="1"/>
  <c r="B22" i="1"/>
  <c r="AT31" i="1" s="1"/>
  <c r="M21" i="1"/>
  <c r="L21" i="1"/>
  <c r="I21" i="1"/>
  <c r="C20" i="1"/>
  <c r="C19" i="1"/>
  <c r="J18" i="1"/>
  <c r="J21" i="1" s="1"/>
  <c r="C18" i="1"/>
  <c r="C24" i="1" s="1"/>
  <c r="H13" i="1"/>
  <c r="G13" i="1"/>
  <c r="F13" i="1"/>
  <c r="I12" i="1"/>
  <c r="J12" i="1" s="1"/>
  <c r="K12" i="1" s="1"/>
  <c r="L12" i="1" s="1"/>
  <c r="M12" i="1" s="1"/>
  <c r="N12" i="1" s="1"/>
  <c r="O12" i="1" s="1"/>
  <c r="P12" i="1" s="1"/>
  <c r="Q12" i="1" s="1"/>
  <c r="R12" i="1" s="1"/>
  <c r="M8" i="1"/>
  <c r="M7" i="1" s="1"/>
  <c r="L8" i="1"/>
  <c r="L7" i="1" s="1"/>
  <c r="K8" i="1"/>
  <c r="K7" i="1" s="1"/>
  <c r="J8" i="1"/>
  <c r="J7" i="1" s="1"/>
  <c r="I8" i="1"/>
  <c r="I7" i="1" s="1"/>
  <c r="I10" i="1" s="1"/>
  <c r="F8" i="1"/>
  <c r="R7" i="1"/>
  <c r="Q7" i="1"/>
  <c r="P7" i="1"/>
  <c r="O7" i="1"/>
  <c r="N7" i="1"/>
  <c r="M5" i="1"/>
  <c r="M4" i="1" s="1"/>
  <c r="L5" i="1"/>
  <c r="L4" i="1" s="1"/>
  <c r="K5" i="1"/>
  <c r="K4" i="1" s="1"/>
  <c r="J5" i="1"/>
  <c r="J4" i="1" s="1"/>
  <c r="I5" i="1"/>
  <c r="I4" i="1" s="1"/>
  <c r="R4" i="1"/>
  <c r="Q4" i="1"/>
  <c r="P4" i="1"/>
  <c r="O4" i="1"/>
  <c r="N4" i="1"/>
  <c r="V21" i="8" l="1"/>
  <c r="C7" i="2"/>
  <c r="C12" i="2" s="1"/>
  <c r="C15" i="2" s="1"/>
  <c r="C26" i="6"/>
  <c r="C15" i="8"/>
  <c r="D22" i="2"/>
  <c r="AH24" i="9"/>
  <c r="V32" i="1"/>
  <c r="C26" i="1"/>
  <c r="B18" i="9"/>
  <c r="C18" i="9"/>
  <c r="M14" i="2"/>
  <c r="V32" i="6"/>
  <c r="AT20" i="8"/>
  <c r="AM23" i="8"/>
  <c r="AH21" i="8"/>
  <c r="J10" i="1"/>
  <c r="I13" i="1"/>
  <c r="D23" i="2"/>
  <c r="J10" i="6"/>
  <c r="I13" i="6"/>
  <c r="E5" i="2"/>
  <c r="E2" i="2" s="1"/>
  <c r="E22" i="2" s="1"/>
  <c r="AH31" i="1"/>
  <c r="F5" i="2"/>
  <c r="F2" i="2" s="1"/>
  <c r="G5" i="2"/>
  <c r="G2" i="2" s="1"/>
  <c r="AH31" i="6"/>
  <c r="N13" i="2"/>
  <c r="C21" i="2"/>
  <c r="O13" i="2"/>
  <c r="P13" i="2" s="1"/>
  <c r="D7" i="2"/>
  <c r="E8" i="2"/>
  <c r="F8" i="2" s="1"/>
  <c r="F7" i="2" s="1"/>
  <c r="C24" i="2" l="1"/>
  <c r="D12" i="2"/>
  <c r="D15" i="2" s="1"/>
  <c r="AW4" i="5"/>
  <c r="BJ4" i="5" s="1"/>
  <c r="BW4" i="5" s="1"/>
  <c r="CJ4" i="5" s="1"/>
  <c r="E23" i="2"/>
  <c r="F22" i="2"/>
  <c r="Q13" i="2"/>
  <c r="G8" i="2"/>
  <c r="K10" i="6"/>
  <c r="J13" i="6"/>
  <c r="K10" i="1"/>
  <c r="J13" i="1"/>
  <c r="AM34" i="6"/>
  <c r="AH32" i="6"/>
  <c r="E7" i="2"/>
  <c r="AM34" i="1"/>
  <c r="AH32" i="1"/>
  <c r="E12" i="2" l="1"/>
  <c r="D24" i="2"/>
  <c r="G7" i="2"/>
  <c r="H8" i="2"/>
  <c r="K13" i="6"/>
  <c r="L10" i="6"/>
  <c r="L10" i="1"/>
  <c r="K13" i="1"/>
  <c r="I8" i="2"/>
  <c r="I7" i="2" s="1"/>
  <c r="R13" i="2"/>
  <c r="E15" i="2"/>
  <c r="F12" i="2"/>
  <c r="E24" i="2"/>
  <c r="G22" i="2"/>
  <c r="F23" i="2"/>
  <c r="J8" i="2" l="1"/>
  <c r="J7" i="2" s="1"/>
  <c r="S13" i="2"/>
  <c r="T13" i="2" s="1"/>
  <c r="K8" i="2"/>
  <c r="K7" i="2" s="1"/>
  <c r="H22" i="2"/>
  <c r="G23" i="2"/>
  <c r="L13" i="1"/>
  <c r="M10" i="1"/>
  <c r="L13" i="6"/>
  <c r="M10" i="6"/>
  <c r="H7" i="2"/>
  <c r="G12" i="2"/>
  <c r="F15" i="2"/>
  <c r="F24" i="2"/>
  <c r="L8" i="2" l="1"/>
  <c r="M8" i="2" s="1"/>
  <c r="U13" i="2"/>
  <c r="V13" i="2" s="1"/>
  <c r="W13" i="2" s="1"/>
  <c r="M13" i="1"/>
  <c r="N10" i="1"/>
  <c r="I22" i="2"/>
  <c r="H23" i="2"/>
  <c r="G15" i="2"/>
  <c r="G24" i="2"/>
  <c r="H12" i="2"/>
  <c r="M13" i="6"/>
  <c r="N10" i="6"/>
  <c r="M7" i="2" l="1"/>
  <c r="N8" i="2"/>
  <c r="H15" i="2"/>
  <c r="I12" i="2"/>
  <c r="H24" i="2"/>
  <c r="I23" i="2"/>
  <c r="J22" i="2"/>
  <c r="N13" i="1"/>
  <c r="O10" i="1"/>
  <c r="N13" i="6"/>
  <c r="O10" i="6"/>
  <c r="L7" i="2"/>
  <c r="O13" i="1" l="1"/>
  <c r="P10" i="1"/>
  <c r="I15" i="2"/>
  <c r="J12" i="2"/>
  <c r="I24" i="2"/>
  <c r="O13" i="6"/>
  <c r="P10" i="6"/>
  <c r="N7" i="2"/>
  <c r="O8" i="2"/>
  <c r="J23" i="2"/>
  <c r="K22" i="2"/>
  <c r="K23" i="2" l="1"/>
  <c r="L22" i="2"/>
  <c r="O7" i="2"/>
  <c r="P8" i="2"/>
  <c r="P7" i="2" s="1"/>
  <c r="P13" i="6"/>
  <c r="Q10" i="6"/>
  <c r="J15" i="2"/>
  <c r="K12" i="2"/>
  <c r="J24" i="2"/>
  <c r="P13" i="1"/>
  <c r="Q10" i="1"/>
  <c r="Q8" i="2" l="1"/>
  <c r="Q13" i="1"/>
  <c r="R10" i="1"/>
  <c r="R13" i="1" s="1"/>
  <c r="K15" i="2"/>
  <c r="L12" i="2"/>
  <c r="K24" i="2"/>
  <c r="Q13" i="6"/>
  <c r="R10" i="6"/>
  <c r="R13" i="6" s="1"/>
  <c r="L23" i="2"/>
  <c r="M22" i="2"/>
  <c r="Q7" i="2"/>
  <c r="R8" i="2"/>
  <c r="M23" i="2" l="1"/>
  <c r="N22" i="2"/>
  <c r="M12" i="2"/>
  <c r="L24" i="2"/>
  <c r="L15" i="2"/>
  <c r="R7" i="2"/>
  <c r="S8" i="2"/>
  <c r="S7" i="2" l="1"/>
  <c r="T8" i="2"/>
  <c r="N12" i="2"/>
  <c r="O12" i="2" s="1"/>
  <c r="P12" i="2" s="1"/>
  <c r="Q12" i="2" s="1"/>
  <c r="R12" i="2" s="1"/>
  <c r="M24" i="2"/>
  <c r="M15" i="2"/>
  <c r="N23" i="2"/>
  <c r="O22" i="2"/>
  <c r="O23" i="2" l="1"/>
  <c r="P22" i="2"/>
  <c r="S12" i="2"/>
  <c r="T7" i="2"/>
  <c r="U8" i="2"/>
  <c r="U7" i="2" l="1"/>
  <c r="V8" i="2"/>
  <c r="T12" i="2"/>
  <c r="U12" i="2" s="1"/>
  <c r="Q22" i="2"/>
  <c r="P23" i="2"/>
  <c r="V7" i="2" l="1"/>
  <c r="V12" i="2" s="1"/>
  <c r="W8" i="2"/>
  <c r="R22" i="2"/>
  <c r="Q23" i="2"/>
  <c r="R23" i="2" l="1"/>
  <c r="S22" i="2"/>
  <c r="W7" i="2"/>
  <c r="W12" i="2" s="1"/>
  <c r="X8" i="2"/>
  <c r="S23" i="2" l="1"/>
  <c r="T22" i="2"/>
  <c r="X7" i="2"/>
  <c r="X12" i="2" s="1"/>
  <c r="Y8" i="2"/>
  <c r="Y7" i="2" l="1"/>
  <c r="Y12" i="2" s="1"/>
  <c r="Z8" i="2"/>
  <c r="T23" i="2"/>
  <c r="U22" i="2"/>
  <c r="U23" i="2" l="1"/>
  <c r="V22" i="2"/>
  <c r="Z7" i="2"/>
  <c r="Z12" i="2" s="1"/>
  <c r="AA8" i="2"/>
  <c r="AA7" i="2" s="1"/>
  <c r="AA12" i="2" l="1"/>
  <c r="S16" i="2" s="1"/>
  <c r="Q16" i="2"/>
  <c r="P16" i="2"/>
  <c r="O16" i="2"/>
  <c r="H16" i="2"/>
  <c r="N16" i="2"/>
  <c r="J16" i="2"/>
  <c r="M16" i="2"/>
  <c r="L16" i="2"/>
  <c r="K16" i="2"/>
  <c r="I16" i="2"/>
  <c r="G16" i="2"/>
  <c r="Z16" i="2"/>
  <c r="F16" i="2"/>
  <c r="C16" i="2"/>
  <c r="B16" i="2"/>
  <c r="U16" i="2"/>
  <c r="T16" i="2"/>
  <c r="Y16" i="2"/>
  <c r="E16" i="2"/>
  <c r="W16" i="2"/>
  <c r="V16" i="2"/>
  <c r="D16" i="2"/>
  <c r="V23" i="2"/>
  <c r="W22" i="2"/>
  <c r="R16" i="2" l="1"/>
  <c r="X16" i="2"/>
  <c r="AA16" i="2"/>
  <c r="W23" i="2"/>
  <c r="X22" i="2"/>
  <c r="X23" i="2" l="1"/>
  <c r="Y22" i="2"/>
  <c r="Z22" i="2" l="1"/>
  <c r="Y23" i="2"/>
  <c r="AA22" i="2" l="1"/>
  <c r="AA23" i="2" s="1"/>
  <c r="Z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tc={00BE005F-0035-4775-A50E-00F5004F00EA}</author>
    <author>tc={00CE00A6-00D5-4B52-8D5F-00BF006200FB}</author>
    <author>tc={008C0016-00EF-461E-A650-000300C60048}</author>
    <author>tc={0026003F-00E0-4658-A17E-006200BA007C}</author>
    <author>tc={00A400AC-00A5-4B6B-9F4B-000600870031}</author>
    <author>tc={00A800FA-00F2-4767-AC0B-00A00016005B}</author>
    <author>tc={00BE009C-00DE-4012-A59A-00D3003000C5}</author>
    <author>tc={00EE0083-003E-4B18-A237-00A70055001D}</author>
    <author>tc={001400EC-0058-4BB9-98A4-00860022006C}</author>
    <author>tc={0044007E-009E-447F-9DB5-00A4008C006E}</author>
    <author>tc={004C009E-00E4-4E2F-AB68-0048005100CE}</author>
    <author>tc={00F00040-0026-4484-B3BF-00A300450039}</author>
  </authors>
  <commentList>
    <comment ref="I5" authorId="0" shapeId="0" xr:uid="{00000000-0006-0000-0000-000001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42,43,47,48,51,58
</t>
        </r>
      </text>
    </comment>
    <comment ref="J5" authorId="1" shapeId="0" xr:uid="{00000000-0006-0000-0000-000002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50,52,72,74,54,57
</t>
        </r>
      </text>
    </comment>
    <comment ref="K5" authorId="2" shapeId="0" xr:uid="{00000000-0006-0000-0000-000003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63,64,70
</t>
        </r>
      </text>
    </comment>
    <comment ref="L5" authorId="3" shapeId="0" xr:uid="{00000000-0006-0000-0000-000004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44,49,53,56,59,60,61,62
</t>
        </r>
      </text>
    </comment>
    <comment ref="M5" authorId="4" shapeId="0" xr:uid="{00000000-0006-0000-0000-000005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65,67,69,71,75,76,46
</t>
        </r>
      </text>
    </comment>
    <comment ref="L16" authorId="5" shapeId="0" xr:uid="{00000000-0006-0000-0000-000006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НКЛ БП1
</t>
        </r>
      </text>
    </comment>
    <comment ref="A17" authorId="6" shapeId="0" xr:uid="{00000000-0006-0000-0000-000007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68 т.р/м2
</t>
        </r>
      </text>
    </comment>
    <comment ref="J18" authorId="7" shapeId="0" xr:uid="{00000000-0006-0000-0000-000008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ЗУ 15000
</t>
        </r>
      </text>
    </comment>
    <comment ref="I19" authorId="8" shapeId="0" xr:uid="{00000000-0006-0000-0000-000009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ЗУ
</t>
        </r>
      </text>
    </comment>
    <comment ref="A20" authorId="9" shapeId="0" xr:uid="{00000000-0006-0000-0000-00000A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Возможно поменять местами. НО!!! Есть ЗУ, есть проект
</t>
        </r>
      </text>
    </comment>
    <comment ref="AH20" authorId="10" shapeId="0" xr:uid="{00000000-0006-0000-0000-00000B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вместе с П1 это 92 млн в месяц!!!!
</t>
        </r>
      </text>
    </comment>
    <comment ref="AP23" authorId="11" shapeId="0" xr:uid="{00000000-0006-0000-0000-00000C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вместе с Богучар 1 это 64 млн в месяц!!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tc={0019000D-0008-49E8-ACCA-00C90008008F}</author>
    <author>tc={00A3009E-0025-47B9-BAF3-00790014008F}</author>
    <author>tc={00C400A8-0071-4CC9-B9EE-001200930075}</author>
    <author>tc={00CD00F3-0084-453D-AC51-00DE006800D3}</author>
    <author>tc={0053008D-00C2-4CC4-953C-00B400BC008C}</author>
  </authors>
  <commentList>
    <comment ref="D18" authorId="0" shapeId="0" xr:uid="{00000000-0006-0000-0100-000001000000}">
      <text>
        <r>
          <rPr>
            <b/>
            <sz val="9"/>
            <rFont val="Tahoma"/>
            <family val="2"/>
            <charset val="204"/>
          </rPr>
          <t>Попова Мария:</t>
        </r>
        <r>
          <rPr>
            <sz val="9"/>
            <rFont val="Tahoma"/>
            <family val="2"/>
            <charset val="204"/>
          </rPr>
          <t xml:space="preserve">
15 000 ЗУ
</t>
        </r>
      </text>
    </comment>
    <comment ref="C19" authorId="1" shapeId="0" xr:uid="{00000000-0006-0000-0100-000002000000}">
      <text>
        <r>
          <rPr>
            <b/>
            <sz val="9"/>
            <rFont val="Tahoma"/>
            <family val="2"/>
            <charset val="204"/>
          </rPr>
          <t>Попова Мария:</t>
        </r>
        <r>
          <rPr>
            <sz val="9"/>
            <rFont val="Tahoma"/>
            <family val="2"/>
            <charset val="204"/>
          </rPr>
          <t xml:space="preserve">
4443 КРТ+370,8 аренда
</t>
        </r>
      </text>
    </comment>
    <comment ref="D19" authorId="2" shapeId="0" xr:uid="{00000000-0006-0000-0100-000003000000}">
      <text>
        <r>
          <rPr>
            <b/>
            <sz val="9"/>
            <rFont val="Tahoma"/>
            <family val="2"/>
            <charset val="204"/>
          </rPr>
          <t>Попова Мария:</t>
        </r>
        <r>
          <rPr>
            <sz val="9"/>
            <rFont val="Tahoma"/>
            <family val="2"/>
            <charset val="204"/>
          </rPr>
          <t xml:space="preserve">
на что
</t>
        </r>
      </text>
    </comment>
    <comment ref="E19" authorId="3" shapeId="0" xr:uid="{00000000-0006-0000-0100-000004000000}">
      <text>
        <r>
          <rPr>
            <b/>
            <sz val="9"/>
            <rFont val="Tahoma"/>
            <family val="2"/>
            <charset val="204"/>
          </rPr>
          <t>Попова Мария:</t>
        </r>
        <r>
          <rPr>
            <sz val="9"/>
            <rFont val="Tahoma"/>
            <family val="2"/>
            <charset val="204"/>
          </rPr>
          <t xml:space="preserve">
обеспечительный платеж
</t>
        </r>
      </text>
    </comment>
    <comment ref="C21" authorId="4" shapeId="0" xr:uid="{00000000-0006-0000-0100-000005000000}">
      <text>
        <r>
          <rPr>
            <b/>
            <sz val="9"/>
            <rFont val="Tahoma"/>
            <family val="2"/>
            <charset val="204"/>
          </rPr>
          <t>Попова Мария:</t>
        </r>
        <r>
          <rPr>
            <sz val="9"/>
            <rFont val="Tahoma"/>
            <family val="2"/>
            <charset val="204"/>
          </rPr>
          <t xml:space="preserve">
за счет НКЛ К2, П1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tc={00F00076-003B-45EF-8D73-006400490008}</author>
    <author>tc={00420002-001E-48FE-98FA-000E007F0080}</author>
    <author>tc={00420010-007F-4140-A6B3-000900450001}</author>
    <author>tc={003E0021-003C-4345-86F1-006F00910043}</author>
    <author>tc={00880048-0023-481B-8140-00EC00980095}</author>
    <author>tc={00A00032-00EB-402B-A9FF-004D000600D6}</author>
    <author>tc={0089000C-0033-43B5-A25E-008B0044007F}</author>
    <author>tc={00FA00A6-00A2-496E-997F-00AE00EA009B}</author>
    <author>tc={00F20076-00FB-421C-B67C-006E005A005E}</author>
    <author>tc={002E00CD-00B4-44AF-BA86-008100C40001}</author>
    <author>tc={00270037-0083-408C-B08E-0076005800F8}</author>
    <author>tc={00E600D6-00A6-4387-994B-000000E5006D}</author>
  </authors>
  <commentList>
    <comment ref="I5" authorId="0" shapeId="0" xr:uid="{00000000-0006-0000-0500-000001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42,43,47,48,51,58
</t>
        </r>
      </text>
    </comment>
    <comment ref="J5" authorId="1" shapeId="0" xr:uid="{00000000-0006-0000-0500-000002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50,52,72,74,54,57
</t>
        </r>
      </text>
    </comment>
    <comment ref="K5" authorId="2" shapeId="0" xr:uid="{00000000-0006-0000-0500-000003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63,64,70
</t>
        </r>
      </text>
    </comment>
    <comment ref="L5" authorId="3" shapeId="0" xr:uid="{00000000-0006-0000-0500-000004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44,49,53,56,59,60,61,62
</t>
        </r>
      </text>
    </comment>
    <comment ref="M5" authorId="4" shapeId="0" xr:uid="{00000000-0006-0000-0500-000005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65,67,69,71,75,76,46
</t>
        </r>
      </text>
    </comment>
    <comment ref="L16" authorId="5" shapeId="0" xr:uid="{00000000-0006-0000-0500-000006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НКЛ БП1
</t>
        </r>
      </text>
    </comment>
    <comment ref="A17" authorId="6" shapeId="0" xr:uid="{00000000-0006-0000-0500-000007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68 т.р/м2
</t>
        </r>
      </text>
    </comment>
    <comment ref="J18" authorId="7" shapeId="0" xr:uid="{00000000-0006-0000-0500-000008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ЗУ 15000
</t>
        </r>
      </text>
    </comment>
    <comment ref="I19" authorId="8" shapeId="0" xr:uid="{00000000-0006-0000-0500-000009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ЗУ
</t>
        </r>
      </text>
    </comment>
    <comment ref="A20" authorId="9" shapeId="0" xr:uid="{00000000-0006-0000-0500-00000A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Возможно поменять местами. НО!!! Есть ЗУ, есть проект
</t>
        </r>
      </text>
    </comment>
    <comment ref="AH20" authorId="10" shapeId="0" xr:uid="{00000000-0006-0000-0500-00000B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вместе с П1 это 92 млн в месяц!!!!
</t>
        </r>
      </text>
    </comment>
    <comment ref="AP23" authorId="11" shapeId="0" xr:uid="{00000000-0006-0000-0500-00000C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вместе с Богучар 1 это 64 млн в месяц!!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tc={004A0092-00AC-4242-8380-0064001F00EE}</author>
    <author>tc={00B100D5-0050-4E31-B30E-00DA00F600F5}</author>
    <author>tc={00B10010-0074-4901-98CA-007200E300CF}</author>
    <author>tc={00430033-0056-44AE-923F-0035007100AF}</author>
  </authors>
  <commentList>
    <comment ref="A7" authorId="0" shapeId="0" xr:uid="{00000000-0006-0000-0800-000001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68 т.р/м2
</t>
        </r>
      </text>
    </comment>
    <comment ref="A10" authorId="1" shapeId="0" xr:uid="{00000000-0006-0000-0800-000002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Возможно поменять местами. НО!!! Есть ЗУ, есть проект
</t>
        </r>
      </text>
    </comment>
    <comment ref="AH10" authorId="2" shapeId="0" xr:uid="{00000000-0006-0000-0800-000003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вместе с П1 это 92 млн в месяц!!!!
</t>
        </r>
      </text>
    </comment>
    <comment ref="AP12" authorId="3" shapeId="0" xr:uid="{00000000-0006-0000-0800-000004000000}">
      <text>
        <r>
          <rPr>
            <b/>
            <sz val="9"/>
            <rFont val="Tahoma"/>
            <family val="2"/>
            <charset val="204"/>
          </rPr>
          <t>User:</t>
        </r>
        <r>
          <rPr>
            <sz val="9"/>
            <rFont val="Tahoma"/>
            <family val="2"/>
            <charset val="204"/>
          </rPr>
          <t xml:space="preserve">
вместе с Богучар 1 это 64 млн в месяц!!
</t>
        </r>
      </text>
    </comment>
  </commentList>
</comments>
</file>

<file path=xl/sharedStrings.xml><?xml version="1.0" encoding="utf-8"?>
<sst xmlns="http://schemas.openxmlformats.org/spreadsheetml/2006/main" count="763" uniqueCount="244">
  <si>
    <t>Проект</t>
  </si>
  <si>
    <t>Мощность проекта, м2</t>
  </si>
  <si>
    <t>Этажность</t>
  </si>
  <si>
    <t>Срок реализации, мес</t>
  </si>
  <si>
    <t>3 кв. 2022</t>
  </si>
  <si>
    <t>4 кв. 2022</t>
  </si>
  <si>
    <t>1 кв. 2023</t>
  </si>
  <si>
    <t>2 кв. 2023</t>
  </si>
  <si>
    <t>3 кв. 2023</t>
  </si>
  <si>
    <t>4 кв. 2023</t>
  </si>
  <si>
    <t>1 кв. 2024</t>
  </si>
  <si>
    <t>2 кв. 2024</t>
  </si>
  <si>
    <t>3 кв. 2024</t>
  </si>
  <si>
    <t>4 кв. 2024</t>
  </si>
  <si>
    <t>1 кв. 2025</t>
  </si>
  <si>
    <t>2 кв. 2025</t>
  </si>
  <si>
    <t>3 кв. 2025</t>
  </si>
  <si>
    <t>4 кв. 2025</t>
  </si>
  <si>
    <t>1 кв. 2026</t>
  </si>
  <si>
    <t>2 кв. 2026</t>
  </si>
  <si>
    <t>3 кв. 2026</t>
  </si>
  <si>
    <t>4 кв. 2026</t>
  </si>
  <si>
    <t>1 кв. 2027</t>
  </si>
  <si>
    <t>2 кв. 2027</t>
  </si>
  <si>
    <t>3 кв. 2027</t>
  </si>
  <si>
    <t>4 кв. 2027</t>
  </si>
  <si>
    <t>Продаваемая площадь</t>
  </si>
  <si>
    <t>Общая площадь</t>
  </si>
  <si>
    <t>Доп.продажи К2, тыс.руб.</t>
  </si>
  <si>
    <t>Кедровый 2, м2</t>
  </si>
  <si>
    <t>Кедровый 2, тыс.руб./м2</t>
  </si>
  <si>
    <t>Наполнение эскроу К2, тыс.руб.</t>
  </si>
  <si>
    <t>Наполнение ЭСКРОУ накопительно</t>
  </si>
  <si>
    <t>Выборка НКЛ К2 (с дек.22 расчетно)</t>
  </si>
  <si>
    <t>Остаток ссудной задолженности</t>
  </si>
  <si>
    <t xml:space="preserve">Ставка по эскроу, исходя из наполнения </t>
  </si>
  <si>
    <t>Кедровый 1</t>
  </si>
  <si>
    <t>РНВ</t>
  </si>
  <si>
    <t>Кедровый 2</t>
  </si>
  <si>
    <t>закончить продажи (продаем по 60,875 млн в месяц в среднем)</t>
  </si>
  <si>
    <t>Павловск 1</t>
  </si>
  <si>
    <t>кредит</t>
  </si>
  <si>
    <t>закончить продажи (продаем по 39 млн в месяц в среднем)</t>
  </si>
  <si>
    <t>Богучар 1</t>
  </si>
  <si>
    <t>ЗУ</t>
  </si>
  <si>
    <t>проект (П+Р) + Благоустр (отдать на проектирование за 2 месяца)</t>
  </si>
  <si>
    <t>РНС - начало строительства (подготовить СП, набрать сотрудников, они должны изучить проект)</t>
  </si>
  <si>
    <t>закончить продажи (продаем по 32 млн в месяц в среднем - депонирование)</t>
  </si>
  <si>
    <t>Муром 1</t>
  </si>
  <si>
    <t>предпродажи (подготовить офис, набрать сотрудников)</t>
  </si>
  <si>
    <t>закончить продажи (продаем по 81 млн в месяц в среднем - депонирование)</t>
  </si>
  <si>
    <t>Старый Оскол</t>
  </si>
  <si>
    <t>закончить продажи (продаем по 36 млн в месяц в среднем - депонирование)</t>
  </si>
  <si>
    <t>Павловск 2 (возможна замена локации)</t>
  </si>
  <si>
    <t>ТУ</t>
  </si>
  <si>
    <t>экспертиза</t>
  </si>
  <si>
    <t>закончить продажи (продаем по 53 млн в месяц в среднем - депонирование)</t>
  </si>
  <si>
    <t>Итого РАСХОДЫ, тыс.руб.</t>
  </si>
  <si>
    <t>Итого</t>
  </si>
  <si>
    <t>Богучар 2</t>
  </si>
  <si>
    <t>ЗУ (вместе с Б1)</t>
  </si>
  <si>
    <t>ТУ (вместе с Б1)</t>
  </si>
  <si>
    <t>Муром 2</t>
  </si>
  <si>
    <t>За стратегией</t>
  </si>
  <si>
    <r>
      <t>нужно 2-</t>
    </r>
    <r>
      <rPr>
        <sz val="18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 xml:space="preserve"> локации (если один литер 18-20 м2)</t>
    </r>
  </si>
  <si>
    <t>12_2022</t>
  </si>
  <si>
    <t>01_2023</t>
  </si>
  <si>
    <t>02_2023</t>
  </si>
  <si>
    <t>03_2023</t>
  </si>
  <si>
    <t>04_2023</t>
  </si>
  <si>
    <t>05_2023</t>
  </si>
  <si>
    <t>06_2023</t>
  </si>
  <si>
    <t>07_2023</t>
  </si>
  <si>
    <t>08_2023</t>
  </si>
  <si>
    <t>09_2023</t>
  </si>
  <si>
    <t>10_2023</t>
  </si>
  <si>
    <t>11_2023</t>
  </si>
  <si>
    <t>12_2023</t>
  </si>
  <si>
    <t>01_2024</t>
  </si>
  <si>
    <t>02_2024</t>
  </si>
  <si>
    <t>03_2024</t>
  </si>
  <si>
    <t>04_2024</t>
  </si>
  <si>
    <t>05_2024</t>
  </si>
  <si>
    <t>06_2024</t>
  </si>
  <si>
    <t>07_2024</t>
  </si>
  <si>
    <t>08_2024</t>
  </si>
  <si>
    <t>09_2024</t>
  </si>
  <si>
    <t>10_2024</t>
  </si>
  <si>
    <t>11_2024</t>
  </si>
  <si>
    <t>12_2024</t>
  </si>
  <si>
    <t>Процент выполнения по объему продаж</t>
  </si>
  <si>
    <t>Объем продаж, м2</t>
  </si>
  <si>
    <t>Цена продаж тыс.руб./м2</t>
  </si>
  <si>
    <t>доходность, руб./м2</t>
  </si>
  <si>
    <t>Итого потребность в ДС</t>
  </si>
  <si>
    <t xml:space="preserve">ИзбытокДС(+)/ДефицитДС(-) </t>
  </si>
  <si>
    <t>(доп.продажи)</t>
  </si>
  <si>
    <t>Покрытие потребности за счет НКЛ</t>
  </si>
  <si>
    <t>НКЛ К2</t>
  </si>
  <si>
    <t>!Ставка по эскроу (доп.вывод на инвестиции)</t>
  </si>
  <si>
    <t>№ кв</t>
  </si>
  <si>
    <t>м2</t>
  </si>
  <si>
    <t>цена, руб/м2</t>
  </si>
  <si>
    <t>№ дог.</t>
  </si>
  <si>
    <t>комн.</t>
  </si>
  <si>
    <t>тип</t>
  </si>
  <si>
    <t>2ЕА</t>
  </si>
  <si>
    <t>Мозолин Сергей Анатольевич</t>
  </si>
  <si>
    <t>-</t>
  </si>
  <si>
    <t>42-К-2-1-3-14</t>
  </si>
  <si>
    <t>3 034 880,00 - 28.07.2022</t>
  </si>
  <si>
    <t>2А</t>
  </si>
  <si>
    <t>43-К-2-1-3-17</t>
  </si>
  <si>
    <t>4 035 597,00 - 28.07.2022</t>
  </si>
  <si>
    <t>44-К-2-1-4-21</t>
  </si>
  <si>
    <t>48-К-2-1-5-28</t>
  </si>
  <si>
    <t>3 001 686,00 - 28.07.2022</t>
  </si>
  <si>
    <t>47-К-2-1-5-31</t>
  </si>
  <si>
    <t>3 993 870,00 - 28.07.2022</t>
  </si>
  <si>
    <t>49-К-2-1-5-32</t>
  </si>
  <si>
    <t>2 678 856,00 - 28.07.2022</t>
  </si>
  <si>
    <t>50-К-2-1-7-42</t>
  </si>
  <si>
    <t>51-К-2-1-7-45</t>
  </si>
  <si>
    <t>52-К-2-3-79</t>
  </si>
  <si>
    <t>2 570 880,00 - 28.07.2022</t>
  </si>
  <si>
    <t>1А</t>
  </si>
  <si>
    <t>53-К-2-2-3-85</t>
  </si>
  <si>
    <t>2 432 025,00 - 28.07.2022</t>
  </si>
  <si>
    <t>54-К-2-2-4-93</t>
  </si>
  <si>
    <t>2 432025,00 - 28.07.2022</t>
  </si>
  <si>
    <t>56-К-2-2-5-101</t>
  </si>
  <si>
    <t>2 406 804,00 - 02.08.2022</t>
  </si>
  <si>
    <t>57-К-2-2-7-111</t>
  </si>
  <si>
    <t>2 542 761,00  - 27.07.2022</t>
  </si>
  <si>
    <t>58-К-2-7-117</t>
  </si>
  <si>
    <t>2 406 804,00 - 27.07.2022</t>
  </si>
  <si>
    <t>59-К-2-3-4-148</t>
  </si>
  <si>
    <t>2 495 360,00 - 28.07.2022</t>
  </si>
  <si>
    <t>60-К-2-3-149</t>
  </si>
  <si>
    <t>2 754 675,00 - 28.07.2022</t>
  </si>
  <si>
    <t>61 -К-2-3-5-152</t>
  </si>
  <si>
    <t>2 468 067,00 - 28.07.2022</t>
  </si>
  <si>
    <t>62-К-2-3-5-153</t>
  </si>
  <si>
    <t>2 726 108,00 - 28.07.2022</t>
  </si>
  <si>
    <t>63-К-2-3-7-161</t>
  </si>
  <si>
    <t>64-К-2-4-3-181</t>
  </si>
  <si>
    <t>65-К-2-4-4-184</t>
  </si>
  <si>
    <t>66-К-2-4-4-185</t>
  </si>
  <si>
    <t>67-К-2-4-5-188</t>
  </si>
  <si>
    <t>68-К-2-4-5-189</t>
  </si>
  <si>
    <t>69-К-2-4-7-196</t>
  </si>
  <si>
    <t>70-К-2-5-3-225</t>
  </si>
  <si>
    <t>2 517 075,00 - 28.07.2022</t>
  </si>
  <si>
    <t>71-К-2-5-4-234</t>
  </si>
  <si>
    <t>3ЕА</t>
  </si>
  <si>
    <t>72-К-2-5-4-240</t>
  </si>
  <si>
    <t>3 643 162,00 - 28.07.2022</t>
  </si>
  <si>
    <t>73-К-2-5-5-243</t>
  </si>
  <si>
    <t>2 490 972,00 - 28.07.2022</t>
  </si>
  <si>
    <t>74-К-2-5-5-249</t>
  </si>
  <si>
    <t>3 599 643,00 - 28.07.2022</t>
  </si>
  <si>
    <t>75-К-2-5-7-261</t>
  </si>
  <si>
    <t>76-К-2-5-7-267</t>
  </si>
  <si>
    <t>46-К-2-6-5-316</t>
  </si>
  <si>
    <t>2 680 122,00 - 28.07.2022</t>
  </si>
  <si>
    <t>Мастер - карта стратегического развития</t>
  </si>
  <si>
    <t>№</t>
  </si>
  <si>
    <t>Текущий статус</t>
  </si>
  <si>
    <t>Кол-во секций</t>
  </si>
  <si>
    <t>Продаваемая площадь (М2)</t>
  </si>
  <si>
    <t>накопительно с 2021 года</t>
  </si>
  <si>
    <t>всего за 2023 год</t>
  </si>
  <si>
    <t>всего за 2024 год</t>
  </si>
  <si>
    <t>всего за 2025 год</t>
  </si>
  <si>
    <t>всего за 2026 год</t>
  </si>
  <si>
    <t>Кедровый №2</t>
  </si>
  <si>
    <t>Строительство</t>
  </si>
  <si>
    <t>Павловск №1</t>
  </si>
  <si>
    <t>Павловск №2</t>
  </si>
  <si>
    <t>Богучар №1</t>
  </si>
  <si>
    <t>Богучар №2</t>
  </si>
  <si>
    <t>Старый Оскол №1</t>
  </si>
  <si>
    <t>Старый Оскол №2</t>
  </si>
  <si>
    <t>Павловск №3</t>
  </si>
  <si>
    <t>Павловск №4</t>
  </si>
  <si>
    <t>Выкса №1</t>
  </si>
  <si>
    <t>Выкса №2</t>
  </si>
  <si>
    <t>Поиск участка</t>
  </si>
  <si>
    <t>ИТОГО</t>
  </si>
  <si>
    <t>ЗУ 15000</t>
  </si>
  <si>
    <t>ЗУ 5000</t>
  </si>
  <si>
    <t>начало строительства</t>
  </si>
  <si>
    <t>Борисоглебск 
1 очередь (1-2Л)</t>
  </si>
  <si>
    <t>Павловск 2</t>
  </si>
  <si>
    <t>Мичуринск 1</t>
  </si>
  <si>
    <t>нужна еще локация</t>
  </si>
  <si>
    <t>Борисоглебск 
2 очередь (3-4Л)</t>
  </si>
  <si>
    <t>до красной линии</t>
  </si>
  <si>
    <t>все вместе</t>
  </si>
  <si>
    <t>Муром 2 сможем начать только в мае 27 года</t>
  </si>
  <si>
    <t>Бк 2 сможем начать только в марте 26</t>
  </si>
  <si>
    <t xml:space="preserve">Борисоглебск </t>
  </si>
  <si>
    <t>Мичуринск</t>
  </si>
  <si>
    <t>8 эт</t>
  </si>
  <si>
    <t>всего за 2027 год</t>
  </si>
  <si>
    <t>Выкса №3</t>
  </si>
  <si>
    <t>Выкса №4</t>
  </si>
  <si>
    <t>Узловая (озеро)</t>
  </si>
  <si>
    <t>Приобретение прав на участок</t>
  </si>
  <si>
    <t>всего за 2028 год</t>
  </si>
  <si>
    <t>всего за 2029 год</t>
  </si>
  <si>
    <t>Борисоглебск, торги</t>
  </si>
  <si>
    <t>Бобров 
3 очередь</t>
  </si>
  <si>
    <t>Бобров 
4 очередь</t>
  </si>
  <si>
    <t>Алексин КРТ2 
1 очередь</t>
  </si>
  <si>
    <t>Алексин КРТ2 
2 очередь</t>
  </si>
  <si>
    <t>Мичуринск, набережная 
1 очередь</t>
  </si>
  <si>
    <t>Мичуринск, набережная 
2 очередь</t>
  </si>
  <si>
    <t>Мичуринск, набережная 
3 очередь</t>
  </si>
  <si>
    <t>Алексин КРТ1
1 очередь</t>
  </si>
  <si>
    <t>Алексин КРТ1
2 очередь</t>
  </si>
  <si>
    <t>Старый Оскол №3</t>
  </si>
  <si>
    <t>Узловая 
1 очередь</t>
  </si>
  <si>
    <t>Узловая 
2 очередь</t>
  </si>
  <si>
    <t>Узловая 
3 очередь</t>
  </si>
  <si>
    <t xml:space="preserve">Узловая 
4 очередь </t>
  </si>
  <si>
    <t>Бутрлиновка 
3 очередь</t>
  </si>
  <si>
    <t>Бутурлиновка
1 очередь</t>
  </si>
  <si>
    <t>Бутурлиновка
2 очередь</t>
  </si>
  <si>
    <t>Бутурлиновка
4 очередь</t>
  </si>
  <si>
    <t>Бутурлиновка
5 очередь</t>
  </si>
  <si>
    <t>Мичуринск, набережная 
4 очередь</t>
  </si>
  <si>
    <t>Завершен</t>
  </si>
  <si>
    <t>Итого в строительстве м2 по месяцам</t>
  </si>
  <si>
    <t>Итого в строительстве объектов</t>
  </si>
  <si>
    <t>Бобров 1 очередь 1 дом</t>
  </si>
  <si>
    <t>Бобров 1 очередь 2 дом</t>
  </si>
  <si>
    <t>Бобров 2 очередь 1 дом</t>
  </si>
  <si>
    <t>Бобров 2 очередь 2 дом</t>
  </si>
  <si>
    <t>Участки 2026</t>
  </si>
  <si>
    <t>Стратегия 2027</t>
  </si>
  <si>
    <t>Стратегия 2026</t>
  </si>
  <si>
    <t xml:space="preserve">Есть право на зу, ждет реализации </t>
  </si>
  <si>
    <t>Проектирование, экспертиза, получение РНС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</si>
</sst>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₽_-;\-* #,##0.00\ _₽_-;_-* &quot;-&quot;??\ _₽_-;_-@_-"/>
    <numFmt numFmtId="165" formatCode="#,##0.000"/>
    <numFmt numFmtId="166" formatCode="dd\.mm\.yyyy"/>
    <numFmt numFmtId="167" formatCode="d\.m\.yyyy"/>
    <numFmt numFmtId="168" formatCode="_-* #,##0\ _₽_-;\-* #,##0\ _₽_-;_-* &quot;-&quot;??\ _₽_-;_-@_-"/>
  </numFmts>
  <fonts count="4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6"/>
      <color indexed="2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6"/>
      <color indexed="2"/>
      <name val="Calibri"/>
      <family val="2"/>
      <charset val="204"/>
      <scheme val="minor"/>
    </font>
    <font>
      <sz val="8"/>
      <color indexed="2"/>
      <name val="Calibri"/>
      <family val="2"/>
      <charset val="204"/>
      <scheme val="minor"/>
    </font>
    <font>
      <sz val="9"/>
      <color indexed="2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&quot;Times New Roman&quot;"/>
    </font>
    <font>
      <sz val="11"/>
      <color theme="1"/>
      <name val="Tahoma"/>
      <family val="2"/>
      <charset val="204"/>
    </font>
    <font>
      <sz val="14"/>
      <color theme="1"/>
      <name val="Tahoma"/>
      <family val="2"/>
      <charset val="204"/>
    </font>
    <font>
      <sz val="16"/>
      <color theme="1"/>
      <name val="Tahoma"/>
      <family val="2"/>
      <charset val="204"/>
    </font>
    <font>
      <b/>
      <sz val="16"/>
      <color theme="1"/>
      <name val="Tahoma"/>
      <family val="2"/>
      <charset val="204"/>
    </font>
    <font>
      <b/>
      <sz val="18"/>
      <color theme="1"/>
      <name val="Tahoma"/>
      <family val="2"/>
      <charset val="204"/>
    </font>
    <font>
      <b/>
      <sz val="18"/>
      <name val="Tahoma"/>
      <family val="2"/>
      <charset val="204"/>
    </font>
    <font>
      <b/>
      <sz val="18"/>
      <color indexed="2"/>
      <name val="Tahoma"/>
      <family val="2"/>
      <charset val="204"/>
    </font>
    <font>
      <sz val="11"/>
      <color theme="4" tint="0.79998168889431442"/>
      <name val="Tahoma"/>
      <family val="2"/>
      <charset val="204"/>
    </font>
    <font>
      <b/>
      <sz val="20"/>
      <color rgb="FFC00000"/>
      <name val="Tahoma"/>
      <family val="2"/>
      <charset val="204"/>
    </font>
    <font>
      <sz val="12"/>
      <color theme="1"/>
      <name val="Tahoma"/>
      <family val="2"/>
      <charset val="204"/>
    </font>
    <font>
      <sz val="11"/>
      <color indexed="2"/>
      <name val="Tahoma"/>
      <family val="2"/>
      <charset val="204"/>
    </font>
    <font>
      <b/>
      <sz val="14"/>
      <color theme="1"/>
      <name val="Tahoma"/>
      <family val="2"/>
      <charset val="204"/>
    </font>
    <font>
      <sz val="18"/>
      <color theme="1"/>
      <name val="Calibri"/>
      <family val="2"/>
      <charset val="204"/>
      <scheme val="minor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sz val="8"/>
      <color theme="0" tint="-0.14999847407452621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22"/>
      <name val="Tahoma"/>
      <family val="2"/>
      <charset val="204"/>
    </font>
    <font>
      <b/>
      <sz val="18"/>
      <name val="Tahoma"/>
      <family val="2"/>
      <charset val="204"/>
    </font>
    <font>
      <sz val="16"/>
      <color theme="1"/>
      <name val="Tahoma"/>
      <family val="2"/>
      <charset val="204"/>
    </font>
    <font>
      <sz val="18"/>
      <color theme="1"/>
      <name val="Tahoma"/>
      <family val="2"/>
      <charset val="204"/>
    </font>
    <font>
      <sz val="14"/>
      <color theme="1"/>
      <name val="Tahoma"/>
      <family val="2"/>
      <charset val="204"/>
    </font>
    <font>
      <b/>
      <sz val="18"/>
      <color theme="1"/>
      <name val="Tahoma"/>
      <family val="2"/>
      <charset val="204"/>
    </font>
    <font>
      <sz val="20"/>
      <color theme="1"/>
      <name val="Tahoma"/>
      <family val="2"/>
      <charset val="204"/>
    </font>
    <font>
      <sz val="22"/>
      <color theme="1"/>
      <name val="Tahoma"/>
      <family val="2"/>
      <charset val="204"/>
    </font>
  </fonts>
  <fills count="42">
    <fill>
      <patternFill patternType="none"/>
    </fill>
    <fill>
      <patternFill patternType="gray125"/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indexed="31"/>
        <bgColor indexed="31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indexed="2"/>
        <bgColor indexed="2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FFC000"/>
        <bgColor rgb="FFFFC000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rgb="FF92D050"/>
        <bgColor rgb="FF92D050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indexed="5"/>
        <bgColor indexed="5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0"/>
        <bgColor theme="0"/>
      </patternFill>
    </fill>
    <fill>
      <patternFill patternType="solid">
        <fgColor theme="1" tint="4.9989318521683403E-2"/>
        <bgColor theme="1" tint="4.9989318521683403E-2"/>
      </patternFill>
    </fill>
    <fill>
      <patternFill patternType="solid">
        <fgColor rgb="FFCCECFF"/>
        <bgColor rgb="FFCCECFF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2"/>
        <bgColor indexed="42"/>
      </patternFill>
    </fill>
    <fill>
      <patternFill patternType="solid">
        <fgColor rgb="FFEFEFEF"/>
        <bgColor rgb="FFEFEFEF"/>
      </patternFill>
    </fill>
    <fill>
      <patternFill patternType="solid">
        <fgColor indexed="65"/>
      </patternFill>
    </fill>
    <fill>
      <patternFill patternType="solid">
        <fgColor theme="2"/>
        <bgColor theme="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A3F0E"/>
        <bgColor indexed="64"/>
      </patternFill>
    </fill>
    <fill>
      <patternFill patternType="solid">
        <fgColor rgb="FFCA3F0E"/>
        <bgColor theme="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9" tint="0.79998168889431442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</borders>
  <cellStyleXfs count="2">
    <xf numFmtId="0" fontId="0" fillId="0" borderId="0"/>
    <xf numFmtId="164" fontId="32" fillId="0" borderId="0" applyFont="0" applyFill="0" applyBorder="0" applyAlignment="0" applyProtection="0"/>
  </cellStyleXfs>
  <cellXfs count="344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" fontId="5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2"/>
    </xf>
    <xf numFmtId="3" fontId="3" fillId="0" borderId="1" xfId="0" applyNumberFormat="1" applyFont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4" fontId="3" fillId="7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 wrapText="1"/>
    </xf>
    <xf numFmtId="3" fontId="3" fillId="9" borderId="1" xfId="0" applyNumberFormat="1" applyFont="1" applyFill="1" applyBorder="1" applyAlignment="1">
      <alignment horizontal="center" vertical="center"/>
    </xf>
    <xf numFmtId="3" fontId="3" fillId="10" borderId="1" xfId="0" applyNumberFormat="1" applyFont="1" applyFill="1" applyBorder="1" applyAlignment="1">
      <alignment horizontal="center" vertical="center"/>
    </xf>
    <xf numFmtId="3" fontId="3" fillId="8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 wrapText="1"/>
    </xf>
    <xf numFmtId="3" fontId="3" fillId="11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4" fontId="3" fillId="8" borderId="1" xfId="0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4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4" fontId="0" fillId="7" borderId="1" xfId="0" applyNumberFormat="1" applyFill="1" applyBorder="1" applyAlignment="1">
      <alignment horizontal="center" vertical="center"/>
    </xf>
    <xf numFmtId="4" fontId="0" fillId="13" borderId="1" xfId="0" applyNumberFormat="1" applyFill="1" applyBorder="1" applyAlignment="1">
      <alignment horizontal="center" vertical="center"/>
    </xf>
    <xf numFmtId="4" fontId="0" fillId="14" borderId="1" xfId="0" applyNumberFormat="1" applyFill="1" applyBorder="1" applyAlignment="1">
      <alignment horizontal="center" vertical="center"/>
    </xf>
    <xf numFmtId="4" fontId="0" fillId="1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15" borderId="1" xfId="0" applyNumberFormat="1" applyFill="1" applyBorder="1" applyAlignment="1">
      <alignment horizontal="center" vertical="center"/>
    </xf>
    <xf numFmtId="4" fontId="0" fillId="16" borderId="1" xfId="0" applyNumberFormat="1" applyFill="1" applyBorder="1" applyAlignment="1">
      <alignment horizontal="center" vertical="center" wrapText="1"/>
    </xf>
    <xf numFmtId="4" fontId="0" fillId="5" borderId="1" xfId="0" applyNumberFormat="1" applyFill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17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left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4" fontId="7" fillId="7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4" fontId="9" fillId="0" borderId="0" xfId="0" applyNumberFormat="1" applyFont="1"/>
    <xf numFmtId="0" fontId="8" fillId="0" borderId="3" xfId="0" applyFont="1" applyBorder="1"/>
    <xf numFmtId="4" fontId="9" fillId="0" borderId="3" xfId="0" applyNumberFormat="1" applyFont="1" applyBorder="1"/>
    <xf numFmtId="0" fontId="8" fillId="19" borderId="3" xfId="0" applyFont="1" applyFill="1" applyBorder="1" applyAlignment="1">
      <alignment horizontal="center"/>
    </xf>
    <xf numFmtId="0" fontId="10" fillId="20" borderId="3" xfId="0" applyFont="1" applyFill="1" applyBorder="1" applyAlignment="1">
      <alignment horizontal="left" vertical="center"/>
    </xf>
    <xf numFmtId="4" fontId="11" fillId="20" borderId="3" xfId="0" applyNumberFormat="1" applyFont="1" applyFill="1" applyBorder="1" applyAlignment="1">
      <alignment horizontal="left" vertical="center"/>
    </xf>
    <xf numFmtId="4" fontId="8" fillId="20" borderId="3" xfId="0" applyNumberFormat="1" applyFont="1" applyFill="1" applyBorder="1"/>
    <xf numFmtId="0" fontId="8" fillId="0" borderId="3" xfId="0" applyFont="1" applyBorder="1" applyAlignment="1">
      <alignment horizontal="left" vertical="center" indent="2"/>
    </xf>
    <xf numFmtId="4" fontId="12" fillId="0" borderId="3" xfId="0" applyNumberFormat="1" applyFont="1" applyBorder="1" applyAlignment="1">
      <alignment horizontal="left" vertical="center" indent="2"/>
    </xf>
    <xf numFmtId="4" fontId="8" fillId="0" borderId="3" xfId="0" applyNumberFormat="1" applyFont="1" applyBorder="1"/>
    <xf numFmtId="0" fontId="12" fillId="0" borderId="3" xfId="0" applyFont="1" applyBorder="1" applyAlignment="1">
      <alignment horizontal="left" vertical="center" indent="2"/>
    </xf>
    <xf numFmtId="4" fontId="9" fillId="0" borderId="3" xfId="0" applyNumberFormat="1" applyFont="1" applyBorder="1" applyAlignment="1">
      <alignment horizontal="left" vertical="center" indent="2"/>
    </xf>
    <xf numFmtId="0" fontId="12" fillId="0" borderId="3" xfId="0" applyFont="1" applyBorder="1"/>
    <xf numFmtId="4" fontId="8" fillId="0" borderId="0" xfId="0" applyNumberFormat="1" applyFont="1"/>
    <xf numFmtId="4" fontId="10" fillId="9" borderId="3" xfId="0" applyNumberFormat="1" applyFont="1" applyFill="1" applyBorder="1" applyAlignment="1">
      <alignment horizontal="left" vertical="center"/>
    </xf>
    <xf numFmtId="4" fontId="11" fillId="9" borderId="3" xfId="0" applyNumberFormat="1" applyFont="1" applyFill="1" applyBorder="1" applyAlignment="1">
      <alignment horizontal="left" vertical="center"/>
    </xf>
    <xf numFmtId="4" fontId="8" fillId="9" borderId="3" xfId="0" applyNumberFormat="1" applyFont="1" applyFill="1" applyBorder="1"/>
    <xf numFmtId="4" fontId="13" fillId="0" borderId="3" xfId="0" applyNumberFormat="1" applyFont="1" applyBorder="1" applyAlignment="1">
      <alignment horizontal="left" vertical="center" indent="2"/>
    </xf>
    <xf numFmtId="1" fontId="8" fillId="0" borderId="3" xfId="0" applyNumberFormat="1" applyFont="1" applyBorder="1"/>
    <xf numFmtId="2" fontId="8" fillId="14" borderId="3" xfId="0" applyNumberFormat="1" applyFont="1" applyFill="1" applyBorder="1"/>
    <xf numFmtId="0" fontId="12" fillId="0" borderId="0" xfId="0" applyFont="1"/>
    <xf numFmtId="0" fontId="10" fillId="21" borderId="3" xfId="0" applyFont="1" applyFill="1" applyBorder="1" applyAlignment="1">
      <alignment vertical="center"/>
    </xf>
    <xf numFmtId="4" fontId="11" fillId="21" borderId="3" xfId="0" applyNumberFormat="1" applyFont="1" applyFill="1" applyBorder="1" applyAlignment="1">
      <alignment vertical="center"/>
    </xf>
    <xf numFmtId="3" fontId="8" fillId="21" borderId="3" xfId="0" applyNumberFormat="1" applyFont="1" applyFill="1" applyBorder="1"/>
    <xf numFmtId="0" fontId="10" fillId="0" borderId="3" xfId="0" applyFont="1" applyBorder="1" applyAlignment="1">
      <alignment horizontal="left" vertical="center"/>
    </xf>
    <xf numFmtId="4" fontId="11" fillId="0" borderId="3" xfId="0" applyNumberFormat="1" applyFont="1" applyBorder="1" applyAlignment="1">
      <alignment horizontal="left" vertical="center"/>
    </xf>
    <xf numFmtId="3" fontId="8" fillId="0" borderId="3" xfId="0" applyNumberFormat="1" applyFont="1" applyBorder="1"/>
    <xf numFmtId="4" fontId="8" fillId="14" borderId="3" xfId="0" applyNumberFormat="1" applyFont="1" applyFill="1" applyBorder="1"/>
    <xf numFmtId="0" fontId="10" fillId="22" borderId="3" xfId="0" applyFont="1" applyFill="1" applyBorder="1" applyAlignment="1">
      <alignment horizontal="left" vertical="center" wrapText="1"/>
    </xf>
    <xf numFmtId="4" fontId="11" fillId="22" borderId="3" xfId="0" applyNumberFormat="1" applyFont="1" applyFill="1" applyBorder="1" applyAlignment="1">
      <alignment horizontal="left" vertical="center" wrapText="1"/>
    </xf>
    <xf numFmtId="0" fontId="8" fillId="22" borderId="3" xfId="0" applyFont="1" applyFill="1" applyBorder="1" applyAlignment="1">
      <alignment horizontal="center"/>
    </xf>
    <xf numFmtId="0" fontId="8" fillId="22" borderId="3" xfId="0" applyFont="1" applyFill="1" applyBorder="1"/>
    <xf numFmtId="0" fontId="8" fillId="23" borderId="3" xfId="0" applyFont="1" applyFill="1" applyBorder="1"/>
    <xf numFmtId="4" fontId="13" fillId="23" borderId="3" xfId="0" applyNumberFormat="1" applyFont="1" applyFill="1" applyBorder="1" applyAlignment="1">
      <alignment horizontal="center"/>
    </xf>
    <xf numFmtId="2" fontId="8" fillId="23" borderId="3" xfId="0" applyNumberFormat="1" applyFont="1" applyFill="1" applyBorder="1"/>
    <xf numFmtId="0" fontId="8" fillId="5" borderId="3" xfId="0" applyFont="1" applyFill="1" applyBorder="1"/>
    <xf numFmtId="4" fontId="9" fillId="5" borderId="3" xfId="0" applyNumberFormat="1" applyFont="1" applyFill="1" applyBorder="1"/>
    <xf numFmtId="4" fontId="8" fillId="5" borderId="3" xfId="0" applyNumberFormat="1" applyFont="1" applyFill="1" applyBorder="1"/>
    <xf numFmtId="4" fontId="13" fillId="0" borderId="3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right" vertical="center"/>
    </xf>
    <xf numFmtId="4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 vertical="center"/>
    </xf>
    <xf numFmtId="4" fontId="14" fillId="24" borderId="4" xfId="0" applyNumberFormat="1" applyFont="1" applyFill="1" applyBorder="1" applyAlignment="1">
      <alignment horizontal="center" vertical="center"/>
    </xf>
    <xf numFmtId="0" fontId="15" fillId="25" borderId="0" xfId="0" applyFont="1" applyFill="1" applyAlignment="1">
      <alignment horizontal="center" vertical="center"/>
    </xf>
    <xf numFmtId="167" fontId="14" fillId="0" borderId="4" xfId="0" applyNumberFormat="1" applyFont="1" applyBorder="1" applyAlignment="1">
      <alignment horizontal="center" vertical="center"/>
    </xf>
    <xf numFmtId="0" fontId="16" fillId="17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0" fontId="19" fillId="17" borderId="6" xfId="0" applyFont="1" applyFill="1" applyBorder="1" applyAlignment="1">
      <alignment vertical="center"/>
    </xf>
    <xf numFmtId="0" fontId="19" fillId="17" borderId="7" xfId="0" applyFont="1" applyFill="1" applyBorder="1" applyAlignment="1">
      <alignment vertical="center"/>
    </xf>
    <xf numFmtId="0" fontId="19" fillId="17" borderId="9" xfId="0" applyFont="1" applyFill="1" applyBorder="1" applyAlignment="1">
      <alignment vertical="center"/>
    </xf>
    <xf numFmtId="0" fontId="19" fillId="17" borderId="10" xfId="0" applyFont="1" applyFill="1" applyBorder="1" applyAlignment="1">
      <alignment vertical="center"/>
    </xf>
    <xf numFmtId="0" fontId="20" fillId="17" borderId="0" xfId="0" applyFont="1" applyFill="1" applyAlignment="1">
      <alignment horizontal="center" vertical="center" wrapText="1"/>
    </xf>
    <xf numFmtId="17" fontId="21" fillId="26" borderId="1" xfId="0" applyNumberFormat="1" applyFont="1" applyFill="1" applyBorder="1" applyAlignment="1">
      <alignment horizontal="center" vertical="center" wrapText="1"/>
    </xf>
    <xf numFmtId="1" fontId="21" fillId="26" borderId="1" xfId="0" applyNumberFormat="1" applyFont="1" applyFill="1" applyBorder="1" applyAlignment="1">
      <alignment horizontal="center" vertical="center" wrapText="1"/>
    </xf>
    <xf numFmtId="3" fontId="21" fillId="26" borderId="1" xfId="0" applyNumberFormat="1" applyFont="1" applyFill="1" applyBorder="1" applyAlignment="1">
      <alignment horizontal="center" vertical="center" wrapText="1"/>
    </xf>
    <xf numFmtId="3" fontId="22" fillId="26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23" fillId="27" borderId="14" xfId="0" applyNumberFormat="1" applyFont="1" applyFill="1" applyBorder="1" applyAlignment="1">
      <alignment horizontal="center" vertical="center"/>
    </xf>
    <xf numFmtId="3" fontId="23" fillId="27" borderId="15" xfId="0" applyNumberFormat="1" applyFont="1" applyFill="1" applyBorder="1" applyAlignment="1">
      <alignment horizontal="center" vertical="center"/>
    </xf>
    <xf numFmtId="3" fontId="18" fillId="26" borderId="1" xfId="0" applyNumberFormat="1" applyFont="1" applyFill="1" applyBorder="1" applyAlignment="1">
      <alignment horizontal="center" vertical="center"/>
    </xf>
    <xf numFmtId="4" fontId="16" fillId="0" borderId="16" xfId="0" applyNumberFormat="1" applyFont="1" applyBorder="1" applyAlignment="1">
      <alignment horizontal="center" vertical="center" wrapText="1"/>
    </xf>
    <xf numFmtId="4" fontId="16" fillId="0" borderId="16" xfId="0" applyNumberFormat="1" applyFont="1" applyBorder="1" applyAlignment="1">
      <alignment horizontal="center" vertical="center"/>
    </xf>
    <xf numFmtId="3" fontId="16" fillId="26" borderId="17" xfId="0" applyNumberFormat="1" applyFont="1" applyFill="1" applyBorder="1" applyAlignment="1">
      <alignment horizontal="center" vertical="center"/>
    </xf>
    <xf numFmtId="3" fontId="24" fillId="26" borderId="17" xfId="0" applyNumberFormat="1" applyFont="1" applyFill="1" applyBorder="1" applyAlignment="1">
      <alignment horizontal="center" vertical="top"/>
    </xf>
    <xf numFmtId="3" fontId="16" fillId="26" borderId="18" xfId="0" applyNumberFormat="1" applyFont="1" applyFill="1" applyBorder="1" applyAlignment="1">
      <alignment horizontal="center" vertical="center"/>
    </xf>
    <xf numFmtId="3" fontId="16" fillId="26" borderId="1" xfId="0" applyNumberFormat="1" applyFont="1" applyFill="1" applyBorder="1" applyAlignment="1">
      <alignment horizontal="center" vertical="center" wrapText="1"/>
    </xf>
    <xf numFmtId="3" fontId="16" fillId="26" borderId="1" xfId="0" applyNumberFormat="1" applyFont="1" applyFill="1" applyBorder="1" applyAlignment="1">
      <alignment horizontal="center" vertical="center"/>
    </xf>
    <xf numFmtId="3" fontId="23" fillId="27" borderId="19" xfId="0" applyNumberFormat="1" applyFont="1" applyFill="1" applyBorder="1" applyAlignment="1">
      <alignment horizontal="center" vertical="center"/>
    </xf>
    <xf numFmtId="3" fontId="23" fillId="27" borderId="20" xfId="0" applyNumberFormat="1" applyFont="1" applyFill="1" applyBorder="1" applyAlignment="1">
      <alignment horizontal="center" vertical="center"/>
    </xf>
    <xf numFmtId="4" fontId="16" fillId="0" borderId="1" xfId="0" applyNumberFormat="1" applyFont="1" applyBorder="1" applyAlignment="1">
      <alignment horizontal="center" vertical="center" wrapText="1"/>
    </xf>
    <xf numFmtId="4" fontId="16" fillId="0" borderId="1" xfId="0" applyNumberFormat="1" applyFont="1" applyBorder="1" applyAlignment="1">
      <alignment horizontal="center" vertical="center"/>
    </xf>
    <xf numFmtId="4" fontId="18" fillId="26" borderId="1" xfId="0" applyNumberFormat="1" applyFont="1" applyFill="1" applyBorder="1" applyAlignment="1">
      <alignment horizontal="center" vertical="center"/>
    </xf>
    <xf numFmtId="0" fontId="0" fillId="26" borderId="17" xfId="0" applyFill="1" applyBorder="1" applyAlignment="1">
      <alignment horizontal="center"/>
    </xf>
    <xf numFmtId="3" fontId="24" fillId="26" borderId="18" xfId="0" applyNumberFormat="1" applyFont="1" applyFill="1" applyBorder="1" applyAlignment="1">
      <alignment horizontal="center" vertical="top"/>
    </xf>
    <xf numFmtId="3" fontId="18" fillId="26" borderId="2" xfId="0" applyNumberFormat="1" applyFont="1" applyFill="1" applyBorder="1" applyAlignment="1">
      <alignment horizontal="center" vertical="center"/>
    </xf>
    <xf numFmtId="3" fontId="16" fillId="26" borderId="2" xfId="0" applyNumberFormat="1" applyFont="1" applyFill="1" applyBorder="1" applyAlignment="1">
      <alignment horizontal="center" vertical="center" wrapText="1"/>
    </xf>
    <xf numFmtId="3" fontId="16" fillId="26" borderId="2" xfId="0" applyNumberFormat="1" applyFont="1" applyFill="1" applyBorder="1" applyAlignment="1">
      <alignment horizontal="center" vertical="center"/>
    </xf>
    <xf numFmtId="3" fontId="18" fillId="26" borderId="11" xfId="0" applyNumberFormat="1" applyFont="1" applyFill="1" applyBorder="1" applyAlignment="1">
      <alignment horizontal="center" vertical="center"/>
    </xf>
    <xf numFmtId="3" fontId="23" fillId="27" borderId="19" xfId="0" applyNumberFormat="1" applyFont="1" applyFill="1" applyBorder="1" applyAlignment="1">
      <alignment horizontal="center" vertical="center" wrapText="1"/>
    </xf>
    <xf numFmtId="3" fontId="18" fillId="26" borderId="17" xfId="0" applyNumberFormat="1" applyFont="1" applyFill="1" applyBorder="1" applyAlignment="1">
      <alignment horizontal="center" vertical="center"/>
    </xf>
    <xf numFmtId="3" fontId="16" fillId="26" borderId="17" xfId="0" applyNumberFormat="1" applyFont="1" applyFill="1" applyBorder="1" applyAlignment="1">
      <alignment horizontal="center" vertical="center" wrapText="1"/>
    </xf>
    <xf numFmtId="3" fontId="16" fillId="26" borderId="16" xfId="0" applyNumberFormat="1" applyFont="1" applyFill="1" applyBorder="1" applyAlignment="1">
      <alignment horizontal="center" vertical="center"/>
    </xf>
    <xf numFmtId="3" fontId="18" fillId="26" borderId="16" xfId="0" applyNumberFormat="1" applyFont="1" applyFill="1" applyBorder="1" applyAlignment="1">
      <alignment horizontal="center" vertical="center"/>
    </xf>
    <xf numFmtId="4" fontId="25" fillId="0" borderId="11" xfId="0" applyNumberFormat="1" applyFont="1" applyBorder="1" applyAlignment="1">
      <alignment horizontal="left" vertical="top" wrapText="1"/>
    </xf>
    <xf numFmtId="3" fontId="26" fillId="0" borderId="19" xfId="0" applyNumberFormat="1" applyFont="1" applyBorder="1" applyAlignment="1">
      <alignment horizontal="center" vertical="center"/>
    </xf>
    <xf numFmtId="3" fontId="23" fillId="0" borderId="19" xfId="0" applyNumberFormat="1" applyFont="1" applyBorder="1" applyAlignment="1">
      <alignment horizontal="center" vertical="center"/>
    </xf>
    <xf numFmtId="3" fontId="23" fillId="0" borderId="19" xfId="0" applyNumberFormat="1" applyFont="1" applyBorder="1" applyAlignment="1">
      <alignment horizontal="center" vertical="center" wrapText="1"/>
    </xf>
    <xf numFmtId="3" fontId="25" fillId="26" borderId="2" xfId="0" applyNumberFormat="1" applyFont="1" applyFill="1" applyBorder="1" applyAlignment="1">
      <alignment horizontal="center" vertical="top" wrapText="1"/>
    </xf>
    <xf numFmtId="4" fontId="16" fillId="0" borderId="11" xfId="0" applyNumberFormat="1" applyFont="1" applyBorder="1" applyAlignment="1">
      <alignment horizontal="center" vertical="center"/>
    </xf>
    <xf numFmtId="3" fontId="26" fillId="0" borderId="19" xfId="0" applyNumberFormat="1" applyFont="1" applyBorder="1" applyAlignment="1">
      <alignment horizontal="center" vertical="center" wrapText="1"/>
    </xf>
    <xf numFmtId="3" fontId="16" fillId="26" borderId="16" xfId="0" applyNumberFormat="1" applyFont="1" applyFill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 wrapText="1"/>
    </xf>
    <xf numFmtId="3" fontId="18" fillId="26" borderId="1" xfId="0" applyNumberFormat="1" applyFont="1" applyFill="1" applyBorder="1" applyAlignment="1">
      <alignment horizontal="center" vertical="center" wrapText="1"/>
    </xf>
    <xf numFmtId="3" fontId="16" fillId="17" borderId="1" xfId="0" applyNumberFormat="1" applyFont="1" applyFill="1" applyBorder="1" applyAlignment="1">
      <alignment horizontal="center" vertical="center" wrapText="1"/>
    </xf>
    <xf numFmtId="3" fontId="16" fillId="17" borderId="1" xfId="0" applyNumberFormat="1" applyFont="1" applyFill="1" applyBorder="1" applyAlignment="1">
      <alignment horizontal="center" vertical="center"/>
    </xf>
    <xf numFmtId="3" fontId="16" fillId="17" borderId="11" xfId="0" applyNumberFormat="1" applyFont="1" applyFill="1" applyBorder="1" applyAlignment="1">
      <alignment horizontal="center" vertical="center"/>
    </xf>
    <xf numFmtId="4" fontId="16" fillId="0" borderId="11" xfId="0" applyNumberFormat="1" applyFont="1" applyBorder="1" applyAlignment="1">
      <alignment horizontal="center" vertical="center" wrapText="1"/>
    </xf>
    <xf numFmtId="3" fontId="16" fillId="26" borderId="0" xfId="0" applyNumberFormat="1" applyFont="1" applyFill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3" fontId="16" fillId="26" borderId="12" xfId="0" applyNumberFormat="1" applyFont="1" applyFill="1" applyBorder="1" applyAlignment="1">
      <alignment horizontal="center" vertical="center"/>
    </xf>
    <xf numFmtId="3" fontId="16" fillId="26" borderId="6" xfId="0" applyNumberFormat="1" applyFont="1" applyFill="1" applyBorder="1" applyAlignment="1">
      <alignment horizontal="center" vertical="center"/>
    </xf>
    <xf numFmtId="3" fontId="16" fillId="0" borderId="0" xfId="0" applyNumberFormat="1" applyFont="1" applyAlignment="1">
      <alignment horizontal="center" vertical="center" wrapText="1"/>
    </xf>
    <xf numFmtId="3" fontId="18" fillId="26" borderId="0" xfId="0" applyNumberFormat="1" applyFont="1" applyFill="1" applyAlignment="1">
      <alignment horizontal="center" vertical="center"/>
    </xf>
    <xf numFmtId="3" fontId="16" fillId="26" borderId="0" xfId="0" applyNumberFormat="1" applyFont="1" applyFill="1" applyAlignment="1">
      <alignment horizontal="center" vertical="center" wrapText="1"/>
    </xf>
    <xf numFmtId="4" fontId="18" fillId="26" borderId="1" xfId="0" applyNumberFormat="1" applyFont="1" applyFill="1" applyBorder="1" applyAlignment="1">
      <alignment horizontal="center" vertical="center" wrapText="1"/>
    </xf>
    <xf numFmtId="4" fontId="16" fillId="26" borderId="1" xfId="0" applyNumberFormat="1" applyFont="1" applyFill="1" applyBorder="1" applyAlignment="1">
      <alignment horizontal="center" vertical="center"/>
    </xf>
    <xf numFmtId="4" fontId="16" fillId="26" borderId="1" xfId="0" applyNumberFormat="1" applyFont="1" applyFill="1" applyBorder="1" applyAlignment="1">
      <alignment horizontal="center" vertical="center" wrapText="1"/>
    </xf>
    <xf numFmtId="0" fontId="18" fillId="28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 wrapText="1"/>
    </xf>
    <xf numFmtId="0" fontId="18" fillId="30" borderId="1" xfId="0" applyFont="1" applyFill="1" applyBorder="1" applyAlignment="1">
      <alignment horizontal="center" vertical="center" wrapText="1"/>
    </xf>
    <xf numFmtId="0" fontId="27" fillId="17" borderId="0" xfId="0" applyFont="1" applyFill="1" applyAlignment="1">
      <alignment horizontal="center" vertical="center"/>
    </xf>
    <xf numFmtId="0" fontId="19" fillId="26" borderId="1" xfId="0" applyFont="1" applyFill="1" applyBorder="1" applyAlignment="1">
      <alignment horizontal="center" vertical="center" wrapText="1"/>
    </xf>
    <xf numFmtId="3" fontId="19" fillId="26" borderId="1" xfId="0" applyNumberFormat="1" applyFont="1" applyFill="1" applyBorder="1" applyAlignment="1">
      <alignment horizontal="center" vertical="center" wrapText="1"/>
    </xf>
    <xf numFmtId="3" fontId="27" fillId="26" borderId="1" xfId="0" applyNumberFormat="1" applyFont="1" applyFill="1" applyBorder="1" applyAlignment="1">
      <alignment horizontal="center" vertical="center"/>
    </xf>
    <xf numFmtId="3" fontId="19" fillId="26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17" fontId="6" fillId="2" borderId="11" xfId="0" applyNumberFormat="1" applyFont="1" applyFill="1" applyBorder="1" applyAlignment="1">
      <alignment horizontal="center" vertical="center"/>
    </xf>
    <xf numFmtId="17" fontId="6" fillId="2" borderId="25" xfId="0" applyNumberFormat="1" applyFont="1" applyFill="1" applyBorder="1" applyAlignment="1">
      <alignment horizontal="center" vertical="center"/>
    </xf>
    <xf numFmtId="17" fontId="6" fillId="2" borderId="26" xfId="0" applyNumberFormat="1" applyFont="1" applyFill="1" applyBorder="1" applyAlignment="1">
      <alignment horizontal="center" vertical="center"/>
    </xf>
    <xf numFmtId="17" fontId="6" fillId="2" borderId="1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6" fillId="2" borderId="11" xfId="0" applyNumberFormat="1" applyFont="1" applyFill="1" applyBorder="1" applyAlignment="1">
      <alignment horizontal="center" vertical="center"/>
    </xf>
    <xf numFmtId="3" fontId="6" fillId="2" borderId="25" xfId="0" applyNumberFormat="1" applyFont="1" applyFill="1" applyBorder="1" applyAlignment="1">
      <alignment horizontal="center" vertical="center"/>
    </xf>
    <xf numFmtId="3" fontId="6" fillId="2" borderId="26" xfId="0" applyNumberFormat="1" applyFont="1" applyFill="1" applyBorder="1" applyAlignment="1">
      <alignment horizontal="center" vertical="center"/>
    </xf>
    <xf numFmtId="3" fontId="6" fillId="2" borderId="1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4" borderId="25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8" borderId="0" xfId="0" applyFill="1" applyAlignment="1">
      <alignment horizontal="center" vertical="center"/>
    </xf>
    <xf numFmtId="4" fontId="7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3" fontId="19" fillId="17" borderId="6" xfId="0" applyNumberFormat="1" applyFont="1" applyFill="1" applyBorder="1" applyAlignment="1">
      <alignment vertical="center"/>
    </xf>
    <xf numFmtId="3" fontId="31" fillId="26" borderId="17" xfId="0" applyNumberFormat="1" applyFont="1" applyFill="1" applyBorder="1" applyAlignment="1">
      <alignment horizontal="center" vertical="center"/>
    </xf>
    <xf numFmtId="164" fontId="18" fillId="26" borderId="16" xfId="1" applyFont="1" applyFill="1" applyBorder="1" applyAlignment="1">
      <alignment horizontal="center" vertical="center"/>
    </xf>
    <xf numFmtId="3" fontId="33" fillId="27" borderId="19" xfId="0" applyNumberFormat="1" applyFont="1" applyFill="1" applyBorder="1" applyAlignment="1">
      <alignment horizontal="center" vertical="center"/>
    </xf>
    <xf numFmtId="3" fontId="36" fillId="0" borderId="1" xfId="0" applyNumberFormat="1" applyFont="1" applyBorder="1" applyAlignment="1">
      <alignment horizontal="center" vertical="center"/>
    </xf>
    <xf numFmtId="0" fontId="18" fillId="31" borderId="1" xfId="0" applyFont="1" applyFill="1" applyBorder="1" applyAlignment="1">
      <alignment vertical="center" wrapText="1"/>
    </xf>
    <xf numFmtId="3" fontId="33" fillId="0" borderId="19" xfId="0" applyNumberFormat="1" applyFont="1" applyBorder="1" applyAlignment="1">
      <alignment horizontal="center" vertical="center"/>
    </xf>
    <xf numFmtId="3" fontId="33" fillId="32" borderId="19" xfId="0" applyNumberFormat="1" applyFont="1" applyFill="1" applyBorder="1" applyAlignment="1">
      <alignment horizontal="center" vertical="center"/>
    </xf>
    <xf numFmtId="3" fontId="23" fillId="32" borderId="19" xfId="0" applyNumberFormat="1" applyFont="1" applyFill="1" applyBorder="1" applyAlignment="1">
      <alignment horizontal="center" vertical="center"/>
    </xf>
    <xf numFmtId="168" fontId="18" fillId="31" borderId="1" xfId="1" applyNumberFormat="1" applyFont="1" applyFill="1" applyBorder="1" applyAlignment="1">
      <alignment vertical="center" wrapText="1"/>
    </xf>
    <xf numFmtId="168" fontId="18" fillId="28" borderId="1" xfId="1" applyNumberFormat="1" applyFont="1" applyFill="1" applyBorder="1" applyAlignment="1">
      <alignment vertical="center" wrapText="1"/>
    </xf>
    <xf numFmtId="168" fontId="18" fillId="29" borderId="1" xfId="1" applyNumberFormat="1" applyFont="1" applyFill="1" applyBorder="1" applyAlignment="1">
      <alignment vertical="center" wrapText="1"/>
    </xf>
    <xf numFmtId="168" fontId="18" fillId="30" borderId="1" xfId="1" applyNumberFormat="1" applyFont="1" applyFill="1" applyBorder="1" applyAlignment="1">
      <alignment vertical="center" wrapText="1"/>
    </xf>
    <xf numFmtId="0" fontId="18" fillId="28" borderId="1" xfId="0" applyFont="1" applyFill="1" applyBorder="1" applyAlignment="1">
      <alignment horizontal="left" vertical="center" wrapText="1"/>
    </xf>
    <xf numFmtId="0" fontId="18" fillId="29" borderId="1" xfId="0" applyFont="1" applyFill="1" applyBorder="1" applyAlignment="1">
      <alignment horizontal="left" vertical="center" wrapText="1"/>
    </xf>
    <xf numFmtId="0" fontId="18" fillId="30" borderId="1" xfId="0" applyFont="1" applyFill="1" applyBorder="1" applyAlignment="1">
      <alignment horizontal="left" vertical="center" wrapText="1"/>
    </xf>
    <xf numFmtId="0" fontId="18" fillId="31" borderId="1" xfId="0" applyFont="1" applyFill="1" applyBorder="1" applyAlignment="1">
      <alignment horizontal="left" vertical="center" wrapText="1"/>
    </xf>
    <xf numFmtId="164" fontId="37" fillId="0" borderId="1" xfId="1" applyFont="1" applyBorder="1" applyAlignment="1">
      <alignment horizontal="center" vertical="center"/>
    </xf>
    <xf numFmtId="0" fontId="18" fillId="33" borderId="1" xfId="0" applyFont="1" applyFill="1" applyBorder="1" applyAlignment="1">
      <alignment horizontal="left" vertical="center" wrapText="1"/>
    </xf>
    <xf numFmtId="0" fontId="18" fillId="33" borderId="1" xfId="0" applyFont="1" applyFill="1" applyBorder="1" applyAlignment="1">
      <alignment vertical="center" wrapText="1"/>
    </xf>
    <xf numFmtId="168" fontId="18" fillId="33" borderId="1" xfId="1" applyNumberFormat="1" applyFont="1" applyFill="1" applyBorder="1" applyAlignment="1">
      <alignment vertical="center" wrapText="1"/>
    </xf>
    <xf numFmtId="0" fontId="38" fillId="34" borderId="1" xfId="0" applyFont="1" applyFill="1" applyBorder="1" applyAlignment="1">
      <alignment horizontal="center" vertical="center"/>
    </xf>
    <xf numFmtId="164" fontId="35" fillId="26" borderId="1" xfId="1" applyFont="1" applyFill="1" applyBorder="1" applyAlignment="1">
      <alignment horizontal="center" vertical="center"/>
    </xf>
    <xf numFmtId="164" fontId="38" fillId="34" borderId="1" xfId="0" applyNumberFormat="1" applyFont="1" applyFill="1" applyBorder="1" applyAlignment="1">
      <alignment horizontal="center" vertical="center"/>
    </xf>
    <xf numFmtId="168" fontId="17" fillId="17" borderId="0" xfId="0" applyNumberFormat="1" applyFont="1" applyFill="1" applyAlignment="1">
      <alignment horizontal="center" vertical="center"/>
    </xf>
    <xf numFmtId="168" fontId="39" fillId="17" borderId="0" xfId="0" applyNumberFormat="1" applyFont="1" applyFill="1" applyAlignment="1">
      <alignment horizontal="center" vertical="center"/>
    </xf>
    <xf numFmtId="168" fontId="40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68" fontId="18" fillId="36" borderId="1" xfId="1" applyNumberFormat="1" applyFont="1" applyFill="1" applyBorder="1" applyAlignment="1">
      <alignment vertical="center" wrapText="1"/>
    </xf>
    <xf numFmtId="0" fontId="18" fillId="36" borderId="1" xfId="0" applyFont="1" applyFill="1" applyBorder="1" applyAlignment="1">
      <alignment vertical="center" wrapText="1"/>
    </xf>
    <xf numFmtId="168" fontId="18" fillId="38" borderId="1" xfId="1" applyNumberFormat="1" applyFont="1" applyFill="1" applyBorder="1" applyAlignment="1">
      <alignment vertical="center" wrapText="1"/>
    </xf>
    <xf numFmtId="0" fontId="18" fillId="38" borderId="1" xfId="0" applyFont="1" applyFill="1" applyBorder="1" applyAlignment="1">
      <alignment vertical="center" wrapText="1"/>
    </xf>
    <xf numFmtId="168" fontId="18" fillId="39" borderId="0" xfId="0" applyNumberFormat="1" applyFont="1" applyFill="1" applyAlignment="1">
      <alignment horizontal="center" vertical="center"/>
    </xf>
    <xf numFmtId="3" fontId="23" fillId="0" borderId="19" xfId="0" applyNumberFormat="1" applyFont="1" applyFill="1" applyBorder="1" applyAlignment="1">
      <alignment horizontal="center" vertical="center"/>
    </xf>
    <xf numFmtId="3" fontId="33" fillId="0" borderId="19" xfId="0" applyNumberFormat="1" applyFont="1" applyFill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 wrapText="1"/>
    </xf>
    <xf numFmtId="0" fontId="18" fillId="40" borderId="1" xfId="0" applyFont="1" applyFill="1" applyBorder="1" applyAlignment="1">
      <alignment horizontal="left" vertical="center" wrapText="1"/>
    </xf>
    <xf numFmtId="0" fontId="18" fillId="40" borderId="1" xfId="0" applyFont="1" applyFill="1" applyBorder="1" applyAlignment="1">
      <alignment vertical="center" wrapText="1"/>
    </xf>
    <xf numFmtId="168" fontId="18" fillId="41" borderId="1" xfId="1" applyNumberFormat="1" applyFont="1" applyFill="1" applyBorder="1" applyAlignment="1">
      <alignment vertical="center" wrapText="1"/>
    </xf>
    <xf numFmtId="3" fontId="23" fillId="31" borderId="19" xfId="0" applyNumberFormat="1" applyFont="1" applyFill="1" applyBorder="1" applyAlignment="1">
      <alignment horizontal="center" vertical="center"/>
    </xf>
    <xf numFmtId="164" fontId="35" fillId="26" borderId="16" xfId="1" applyFont="1" applyFill="1" applyBorder="1" applyAlignment="1">
      <alignment horizontal="center" vertical="center"/>
    </xf>
    <xf numFmtId="3" fontId="16" fillId="0" borderId="9" xfId="0" applyNumberFormat="1" applyFont="1" applyBorder="1" applyAlignment="1">
      <alignment horizontal="center" vertical="center"/>
    </xf>
    <xf numFmtId="3" fontId="23" fillId="27" borderId="34" xfId="0" applyNumberFormat="1" applyFont="1" applyFill="1" applyBorder="1" applyAlignment="1">
      <alignment horizontal="center" vertical="center"/>
    </xf>
    <xf numFmtId="3" fontId="33" fillId="27" borderId="34" xfId="0" applyNumberFormat="1" applyFont="1" applyFill="1" applyBorder="1" applyAlignment="1">
      <alignment horizontal="center" vertical="center"/>
    </xf>
    <xf numFmtId="0" fontId="16" fillId="17" borderId="9" xfId="0" applyFont="1" applyFill="1" applyBorder="1" applyAlignment="1">
      <alignment horizontal="center" vertical="center"/>
    </xf>
    <xf numFmtId="168" fontId="16" fillId="0" borderId="1" xfId="0" applyNumberFormat="1" applyFont="1" applyBorder="1" applyAlignment="1">
      <alignment horizontal="center" vertical="center"/>
    </xf>
    <xf numFmtId="4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8" fillId="31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3" fontId="18" fillId="0" borderId="11" xfId="0" applyNumberFormat="1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18" fillId="37" borderId="1" xfId="0" applyFont="1" applyFill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18" fillId="40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40" borderId="16" xfId="0" applyFont="1" applyFill="1" applyBorder="1" applyAlignment="1">
      <alignment horizontal="center" vertical="center" wrapText="1"/>
    </xf>
    <xf numFmtId="3" fontId="18" fillId="0" borderId="16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3" fontId="18" fillId="0" borderId="2" xfId="0" applyNumberFormat="1" applyFont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3" fontId="35" fillId="0" borderId="1" xfId="0" applyNumberFormat="1" applyFont="1" applyBorder="1" applyAlignment="1">
      <alignment horizontal="center" vertical="center" wrapText="1"/>
    </xf>
    <xf numFmtId="0" fontId="18" fillId="33" borderId="1" xfId="0" applyFont="1" applyFill="1" applyBorder="1" applyAlignment="1">
      <alignment horizontal="center" vertical="center" wrapText="1"/>
    </xf>
    <xf numFmtId="17" fontId="21" fillId="26" borderId="1" xfId="0" applyNumberFormat="1" applyFont="1" applyFill="1" applyBorder="1" applyAlignment="1">
      <alignment horizontal="right" vertical="center" wrapText="1"/>
    </xf>
    <xf numFmtId="17" fontId="21" fillId="26" borderId="11" xfId="0" applyNumberFormat="1" applyFont="1" applyFill="1" applyBorder="1" applyAlignment="1">
      <alignment horizontal="center" vertical="center" wrapText="1"/>
    </xf>
    <xf numFmtId="17" fontId="21" fillId="26" borderId="12" xfId="0" applyNumberFormat="1" applyFont="1" applyFill="1" applyBorder="1" applyAlignment="1">
      <alignment horizontal="center" vertical="center" wrapText="1"/>
    </xf>
    <xf numFmtId="17" fontId="21" fillId="26" borderId="13" xfId="0" applyNumberFormat="1" applyFont="1" applyFill="1" applyBorder="1" applyAlignment="1">
      <alignment horizontal="center" vertical="center" wrapText="1"/>
    </xf>
    <xf numFmtId="0" fontId="19" fillId="17" borderId="5" xfId="0" applyFont="1" applyFill="1" applyBorder="1" applyAlignment="1">
      <alignment horizontal="center" vertical="center"/>
    </xf>
    <xf numFmtId="0" fontId="19" fillId="17" borderId="6" xfId="0" applyFont="1" applyFill="1" applyBorder="1" applyAlignment="1">
      <alignment horizontal="center" vertical="center"/>
    </xf>
    <xf numFmtId="0" fontId="19" fillId="17" borderId="8" xfId="0" applyFont="1" applyFill="1" applyBorder="1" applyAlignment="1">
      <alignment horizontal="center" vertical="center"/>
    </xf>
    <xf numFmtId="0" fontId="19" fillId="17" borderId="9" xfId="0" applyFont="1" applyFill="1" applyBorder="1" applyAlignment="1">
      <alignment horizontal="center" vertical="center"/>
    </xf>
    <xf numFmtId="0" fontId="20" fillId="26" borderId="1" xfId="0" applyFont="1" applyFill="1" applyBorder="1" applyAlignment="1">
      <alignment horizontal="center" vertical="center" wrapText="1"/>
    </xf>
    <xf numFmtId="3" fontId="21" fillId="26" borderId="1" xfId="0" applyNumberFormat="1" applyFont="1" applyFill="1" applyBorder="1" applyAlignment="1">
      <alignment horizontal="center" vertical="center" wrapText="1"/>
    </xf>
    <xf numFmtId="17" fontId="34" fillId="26" borderId="1" xfId="0" applyNumberFormat="1" applyFont="1" applyFill="1" applyBorder="1" applyAlignment="1">
      <alignment horizontal="right" vertical="center" wrapText="1"/>
    </xf>
    <xf numFmtId="1" fontId="18" fillId="0" borderId="2" xfId="0" applyNumberFormat="1" applyFont="1" applyBorder="1" applyAlignment="1">
      <alignment horizontal="center" vertical="center" wrapText="1"/>
    </xf>
    <xf numFmtId="0" fontId="38" fillId="34" borderId="1" xfId="0" applyFont="1" applyFill="1" applyBorder="1" applyAlignment="1">
      <alignment horizontal="left" vertical="center"/>
    </xf>
    <xf numFmtId="3" fontId="18" fillId="35" borderId="11" xfId="0" applyNumberFormat="1" applyFont="1" applyFill="1" applyBorder="1" applyAlignment="1">
      <alignment horizontal="center" vertical="center" wrapText="1"/>
    </xf>
    <xf numFmtId="0" fontId="18" fillId="35" borderId="1" xfId="0" applyFont="1" applyFill="1" applyBorder="1" applyAlignment="1">
      <alignment horizontal="center" vertical="center" wrapText="1"/>
    </xf>
    <xf numFmtId="4" fontId="7" fillId="4" borderId="31" xfId="0" applyNumberFormat="1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4" fontId="0" fillId="3" borderId="31" xfId="0" applyNumberFormat="1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4" fontId="0" fillId="4" borderId="31" xfId="0" applyNumberFormat="1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101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CA3F0E"/>
      <color rgb="FFCA09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952277</xdr:colOff>
      <xdr:row>10</xdr:row>
      <xdr:rowOff>469954</xdr:rowOff>
    </xdr:from>
    <xdr:to>
      <xdr:col>7</xdr:col>
      <xdr:colOff>1366412</xdr:colOff>
      <xdr:row>10</xdr:row>
      <xdr:rowOff>983163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 bwMode="auto">
        <a:xfrm>
          <a:off x="8208818" y="1835727"/>
          <a:ext cx="0" cy="0"/>
          <a:chOff x="5594143" y="2008909"/>
          <a:chExt cx="964006" cy="1462307"/>
        </a:xfrm>
      </xdr:grpSpPr>
      <xdr:pic>
        <xdr:nvPicPr>
          <xdr:cNvPr id="28" name="Рисунок 27" descr="https://myskillsconnect.com/uploads/posts/2023-08/1691460600_myskillsconnect-com-p-foto-bashennogo-krana-dlya-logotipa-18.png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5594143" y="2008909"/>
            <a:ext cx="964006" cy="960102"/>
          </a:xfrm>
          <a:prstGeom prst="rect">
            <a:avLst/>
          </a:prstGeom>
          <a:noFill/>
        </xdr:spPr>
      </xdr:pic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SpPr txBox="1"/>
        </xdr:nvSpPr>
        <xdr:spPr bwMode="auto">
          <a:xfrm>
            <a:off x="5596767" y="2989063"/>
            <a:ext cx="624725" cy="48215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ru-RU" sz="800"/>
              <a:t>4</a:t>
            </a:r>
            <a:endParaRPr/>
          </a:p>
        </xdr:txBody>
      </xdr:sp>
    </xdr:grpSp>
    <xdr:clientData/>
  </xdr:twoCellAnchor>
  <xdr:twoCellAnchor>
    <xdr:from>
      <xdr:col>7</xdr:col>
      <xdr:colOff>1009078</xdr:colOff>
      <xdr:row>12</xdr:row>
      <xdr:rowOff>490167</xdr:rowOff>
    </xdr:from>
    <xdr:to>
      <xdr:col>8</xdr:col>
      <xdr:colOff>4198</xdr:colOff>
      <xdr:row>12</xdr:row>
      <xdr:rowOff>984773</xdr:rowOff>
    </xdr:to>
    <xdr:grpSp>
      <xdr:nvGrpSpPr>
        <xdr:cNvPr id="3" name="Группа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 bwMode="auto">
        <a:xfrm>
          <a:off x="8208818" y="1835727"/>
          <a:ext cx="0" cy="0"/>
          <a:chOff x="5594143" y="2008909"/>
          <a:chExt cx="964006" cy="1409301"/>
        </a:xfrm>
      </xdr:grpSpPr>
      <xdr:pic>
        <xdr:nvPicPr>
          <xdr:cNvPr id="34" name="Рисунок 33" descr="https://myskillsconnect.com/uploads/posts/2023-08/1691460600_myskillsconnect-com-p-foto-bashennogo-krana-dlya-logotipa-18.png">
            <a:extLst>
              <a:ext uri="{FF2B5EF4-FFF2-40B4-BE49-F238E27FC236}">
                <a16:creationId xmlns:a16="http://schemas.microsoft.com/office/drawing/2014/main" id="{00000000-0008-0000-0400-00002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5594143" y="2008909"/>
            <a:ext cx="964006" cy="960102"/>
          </a:xfrm>
          <a:prstGeom prst="rect">
            <a:avLst/>
          </a:prstGeom>
          <a:noFill/>
        </xdr:spPr>
      </xdr:pic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SpPr txBox="1"/>
        </xdr:nvSpPr>
        <xdr:spPr bwMode="auto">
          <a:xfrm>
            <a:off x="5596767" y="2989063"/>
            <a:ext cx="616953" cy="429148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ru-RU" sz="800"/>
              <a:t>1</a:t>
            </a:r>
            <a:endParaRPr/>
          </a:p>
        </xdr:txBody>
      </xdr:sp>
    </xdr:grpSp>
    <xdr:clientData/>
  </xdr:twoCellAnchor>
  <xdr:twoCellAnchor>
    <xdr:from>
      <xdr:col>8</xdr:col>
      <xdr:colOff>943194</xdr:colOff>
      <xdr:row>16</xdr:row>
      <xdr:rowOff>449666</xdr:rowOff>
    </xdr:from>
    <xdr:to>
      <xdr:col>8</xdr:col>
      <xdr:colOff>1343312</xdr:colOff>
      <xdr:row>16</xdr:row>
      <xdr:rowOff>944273</xdr:rowOff>
    </xdr:to>
    <xdr:grpSp>
      <xdr:nvGrpSpPr>
        <xdr:cNvPr id="4" name="Группа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/>
      </xdr:nvGrpSpPr>
      <xdr:grpSpPr bwMode="auto">
        <a:xfrm>
          <a:off x="8208818" y="3653530"/>
          <a:ext cx="0" cy="494607"/>
          <a:chOff x="5594143" y="2008909"/>
          <a:chExt cx="964006" cy="1409301"/>
        </a:xfrm>
      </xdr:grpSpPr>
      <xdr:pic>
        <xdr:nvPicPr>
          <xdr:cNvPr id="37" name="Рисунок 36" descr="https://myskillsconnect.com/uploads/posts/2023-08/1691460600_myskillsconnect-com-p-foto-bashennogo-krana-dlya-logotipa-18.png">
            <a:extLst>
              <a:ext uri="{FF2B5EF4-FFF2-40B4-BE49-F238E27FC236}">
                <a16:creationId xmlns:a16="http://schemas.microsoft.com/office/drawing/2014/main" id="{00000000-0008-0000-0400-00002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5594143" y="2008909"/>
            <a:ext cx="964006" cy="960102"/>
          </a:xfrm>
          <a:prstGeom prst="rect">
            <a:avLst/>
          </a:prstGeom>
          <a:noFill/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400-000026000000}"/>
              </a:ext>
            </a:extLst>
          </xdr:cNvPr>
          <xdr:cNvSpPr txBox="1"/>
        </xdr:nvSpPr>
        <xdr:spPr bwMode="auto">
          <a:xfrm>
            <a:off x="5596767" y="2989063"/>
            <a:ext cx="616953" cy="429148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  <a:round/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ru-RU" sz="800"/>
              <a:t>1</a:t>
            </a:r>
            <a:endParaRPr/>
          </a:p>
        </xdr:txBody>
      </xdr:sp>
    </xdr:grpSp>
    <xdr:clientData/>
  </xdr:twoCellAnchor>
  <xdr:twoCellAnchor>
    <xdr:from>
      <xdr:col>10</xdr:col>
      <xdr:colOff>456158</xdr:colOff>
      <xdr:row>12</xdr:row>
      <xdr:rowOff>483696</xdr:rowOff>
    </xdr:from>
    <xdr:to>
      <xdr:col>10</xdr:col>
      <xdr:colOff>856801</xdr:colOff>
      <xdr:row>12</xdr:row>
      <xdr:rowOff>978302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/>
      </xdr:nvGrpSpPr>
      <xdr:grpSpPr bwMode="auto">
        <a:xfrm>
          <a:off x="8208818" y="1835727"/>
          <a:ext cx="0" cy="0"/>
          <a:chOff x="5594143" y="2008909"/>
          <a:chExt cx="964006" cy="1409301"/>
        </a:xfrm>
      </xdr:grpSpPr>
      <xdr:pic>
        <xdr:nvPicPr>
          <xdr:cNvPr id="40" name="Рисунок 39" descr="https://myskillsconnect.com/uploads/posts/2023-08/1691460600_myskillsconnect-com-p-foto-bashennogo-krana-dlya-logotipa-18.png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5594143" y="2008909"/>
            <a:ext cx="964006" cy="960102"/>
          </a:xfrm>
          <a:prstGeom prst="rect">
            <a:avLst/>
          </a:prstGeom>
          <a:noFill/>
        </xdr:spPr>
      </xdr:pic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00000000-0008-0000-0400-000029000000}"/>
              </a:ext>
            </a:extLst>
          </xdr:cNvPr>
          <xdr:cNvSpPr txBox="1"/>
        </xdr:nvSpPr>
        <xdr:spPr bwMode="auto">
          <a:xfrm>
            <a:off x="5596767" y="2989063"/>
            <a:ext cx="616953" cy="429148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  <a:round/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ru-RU" sz="800"/>
              <a:t>2</a:t>
            </a:r>
            <a:endParaRPr/>
          </a:p>
        </xdr:txBody>
      </xdr:sp>
    </xdr:grpSp>
    <xdr:clientData/>
  </xdr:twoCellAnchor>
  <xdr:twoCellAnchor>
    <xdr:from>
      <xdr:col>8</xdr:col>
      <xdr:colOff>54427</xdr:colOff>
      <xdr:row>6</xdr:row>
      <xdr:rowOff>43542</xdr:rowOff>
    </xdr:from>
    <xdr:to>
      <xdr:col>8</xdr:col>
      <xdr:colOff>718456</xdr:colOff>
      <xdr:row>6</xdr:row>
      <xdr:rowOff>478969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 bwMode="auto">
        <a:xfrm>
          <a:off x="8091146" y="1519916"/>
          <a:ext cx="664029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РНВ</a:t>
          </a:r>
          <a:endParaRPr/>
        </a:p>
      </xdr:txBody>
    </xdr:sp>
    <xdr:clientData/>
  </xdr:twoCellAnchor>
  <xdr:twoCellAnchor>
    <xdr:from>
      <xdr:col>14</xdr:col>
      <xdr:colOff>244764</xdr:colOff>
      <xdr:row>22</xdr:row>
      <xdr:rowOff>118918</xdr:rowOff>
    </xdr:from>
    <xdr:to>
      <xdr:col>14</xdr:col>
      <xdr:colOff>908793</xdr:colOff>
      <xdr:row>22</xdr:row>
      <xdr:rowOff>554346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 txBox="1"/>
      </xdr:nvSpPr>
      <xdr:spPr bwMode="auto">
        <a:xfrm>
          <a:off x="11674764" y="11216409"/>
          <a:ext cx="664029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11</xdr:col>
      <xdr:colOff>63500</xdr:colOff>
      <xdr:row>24</xdr:row>
      <xdr:rowOff>50800</xdr:rowOff>
    </xdr:from>
    <xdr:to>
      <xdr:col>11</xdr:col>
      <xdr:colOff>727529</xdr:colOff>
      <xdr:row>24</xdr:row>
      <xdr:rowOff>486228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 txBox="1"/>
      </xdr:nvSpPr>
      <xdr:spPr bwMode="auto">
        <a:xfrm>
          <a:off x="12725400" y="9690100"/>
          <a:ext cx="664029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15</xdr:col>
      <xdr:colOff>181593</xdr:colOff>
      <xdr:row>22</xdr:row>
      <xdr:rowOff>568860</xdr:rowOff>
    </xdr:from>
    <xdr:to>
      <xdr:col>15</xdr:col>
      <xdr:colOff>845622</xdr:colOff>
      <xdr:row>22</xdr:row>
      <xdr:rowOff>1004286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 txBox="1"/>
      </xdr:nvSpPr>
      <xdr:spPr bwMode="auto">
        <a:xfrm>
          <a:off x="13066320" y="11666351"/>
          <a:ext cx="664029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18</xdr:col>
      <xdr:colOff>736014</xdr:colOff>
      <xdr:row>26</xdr:row>
      <xdr:rowOff>85002</xdr:rowOff>
    </xdr:from>
    <xdr:to>
      <xdr:col>18</xdr:col>
      <xdr:colOff>1400043</xdr:colOff>
      <xdr:row>26</xdr:row>
      <xdr:rowOff>520431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 txBox="1"/>
      </xdr:nvSpPr>
      <xdr:spPr bwMode="auto">
        <a:xfrm>
          <a:off x="19047828" y="13777191"/>
          <a:ext cx="664029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20</xdr:col>
      <xdr:colOff>12739</xdr:colOff>
      <xdr:row>26</xdr:row>
      <xdr:rowOff>600033</xdr:rowOff>
    </xdr:from>
    <xdr:to>
      <xdr:col>20</xdr:col>
      <xdr:colOff>676768</xdr:colOff>
      <xdr:row>26</xdr:row>
      <xdr:rowOff>1035460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 txBox="1"/>
      </xdr:nvSpPr>
      <xdr:spPr bwMode="auto">
        <a:xfrm>
          <a:off x="26786648" y="11787578"/>
          <a:ext cx="664029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15</xdr:col>
      <xdr:colOff>1282774</xdr:colOff>
      <xdr:row>10</xdr:row>
      <xdr:rowOff>895690</xdr:rowOff>
    </xdr:from>
    <xdr:to>
      <xdr:col>16</xdr:col>
      <xdr:colOff>619502</xdr:colOff>
      <xdr:row>22</xdr:row>
      <xdr:rowOff>877285</xdr:rowOff>
    </xdr:to>
    <xdr:cxnSp macro="">
      <xdr:nvCxnSpPr>
        <xdr:cNvPr id="51" name="Скругленная соединительная линия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cxnSpLocks/>
          <a:stCxn id="67" idx="3"/>
          <a:endCxn id="86" idx="3"/>
        </xdr:cNvCxnSpPr>
      </xdr:nvCxnSpPr>
      <xdr:spPr bwMode="auto">
        <a:xfrm>
          <a:off x="19459649" y="5023191"/>
          <a:ext cx="749603" cy="6664969"/>
        </a:xfrm>
        <a:prstGeom prst="curvedConnector3">
          <a:avLst>
            <a:gd name="adj1" fmla="val 130496"/>
          </a:avLst>
        </a:prstGeom>
        <a:ln w="6350" cap="flat" cmpd="sng" algn="ctr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717952</xdr:colOff>
      <xdr:row>26</xdr:row>
      <xdr:rowOff>474976</xdr:rowOff>
    </xdr:from>
    <xdr:to>
      <xdr:col>20</xdr:col>
      <xdr:colOff>1162000</xdr:colOff>
      <xdr:row>26</xdr:row>
      <xdr:rowOff>1005849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pSpPr/>
      </xdr:nvGrpSpPr>
      <xdr:grpSpPr bwMode="auto">
        <a:xfrm>
          <a:off x="8208818" y="10432931"/>
          <a:ext cx="0" cy="530873"/>
          <a:chOff x="18134433" y="2003181"/>
          <a:chExt cx="1202628" cy="1485969"/>
        </a:xfrm>
      </xdr:grpSpPr>
      <xdr:pic>
        <xdr:nvPicPr>
          <xdr:cNvPr id="92" name="Рисунок 91" descr="https://cdn4.vectorstock.com/i/1000x1000/21/58/brick-layer-tiler-mason-worker-with-trowe-vector-15222158.jpg">
            <a:extLst>
              <a:ext uri="{FF2B5EF4-FFF2-40B4-BE49-F238E27FC236}">
                <a16:creationId xmlns:a16="http://schemas.microsoft.com/office/drawing/2014/main" id="{00000000-0008-0000-0400-00005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17703" t="13458" r="17375" b="21858"/>
          <a:stretch/>
        </xdr:blipFill>
        <xdr:spPr bwMode="auto">
          <a:xfrm>
            <a:off x="18471105" y="2003181"/>
            <a:ext cx="865956" cy="928256"/>
          </a:xfrm>
          <a:prstGeom prst="rect">
            <a:avLst/>
          </a:prstGeom>
          <a:noFill/>
        </xdr:spPr>
      </xdr:pic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400-00005D000000}"/>
              </a:ext>
            </a:extLst>
          </xdr:cNvPr>
          <xdr:cNvSpPr txBox="1"/>
        </xdr:nvSpPr>
        <xdr:spPr bwMode="auto">
          <a:xfrm>
            <a:off x="18134433" y="2950031"/>
            <a:ext cx="1122199" cy="539119"/>
          </a:xfrm>
          <a:prstGeom prst="rect">
            <a:avLst/>
          </a:prstGeom>
          <a:solidFill>
            <a:srgbClr val="FFFF0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en-US" sz="800"/>
              <a:t>+ 40</a:t>
            </a:r>
            <a:endParaRPr/>
          </a:p>
        </xdr:txBody>
      </xdr:sp>
    </xdr:grpSp>
    <xdr:clientData/>
  </xdr:twoCellAnchor>
  <xdr:twoCellAnchor>
    <xdr:from>
      <xdr:col>16</xdr:col>
      <xdr:colOff>786264</xdr:colOff>
      <xdr:row>10</xdr:row>
      <xdr:rowOff>446604</xdr:rowOff>
    </xdr:from>
    <xdr:to>
      <xdr:col>16</xdr:col>
      <xdr:colOff>1351951</xdr:colOff>
      <xdr:row>10</xdr:row>
      <xdr:rowOff>1000784</xdr:rowOff>
    </xdr:to>
    <xdr:grpSp>
      <xdr:nvGrpSpPr>
        <xdr:cNvPr id="10" name="Группа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 bwMode="auto">
        <a:xfrm>
          <a:off x="8208818" y="1835727"/>
          <a:ext cx="0" cy="0"/>
          <a:chOff x="5238667" y="2008909"/>
          <a:chExt cx="1319482" cy="1579050"/>
        </a:xfrm>
      </xdr:grpSpPr>
      <xdr:pic>
        <xdr:nvPicPr>
          <xdr:cNvPr id="159" name="Рисунок 158" descr="https://myskillsconnect.com/uploads/posts/2023-08/1691460600_myskillsconnect-com-p-foto-bashennogo-krana-dlya-logotipa-18.png">
            <a:extLst>
              <a:ext uri="{FF2B5EF4-FFF2-40B4-BE49-F238E27FC236}">
                <a16:creationId xmlns:a16="http://schemas.microsoft.com/office/drawing/2014/main" id="{00000000-0008-0000-0400-00009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5594143" y="2008909"/>
            <a:ext cx="964006" cy="960102"/>
          </a:xfrm>
          <a:prstGeom prst="rect">
            <a:avLst/>
          </a:prstGeom>
          <a:noFill/>
        </xdr:spPr>
      </xdr:pic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00000000-0008-0000-0400-0000A0000000}"/>
              </a:ext>
            </a:extLst>
          </xdr:cNvPr>
          <xdr:cNvSpPr txBox="1"/>
        </xdr:nvSpPr>
        <xdr:spPr bwMode="auto">
          <a:xfrm>
            <a:off x="5238667" y="2989063"/>
            <a:ext cx="975055" cy="598897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ru-RU" sz="800"/>
              <a:t>- 2</a:t>
            </a:r>
            <a:endParaRPr/>
          </a:p>
        </xdr:txBody>
      </xdr:sp>
    </xdr:grpSp>
    <xdr:clientData/>
  </xdr:twoCellAnchor>
  <xdr:twoCellAnchor>
    <xdr:from>
      <xdr:col>21</xdr:col>
      <xdr:colOff>41130</xdr:colOff>
      <xdr:row>12</xdr:row>
      <xdr:rowOff>502403</xdr:rowOff>
    </xdr:from>
    <xdr:to>
      <xdr:col>21</xdr:col>
      <xdr:colOff>597290</xdr:colOff>
      <xdr:row>13</xdr:row>
      <xdr:rowOff>173</xdr:rowOff>
    </xdr:to>
    <xdr:grpSp>
      <xdr:nvGrpSpPr>
        <xdr:cNvPr id="11" name="Группа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pSpPr/>
      </xdr:nvGrpSpPr>
      <xdr:grpSpPr bwMode="auto">
        <a:xfrm>
          <a:off x="8208818" y="1835727"/>
          <a:ext cx="0" cy="0"/>
          <a:chOff x="5238667" y="2008909"/>
          <a:chExt cx="1319482" cy="1579050"/>
        </a:xfrm>
      </xdr:grpSpPr>
      <xdr:pic>
        <xdr:nvPicPr>
          <xdr:cNvPr id="162" name="Рисунок 161" descr="https://myskillsconnect.com/uploads/posts/2023-08/1691460600_myskillsconnect-com-p-foto-bashennogo-krana-dlya-logotipa-18.png">
            <a:extLst>
              <a:ext uri="{FF2B5EF4-FFF2-40B4-BE49-F238E27FC236}">
                <a16:creationId xmlns:a16="http://schemas.microsoft.com/office/drawing/2014/main" id="{00000000-0008-0000-0400-0000A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5594143" y="2008909"/>
            <a:ext cx="964006" cy="960102"/>
          </a:xfrm>
          <a:prstGeom prst="rect">
            <a:avLst/>
          </a:prstGeom>
          <a:noFill/>
        </xdr:spPr>
      </xdr:pic>
      <xdr:sp macro="" textlink="">
        <xdr:nvSpPr>
          <xdr:cNvPr id="163" name="TextBox 162">
            <a:extLst>
              <a:ext uri="{FF2B5EF4-FFF2-40B4-BE49-F238E27FC236}">
                <a16:creationId xmlns:a16="http://schemas.microsoft.com/office/drawing/2014/main" id="{00000000-0008-0000-0400-0000A3000000}"/>
              </a:ext>
            </a:extLst>
          </xdr:cNvPr>
          <xdr:cNvSpPr txBox="1"/>
        </xdr:nvSpPr>
        <xdr:spPr bwMode="auto">
          <a:xfrm>
            <a:off x="5238667" y="2989063"/>
            <a:ext cx="975055" cy="598897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ru-RU" sz="800"/>
              <a:t> -2</a:t>
            </a:r>
            <a:endParaRPr/>
          </a:p>
        </xdr:txBody>
      </xdr:sp>
    </xdr:grpSp>
    <xdr:clientData/>
  </xdr:twoCellAnchor>
  <xdr:twoCellAnchor>
    <xdr:from>
      <xdr:col>15</xdr:col>
      <xdr:colOff>70755</xdr:colOff>
      <xdr:row>22</xdr:row>
      <xdr:rowOff>79826</xdr:rowOff>
    </xdr:from>
    <xdr:to>
      <xdr:col>15</xdr:col>
      <xdr:colOff>1338941</xdr:colOff>
      <xdr:row>22</xdr:row>
      <xdr:rowOff>515254</xdr:rowOff>
    </xdr:to>
    <xdr:sp macro="" textlink="">
      <xdr:nvSpPr>
        <xdr:cNvPr id="1143086928" name="TextBox 57">
          <a:extLst>
            <a:ext uri="{FF2B5EF4-FFF2-40B4-BE49-F238E27FC236}">
              <a16:creationId xmlns:a16="http://schemas.microsoft.com/office/drawing/2014/main" id="{00000000-0008-0000-0400-0000501F2244}"/>
            </a:ext>
          </a:extLst>
        </xdr:cNvPr>
        <xdr:cNvSpPr txBox="1"/>
      </xdr:nvSpPr>
      <xdr:spPr bwMode="auto">
        <a:xfrm>
          <a:off x="12955482" y="11177318"/>
          <a:ext cx="126818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18</xdr:col>
      <xdr:colOff>84859</xdr:colOff>
      <xdr:row>26</xdr:row>
      <xdr:rowOff>562586</xdr:rowOff>
    </xdr:from>
    <xdr:to>
      <xdr:col>18</xdr:col>
      <xdr:colOff>1437904</xdr:colOff>
      <xdr:row>26</xdr:row>
      <xdr:rowOff>998012</xdr:rowOff>
    </xdr:to>
    <xdr:sp macro="" textlink="">
      <xdr:nvSpPr>
        <xdr:cNvPr id="2050226573" name="TextBox 57">
          <a:extLst>
            <a:ext uri="{FF2B5EF4-FFF2-40B4-BE49-F238E27FC236}">
              <a16:creationId xmlns:a16="http://schemas.microsoft.com/office/drawing/2014/main" id="{00000000-0008-0000-0400-00008DF9337A}"/>
            </a:ext>
          </a:extLst>
        </xdr:cNvPr>
        <xdr:cNvSpPr txBox="1"/>
      </xdr:nvSpPr>
      <xdr:spPr bwMode="auto">
        <a:xfrm>
          <a:off x="17333768" y="14278586"/>
          <a:ext cx="1353045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15</xdr:col>
      <xdr:colOff>836936</xdr:colOff>
      <xdr:row>10</xdr:row>
      <xdr:rowOff>455711</xdr:rowOff>
    </xdr:from>
    <xdr:to>
      <xdr:col>15</xdr:col>
      <xdr:colOff>1295578</xdr:colOff>
      <xdr:row>10</xdr:row>
      <xdr:rowOff>1004045</xdr:rowOff>
    </xdr:to>
    <xdr:grpSp>
      <xdr:nvGrpSpPr>
        <xdr:cNvPr id="12" name="Группа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pSpPr/>
      </xdr:nvGrpSpPr>
      <xdr:grpSpPr bwMode="auto">
        <a:xfrm>
          <a:off x="8208818" y="1835727"/>
          <a:ext cx="0" cy="0"/>
          <a:chOff x="0" y="0"/>
          <a:chExt cx="458642" cy="548334"/>
        </a:xfrm>
      </xdr:grpSpPr>
      <xdr:pic>
        <xdr:nvPicPr>
          <xdr:cNvPr id="66" name="Рисунок 65" descr="https://cdn4.vectorstock.com/i/1000x1000/21/58/brick-layer-tiler-mason-worker-with-trowe-vector-15222158.jpg">
            <a:extLst>
              <a:ext uri="{FF2B5EF4-FFF2-40B4-BE49-F238E27FC236}">
                <a16:creationId xmlns:a16="http://schemas.microsoft.com/office/drawing/2014/main" id="{00000000-0008-0000-0400-00004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17703" t="13458" r="17375" b="21858"/>
          <a:stretch/>
        </xdr:blipFill>
        <xdr:spPr bwMode="auto">
          <a:xfrm>
            <a:off x="121183" y="0"/>
            <a:ext cx="337458" cy="331626"/>
          </a:xfrm>
          <a:prstGeom prst="rect">
            <a:avLst/>
          </a:prstGeom>
          <a:noFill/>
        </xdr:spPr>
      </xdr:pic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00000000-0008-0000-0400-000043000000}"/>
              </a:ext>
            </a:extLst>
          </xdr:cNvPr>
          <xdr:cNvSpPr txBox="1"/>
        </xdr:nvSpPr>
        <xdr:spPr bwMode="auto">
          <a:xfrm>
            <a:off x="0" y="331626"/>
            <a:ext cx="445838" cy="216707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>
              <a:defRPr/>
            </a:pPr>
            <a:r>
              <a:rPr lang="ru-RU" sz="800"/>
              <a:t>-30</a:t>
            </a:r>
            <a:endParaRPr/>
          </a:p>
        </xdr:txBody>
      </xdr:sp>
    </xdr:grpSp>
    <xdr:clientData/>
  </xdr:twoCellAnchor>
  <xdr:twoCellAnchor>
    <xdr:from>
      <xdr:col>16</xdr:col>
      <xdr:colOff>203964</xdr:colOff>
      <xdr:row>22</xdr:row>
      <xdr:rowOff>421238</xdr:rowOff>
    </xdr:from>
    <xdr:to>
      <xdr:col>16</xdr:col>
      <xdr:colOff>619502</xdr:colOff>
      <xdr:row>22</xdr:row>
      <xdr:rowOff>1001709</xdr:rowOff>
    </xdr:to>
    <xdr:grpSp>
      <xdr:nvGrpSpPr>
        <xdr:cNvPr id="17" name="Группа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pSpPr/>
      </xdr:nvGrpSpPr>
      <xdr:grpSpPr bwMode="auto">
        <a:xfrm>
          <a:off x="8208818" y="7729511"/>
          <a:ext cx="0" cy="580471"/>
          <a:chOff x="0" y="0"/>
          <a:chExt cx="415539" cy="580470"/>
        </a:xfrm>
      </xdr:grpSpPr>
      <xdr:pic>
        <xdr:nvPicPr>
          <xdr:cNvPr id="85" name="Рисунок 84" descr="https://cdn4.vectorstock.com/i/1000x1000/21/58/brick-layer-tiler-mason-worker-with-trowe-vector-15222158.jpg">
            <a:extLst>
              <a:ext uri="{FF2B5EF4-FFF2-40B4-BE49-F238E27FC236}">
                <a16:creationId xmlns:a16="http://schemas.microsoft.com/office/drawing/2014/main" id="{00000000-0008-0000-0400-00005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17703" t="13458" r="17375" b="21858"/>
          <a:stretch/>
        </xdr:blipFill>
        <xdr:spPr bwMode="auto">
          <a:xfrm>
            <a:off x="78080" y="0"/>
            <a:ext cx="337458" cy="331625"/>
          </a:xfrm>
          <a:prstGeom prst="rect">
            <a:avLst/>
          </a:prstGeom>
          <a:noFill/>
        </xdr:spPr>
      </xdr:pic>
      <xdr:sp macro="" textlink="">
        <xdr:nvSpPr>
          <xdr:cNvPr id="86" name="TextBox 85">
            <a:extLst>
              <a:ext uri="{FF2B5EF4-FFF2-40B4-BE49-F238E27FC236}">
                <a16:creationId xmlns:a16="http://schemas.microsoft.com/office/drawing/2014/main" id="{00000000-0008-0000-0400-000056000000}"/>
              </a:ext>
            </a:extLst>
          </xdr:cNvPr>
          <xdr:cNvSpPr txBox="1"/>
        </xdr:nvSpPr>
        <xdr:spPr bwMode="auto">
          <a:xfrm>
            <a:off x="0" y="331625"/>
            <a:ext cx="415539" cy="24884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ru-RU" sz="800"/>
              <a:t>+ 10</a:t>
            </a:r>
            <a:endParaRPr/>
          </a:p>
        </xdr:txBody>
      </xdr:sp>
    </xdr:grpSp>
    <xdr:clientData/>
  </xdr:twoCellAnchor>
  <xdr:twoCellAnchor>
    <xdr:from>
      <xdr:col>25</xdr:col>
      <xdr:colOff>78876</xdr:colOff>
      <xdr:row>14</xdr:row>
      <xdr:rowOff>50346</xdr:rowOff>
    </xdr:from>
    <xdr:to>
      <xdr:col>25</xdr:col>
      <xdr:colOff>1360667</xdr:colOff>
      <xdr:row>14</xdr:row>
      <xdr:rowOff>485773</xdr:rowOff>
    </xdr:to>
    <xdr:sp macro="" textlink="">
      <xdr:nvSpPr>
        <xdr:cNvPr id="123450679" name="TextBox 53">
          <a:extLst>
            <a:ext uri="{FF2B5EF4-FFF2-40B4-BE49-F238E27FC236}">
              <a16:creationId xmlns:a16="http://schemas.microsoft.com/office/drawing/2014/main" id="{00000000-0008-0000-0400-000037B55B07}"/>
            </a:ext>
          </a:extLst>
        </xdr:cNvPr>
        <xdr:cNvSpPr txBox="1"/>
      </xdr:nvSpPr>
      <xdr:spPr bwMode="auto">
        <a:xfrm>
          <a:off x="13620251" y="4479471"/>
          <a:ext cx="1281791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25</xdr:col>
      <xdr:colOff>1176601</xdr:colOff>
      <xdr:row>14</xdr:row>
      <xdr:rowOff>554921</xdr:rowOff>
    </xdr:from>
    <xdr:to>
      <xdr:col>26</xdr:col>
      <xdr:colOff>420539</xdr:colOff>
      <xdr:row>14</xdr:row>
      <xdr:rowOff>990348</xdr:rowOff>
    </xdr:to>
    <xdr:sp macro="" textlink="">
      <xdr:nvSpPr>
        <xdr:cNvPr id="1006967433" name="TextBox 52">
          <a:extLst>
            <a:ext uri="{FF2B5EF4-FFF2-40B4-BE49-F238E27FC236}">
              <a16:creationId xmlns:a16="http://schemas.microsoft.com/office/drawing/2014/main" id="{00000000-0008-0000-0400-0000891A053C}"/>
            </a:ext>
          </a:extLst>
        </xdr:cNvPr>
        <xdr:cNvSpPr txBox="1"/>
      </xdr:nvSpPr>
      <xdr:spPr bwMode="auto">
        <a:xfrm>
          <a:off x="13611056" y="7620739"/>
          <a:ext cx="664028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19</xdr:col>
      <xdr:colOff>1404413</xdr:colOff>
      <xdr:row>28</xdr:row>
      <xdr:rowOff>193946</xdr:rowOff>
    </xdr:from>
    <xdr:to>
      <xdr:col>20</xdr:col>
      <xdr:colOff>639689</xdr:colOff>
      <xdr:row>28</xdr:row>
      <xdr:rowOff>629372</xdr:rowOff>
    </xdr:to>
    <xdr:sp macro="" textlink="">
      <xdr:nvSpPr>
        <xdr:cNvPr id="1881818565" name="TextBox 68">
          <a:extLst>
            <a:ext uri="{FF2B5EF4-FFF2-40B4-BE49-F238E27FC236}">
              <a16:creationId xmlns:a16="http://schemas.microsoft.com/office/drawing/2014/main" id="{00000000-0008-0000-0400-0000C5452A70}"/>
            </a:ext>
          </a:extLst>
        </xdr:cNvPr>
        <xdr:cNvSpPr txBox="1"/>
      </xdr:nvSpPr>
      <xdr:spPr bwMode="auto">
        <a:xfrm>
          <a:off x="26859976" y="12600259"/>
          <a:ext cx="664026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24</xdr:col>
      <xdr:colOff>47097</xdr:colOff>
      <xdr:row>28</xdr:row>
      <xdr:rowOff>39375</xdr:rowOff>
    </xdr:from>
    <xdr:to>
      <xdr:col>24</xdr:col>
      <xdr:colOff>1339776</xdr:colOff>
      <xdr:row>28</xdr:row>
      <xdr:rowOff>474800</xdr:rowOff>
    </xdr:to>
    <xdr:sp macro="" textlink="">
      <xdr:nvSpPr>
        <xdr:cNvPr id="1285170779" name="TextBox 57">
          <a:extLst>
            <a:ext uri="{FF2B5EF4-FFF2-40B4-BE49-F238E27FC236}">
              <a16:creationId xmlns:a16="http://schemas.microsoft.com/office/drawing/2014/main" id="{00000000-0008-0000-0400-00005B269A4C}"/>
            </a:ext>
          </a:extLst>
        </xdr:cNvPr>
        <xdr:cNvSpPr txBox="1"/>
      </xdr:nvSpPr>
      <xdr:spPr bwMode="auto">
        <a:xfrm>
          <a:off x="32646410" y="12445688"/>
          <a:ext cx="1292679" cy="435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19</xdr:col>
      <xdr:colOff>532821</xdr:colOff>
      <xdr:row>12</xdr:row>
      <xdr:rowOff>433702</xdr:rowOff>
    </xdr:from>
    <xdr:to>
      <xdr:col>19</xdr:col>
      <xdr:colOff>959928</xdr:colOff>
      <xdr:row>12</xdr:row>
      <xdr:rowOff>968831</xdr:rowOff>
    </xdr:to>
    <xdr:grpSp>
      <xdr:nvGrpSpPr>
        <xdr:cNvPr id="21" name="Группа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pSpPr/>
      </xdr:nvGrpSpPr>
      <xdr:grpSpPr bwMode="auto">
        <a:xfrm>
          <a:off x="8208818" y="1835727"/>
          <a:ext cx="0" cy="0"/>
          <a:chOff x="12704599" y="0"/>
          <a:chExt cx="427106" cy="535130"/>
        </a:xfrm>
      </xdr:grpSpPr>
      <xdr:pic>
        <xdr:nvPicPr>
          <xdr:cNvPr id="55" name="Рисунок 44" descr="https://cdn4.vectorstock.com/i/1000x1000/21/58/brick-layer-tiler-mason-worker-with-trowe-vector-15222158.jpg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17703" t="13458" r="17375" b="21858"/>
          <a:stretch/>
        </xdr:blipFill>
        <xdr:spPr bwMode="auto">
          <a:xfrm>
            <a:off x="12807877" y="0"/>
            <a:ext cx="323826" cy="331625"/>
          </a:xfrm>
          <a:prstGeom prst="rect">
            <a:avLst/>
          </a:prstGeom>
          <a:noFill/>
        </xdr:spPr>
      </xdr:pic>
      <xdr:sp macro="" textlink="">
        <xdr:nvSpPr>
          <xdr:cNvPr id="59" name="TextBox 45">
            <a:extLst>
              <a:ext uri="{FF2B5EF4-FFF2-40B4-BE49-F238E27FC236}">
                <a16:creationId xmlns:a16="http://schemas.microsoft.com/office/drawing/2014/main" id="{00000000-0008-0000-0400-00003B000000}"/>
              </a:ext>
            </a:extLst>
          </xdr:cNvPr>
          <xdr:cNvSpPr txBox="1"/>
        </xdr:nvSpPr>
        <xdr:spPr bwMode="auto">
          <a:xfrm>
            <a:off x="12704599" y="336954"/>
            <a:ext cx="427106" cy="19817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ru-RU" sz="800"/>
              <a:t>40</a:t>
            </a:r>
            <a:endParaRPr/>
          </a:p>
        </xdr:txBody>
      </xdr:sp>
    </xdr:grpSp>
    <xdr:clientData/>
  </xdr:twoCellAnchor>
  <xdr:twoCellAnchor>
    <xdr:from>
      <xdr:col>7</xdr:col>
      <xdr:colOff>42333</xdr:colOff>
      <xdr:row>10</xdr:row>
      <xdr:rowOff>456584</xdr:rowOff>
    </xdr:from>
    <xdr:to>
      <xdr:col>7</xdr:col>
      <xdr:colOff>469439</xdr:colOff>
      <xdr:row>10</xdr:row>
      <xdr:rowOff>991715</xdr:rowOff>
    </xdr:to>
    <xdr:grpSp>
      <xdr:nvGrpSpPr>
        <xdr:cNvPr id="22" name="Группа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pSpPr/>
      </xdr:nvGrpSpPr>
      <xdr:grpSpPr bwMode="auto">
        <a:xfrm>
          <a:off x="8208818" y="1835727"/>
          <a:ext cx="0" cy="0"/>
          <a:chOff x="0" y="0"/>
          <a:chExt cx="427105" cy="535131"/>
        </a:xfrm>
      </xdr:grpSpPr>
      <xdr:pic>
        <xdr:nvPicPr>
          <xdr:cNvPr id="1991036693" name="Рисунок 44" descr="https://cdn4.vectorstock.com/i/1000x1000/21/58/brick-layer-tiler-mason-worker-with-trowe-vector-15222158.jpg">
            <a:extLst>
              <a:ext uri="{FF2B5EF4-FFF2-40B4-BE49-F238E27FC236}">
                <a16:creationId xmlns:a16="http://schemas.microsoft.com/office/drawing/2014/main" id="{00000000-0008-0000-0400-000015CFAC7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17703" t="13458" r="17375" b="21858"/>
          <a:stretch/>
        </xdr:blipFill>
        <xdr:spPr bwMode="auto">
          <a:xfrm>
            <a:off x="103278" y="0"/>
            <a:ext cx="323825" cy="331624"/>
          </a:xfrm>
          <a:prstGeom prst="rect">
            <a:avLst/>
          </a:prstGeom>
          <a:noFill/>
        </xdr:spPr>
      </xdr:pic>
      <xdr:sp macro="" textlink="">
        <xdr:nvSpPr>
          <xdr:cNvPr id="1162694402" name="TextBox 45">
            <a:extLst>
              <a:ext uri="{FF2B5EF4-FFF2-40B4-BE49-F238E27FC236}">
                <a16:creationId xmlns:a16="http://schemas.microsoft.com/office/drawing/2014/main" id="{00000000-0008-0000-0400-0000024F4D45}"/>
              </a:ext>
            </a:extLst>
          </xdr:cNvPr>
          <xdr:cNvSpPr txBox="1"/>
        </xdr:nvSpPr>
        <xdr:spPr bwMode="auto">
          <a:xfrm>
            <a:off x="0" y="336953"/>
            <a:ext cx="427105" cy="198175"/>
          </a:xfrm>
          <a:prstGeom prst="rect">
            <a:avLst/>
          </a:prstGeom>
          <a:solidFill>
            <a:srgbClr val="FF000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ru-RU" sz="800">
                <a:solidFill>
                  <a:schemeClr val="bg1"/>
                </a:solidFill>
              </a:rPr>
              <a:t>+ 46</a:t>
            </a:r>
            <a:endParaRPr/>
          </a:p>
        </xdr:txBody>
      </xdr:sp>
    </xdr:grpSp>
    <xdr:clientData/>
  </xdr:twoCellAnchor>
  <xdr:twoCellAnchor>
    <xdr:from>
      <xdr:col>7</xdr:col>
      <xdr:colOff>511189</xdr:colOff>
      <xdr:row>10</xdr:row>
      <xdr:rowOff>464402</xdr:rowOff>
    </xdr:from>
    <xdr:to>
      <xdr:col>7</xdr:col>
      <xdr:colOff>917177</xdr:colOff>
      <xdr:row>10</xdr:row>
      <xdr:rowOff>988421</xdr:rowOff>
    </xdr:to>
    <xdr:grpSp>
      <xdr:nvGrpSpPr>
        <xdr:cNvPr id="23" name="Группа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GrpSpPr/>
      </xdr:nvGrpSpPr>
      <xdr:grpSpPr bwMode="auto">
        <a:xfrm>
          <a:off x="8208818" y="1835727"/>
          <a:ext cx="0" cy="0"/>
          <a:chOff x="0" y="0"/>
          <a:chExt cx="405987" cy="524018"/>
        </a:xfrm>
      </xdr:grpSpPr>
      <xdr:pic>
        <xdr:nvPicPr>
          <xdr:cNvPr id="62" name="Рисунок 30" descr="https://cdn4.vectorstock.com/i/1000x1000/21/58/brick-layer-tiler-mason-worker-with-trowe-vector-15222158.jpg">
            <a:extLst>
              <a:ext uri="{FF2B5EF4-FFF2-40B4-BE49-F238E27FC236}">
                <a16:creationId xmlns:a16="http://schemas.microsoft.com/office/drawing/2014/main" id="{00000000-0008-0000-0400-00003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17703" t="13458" r="17375" b="21858"/>
          <a:stretch/>
        </xdr:blipFill>
        <xdr:spPr bwMode="auto">
          <a:xfrm>
            <a:off x="68528" y="0"/>
            <a:ext cx="337458" cy="331625"/>
          </a:xfrm>
          <a:prstGeom prst="rect">
            <a:avLst/>
          </a:prstGeom>
          <a:noFill/>
        </xdr:spPr>
      </xdr:pic>
      <xdr:sp macro="" textlink="">
        <xdr:nvSpPr>
          <xdr:cNvPr id="20917952" name="TextBox 31">
            <a:extLst>
              <a:ext uri="{FF2B5EF4-FFF2-40B4-BE49-F238E27FC236}">
                <a16:creationId xmlns:a16="http://schemas.microsoft.com/office/drawing/2014/main" id="{00000000-0008-0000-0400-0000C02E3F01}"/>
              </a:ext>
            </a:extLst>
          </xdr:cNvPr>
          <xdr:cNvSpPr txBox="1"/>
        </xdr:nvSpPr>
        <xdr:spPr bwMode="auto">
          <a:xfrm>
            <a:off x="0" y="327383"/>
            <a:ext cx="385531" cy="19663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ru-RU" sz="800"/>
              <a:t>26</a:t>
            </a:r>
            <a:endParaRPr/>
          </a:p>
        </xdr:txBody>
      </xdr:sp>
    </xdr:grpSp>
    <xdr:clientData/>
  </xdr:twoCellAnchor>
  <xdr:twoCellAnchor>
    <xdr:from>
      <xdr:col>16</xdr:col>
      <xdr:colOff>738187</xdr:colOff>
      <xdr:row>22</xdr:row>
      <xdr:rowOff>464343</xdr:rowOff>
    </xdr:from>
    <xdr:to>
      <xdr:col>16</xdr:col>
      <xdr:colOff>1303873</xdr:colOff>
      <xdr:row>22</xdr:row>
      <xdr:rowOff>1018523</xdr:rowOff>
    </xdr:to>
    <xdr:grpSp>
      <xdr:nvGrpSpPr>
        <xdr:cNvPr id="24" name="Группа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pSpPr/>
      </xdr:nvGrpSpPr>
      <xdr:grpSpPr bwMode="auto">
        <a:xfrm>
          <a:off x="8208818" y="7772616"/>
          <a:ext cx="0" cy="554180"/>
          <a:chOff x="5238665" y="2008908"/>
          <a:chExt cx="1319481" cy="1579050"/>
        </a:xfrm>
      </xdr:grpSpPr>
      <xdr:pic>
        <xdr:nvPicPr>
          <xdr:cNvPr id="2052769119" name="Рисунок 158" descr="https://myskillsconnect.com/uploads/posts/2023-08/1691460600_myskillsconnect-com-p-foto-bashennogo-krana-dlya-logotipa-18.png">
            <a:extLst>
              <a:ext uri="{FF2B5EF4-FFF2-40B4-BE49-F238E27FC236}">
                <a16:creationId xmlns:a16="http://schemas.microsoft.com/office/drawing/2014/main" id="{00000000-0008-0000-0400-00005FC55A7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5594141" y="2008908"/>
            <a:ext cx="964004" cy="960102"/>
          </a:xfrm>
          <a:prstGeom prst="rect">
            <a:avLst/>
          </a:prstGeom>
          <a:noFill/>
        </xdr:spPr>
      </xdr:pic>
      <xdr:sp macro="" textlink="">
        <xdr:nvSpPr>
          <xdr:cNvPr id="319535385" name="TextBox 159">
            <a:extLst>
              <a:ext uri="{FF2B5EF4-FFF2-40B4-BE49-F238E27FC236}">
                <a16:creationId xmlns:a16="http://schemas.microsoft.com/office/drawing/2014/main" id="{00000000-0008-0000-0400-000019B90B13}"/>
              </a:ext>
            </a:extLst>
          </xdr:cNvPr>
          <xdr:cNvSpPr txBox="1"/>
        </xdr:nvSpPr>
        <xdr:spPr bwMode="auto">
          <a:xfrm>
            <a:off x="5238665" y="2989062"/>
            <a:ext cx="975053" cy="59889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ru-RU" sz="800"/>
              <a:t>+ 2</a:t>
            </a:r>
            <a:endParaRPr/>
          </a:p>
        </xdr:txBody>
      </xdr:sp>
    </xdr:grpSp>
    <xdr:clientData/>
  </xdr:twoCellAnchor>
  <xdr:twoCellAnchor>
    <xdr:from>
      <xdr:col>16</xdr:col>
      <xdr:colOff>1156210</xdr:colOff>
      <xdr:row>10</xdr:row>
      <xdr:rowOff>895690</xdr:rowOff>
    </xdr:from>
    <xdr:to>
      <xdr:col>16</xdr:col>
      <xdr:colOff>1204289</xdr:colOff>
      <xdr:row>22</xdr:row>
      <xdr:rowOff>913429</xdr:rowOff>
    </xdr:to>
    <xdr:cxnSp macro="">
      <xdr:nvCxnSpPr>
        <xdr:cNvPr id="1797713576" name="Скругленная соединительная линия 109">
          <a:extLst>
            <a:ext uri="{FF2B5EF4-FFF2-40B4-BE49-F238E27FC236}">
              <a16:creationId xmlns:a16="http://schemas.microsoft.com/office/drawing/2014/main" id="{00000000-0008-0000-0400-0000A8EE266B}"/>
            </a:ext>
          </a:extLst>
        </xdr:cNvPr>
        <xdr:cNvCxnSpPr>
          <a:cxnSpLocks/>
          <a:stCxn id="160" idx="3"/>
          <a:endCxn id="319535385" idx="3"/>
        </xdr:cNvCxnSpPr>
      </xdr:nvCxnSpPr>
      <xdr:spPr bwMode="auto">
        <a:xfrm flipH="1">
          <a:off x="15495665" y="5342999"/>
          <a:ext cx="48079" cy="6667921"/>
        </a:xfrm>
        <a:prstGeom prst="curvedConnector3">
          <a:avLst>
            <a:gd name="adj1" fmla="val -475471"/>
          </a:avLst>
        </a:prstGeom>
        <a:ln w="6350" cap="flat" cmpd="sng" algn="ctr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1282774</xdr:colOff>
      <xdr:row>10</xdr:row>
      <xdr:rowOff>895690</xdr:rowOff>
    </xdr:from>
    <xdr:to>
      <xdr:col>15</xdr:col>
      <xdr:colOff>1294038</xdr:colOff>
      <xdr:row>12</xdr:row>
      <xdr:rowOff>848325</xdr:rowOff>
    </xdr:to>
    <xdr:cxnSp macro="">
      <xdr:nvCxnSpPr>
        <xdr:cNvPr id="2085319143" name="Скругленная соединительная линия 50">
          <a:extLst>
            <a:ext uri="{FF2B5EF4-FFF2-40B4-BE49-F238E27FC236}">
              <a16:creationId xmlns:a16="http://schemas.microsoft.com/office/drawing/2014/main" id="{00000000-0008-0000-0400-0000E7714B7C}"/>
            </a:ext>
          </a:extLst>
        </xdr:cNvPr>
        <xdr:cNvCxnSpPr>
          <a:cxnSpLocks/>
          <a:stCxn id="67" idx="3"/>
          <a:endCxn id="220" idx="3"/>
        </xdr:cNvCxnSpPr>
      </xdr:nvCxnSpPr>
      <xdr:spPr bwMode="auto">
        <a:xfrm>
          <a:off x="14167501" y="5343000"/>
          <a:ext cx="11264" cy="1241107"/>
        </a:xfrm>
        <a:prstGeom prst="curvedConnector3">
          <a:avLst>
            <a:gd name="adj1" fmla="val 2129474"/>
          </a:avLst>
        </a:prstGeom>
        <a:ln w="6350" cap="flat" cmpd="sng" algn="ctr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83343</xdr:colOff>
      <xdr:row>12</xdr:row>
      <xdr:rowOff>69272</xdr:rowOff>
    </xdr:from>
    <xdr:to>
      <xdr:col>19</xdr:col>
      <xdr:colOff>1305201</xdr:colOff>
      <xdr:row>12</xdr:row>
      <xdr:rowOff>310572</xdr:rowOff>
    </xdr:to>
    <xdr:sp macro="" textlink="">
      <xdr:nvSpPr>
        <xdr:cNvPr id="788556186" name="Пятиугольник 21">
          <a:extLst>
            <a:ext uri="{FF2B5EF4-FFF2-40B4-BE49-F238E27FC236}">
              <a16:creationId xmlns:a16="http://schemas.microsoft.com/office/drawing/2014/main" id="{00000000-0008-0000-0400-00009A69002F}"/>
            </a:ext>
          </a:extLst>
        </xdr:cNvPr>
        <xdr:cNvSpPr/>
      </xdr:nvSpPr>
      <xdr:spPr bwMode="auto">
        <a:xfrm>
          <a:off x="23955374" y="5450897"/>
          <a:ext cx="1221858" cy="241299"/>
        </a:xfrm>
        <a:prstGeom prst="homePlate">
          <a:avLst>
            <a:gd name="adj" fmla="val 50000"/>
          </a:avLst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r>
            <a:rPr lang="ru-RU" sz="1100"/>
            <a:t>Запуск тепла</a:t>
          </a:r>
          <a:endParaRPr/>
        </a:p>
      </xdr:txBody>
    </xdr:sp>
    <xdr:clientData/>
  </xdr:twoCellAnchor>
  <xdr:twoCellAnchor>
    <xdr:from>
      <xdr:col>16</xdr:col>
      <xdr:colOff>205343</xdr:colOff>
      <xdr:row>16</xdr:row>
      <xdr:rowOff>380752</xdr:rowOff>
    </xdr:from>
    <xdr:to>
      <xdr:col>16</xdr:col>
      <xdr:colOff>656192</xdr:colOff>
      <xdr:row>16</xdr:row>
      <xdr:rowOff>974595</xdr:rowOff>
    </xdr:to>
    <xdr:grpSp>
      <xdr:nvGrpSpPr>
        <xdr:cNvPr id="25" name="Группа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GrpSpPr/>
      </xdr:nvGrpSpPr>
      <xdr:grpSpPr bwMode="auto">
        <a:xfrm>
          <a:off x="8208818" y="3584616"/>
          <a:ext cx="0" cy="593843"/>
          <a:chOff x="0" y="0"/>
          <a:chExt cx="450848" cy="593842"/>
        </a:xfrm>
      </xdr:grpSpPr>
      <xdr:pic>
        <xdr:nvPicPr>
          <xdr:cNvPr id="368867141" name="Рисунок 81" descr="https://myskillsconnect.com/uploads/posts/2023-08/1691460600_myskillsconnect-com-p-foto-bashennogo-krana-dlya-logotipa-18.png">
            <a:extLst>
              <a:ext uri="{FF2B5EF4-FFF2-40B4-BE49-F238E27FC236}">
                <a16:creationId xmlns:a16="http://schemas.microsoft.com/office/drawing/2014/main" id="{00000000-0008-0000-0400-00004577FC1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47754" y="0"/>
            <a:ext cx="403094" cy="336954"/>
          </a:xfrm>
          <a:prstGeom prst="rect">
            <a:avLst/>
          </a:prstGeom>
          <a:noFill/>
        </xdr:spPr>
      </xdr:pic>
      <xdr:sp macro="" textlink="">
        <xdr:nvSpPr>
          <xdr:cNvPr id="741188204" name="TextBox 82">
            <a:extLst>
              <a:ext uri="{FF2B5EF4-FFF2-40B4-BE49-F238E27FC236}">
                <a16:creationId xmlns:a16="http://schemas.microsoft.com/office/drawing/2014/main" id="{00000000-0008-0000-0400-00006CA22D2C}"/>
              </a:ext>
            </a:extLst>
          </xdr:cNvPr>
          <xdr:cNvSpPr txBox="1"/>
        </xdr:nvSpPr>
        <xdr:spPr bwMode="auto">
          <a:xfrm>
            <a:off x="0" y="354877"/>
            <a:ext cx="414072" cy="238964"/>
          </a:xfrm>
          <a:prstGeom prst="rect">
            <a:avLst/>
          </a:prstGeom>
          <a:solidFill>
            <a:schemeClr val="accent2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ru-RU" sz="800"/>
              <a:t>1</a:t>
            </a:r>
            <a:endParaRPr/>
          </a:p>
        </xdr:txBody>
      </xdr:sp>
    </xdr:grpSp>
    <xdr:clientData/>
  </xdr:twoCellAnchor>
  <xdr:twoCellAnchor>
    <xdr:from>
      <xdr:col>17</xdr:col>
      <xdr:colOff>83125</xdr:colOff>
      <xdr:row>14</xdr:row>
      <xdr:rowOff>89205</xdr:rowOff>
    </xdr:from>
    <xdr:to>
      <xdr:col>17</xdr:col>
      <xdr:colOff>1364920</xdr:colOff>
      <xdr:row>14</xdr:row>
      <xdr:rowOff>548218</xdr:rowOff>
    </xdr:to>
    <xdr:sp macro="" textlink="">
      <xdr:nvSpPr>
        <xdr:cNvPr id="1917262314" name="Пятиугольник 21">
          <a:extLst>
            <a:ext uri="{FF2B5EF4-FFF2-40B4-BE49-F238E27FC236}">
              <a16:creationId xmlns:a16="http://schemas.microsoft.com/office/drawing/2014/main" id="{00000000-0008-0000-0400-0000EA194772}"/>
            </a:ext>
          </a:extLst>
        </xdr:cNvPr>
        <xdr:cNvSpPr/>
      </xdr:nvSpPr>
      <xdr:spPr bwMode="auto">
        <a:xfrm>
          <a:off x="15877307" y="7113460"/>
          <a:ext cx="1281794" cy="459013"/>
        </a:xfrm>
        <a:prstGeom prst="homePlate">
          <a:avLst>
            <a:gd name="adj" fmla="val 50000"/>
          </a:avLst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r>
            <a:rPr lang="ru-RU" sz="1100"/>
            <a:t>Решение о начале стр-ва</a:t>
          </a:r>
          <a:endParaRPr/>
        </a:p>
      </xdr:txBody>
    </xdr:sp>
    <xdr:clientData/>
  </xdr:twoCellAnchor>
  <xdr:twoCellAnchor>
    <xdr:from>
      <xdr:col>17</xdr:col>
      <xdr:colOff>232156</xdr:colOff>
      <xdr:row>22</xdr:row>
      <xdr:rowOff>475585</xdr:rowOff>
    </xdr:from>
    <xdr:to>
      <xdr:col>17</xdr:col>
      <xdr:colOff>797842</xdr:colOff>
      <xdr:row>22</xdr:row>
      <xdr:rowOff>1029765</xdr:rowOff>
    </xdr:to>
    <xdr:grpSp>
      <xdr:nvGrpSpPr>
        <xdr:cNvPr id="31" name="Группа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GrpSpPr/>
      </xdr:nvGrpSpPr>
      <xdr:grpSpPr bwMode="auto">
        <a:xfrm>
          <a:off x="8208818" y="7783858"/>
          <a:ext cx="0" cy="554180"/>
          <a:chOff x="5238666" y="2008908"/>
          <a:chExt cx="1319481" cy="1579050"/>
        </a:xfrm>
      </xdr:grpSpPr>
      <xdr:pic>
        <xdr:nvPicPr>
          <xdr:cNvPr id="207" name="Рисунок 158" descr="https://myskillsconnect.com/uploads/posts/2023-08/1691460600_myskillsconnect-com-p-foto-bashennogo-krana-dlya-logotipa-18.png">
            <a:extLst>
              <a:ext uri="{FF2B5EF4-FFF2-40B4-BE49-F238E27FC236}">
                <a16:creationId xmlns:a16="http://schemas.microsoft.com/office/drawing/2014/main" id="{00000000-0008-0000-0400-0000C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5594142" y="2008908"/>
            <a:ext cx="964005" cy="960102"/>
          </a:xfrm>
          <a:prstGeom prst="rect">
            <a:avLst/>
          </a:prstGeom>
          <a:noFill/>
        </xdr:spPr>
      </xdr:pic>
      <xdr:sp macro="" textlink="">
        <xdr:nvSpPr>
          <xdr:cNvPr id="208" name="TextBox 159">
            <a:extLst>
              <a:ext uri="{FF2B5EF4-FFF2-40B4-BE49-F238E27FC236}">
                <a16:creationId xmlns:a16="http://schemas.microsoft.com/office/drawing/2014/main" id="{00000000-0008-0000-0400-0000D0000000}"/>
              </a:ext>
            </a:extLst>
          </xdr:cNvPr>
          <xdr:cNvSpPr txBox="1"/>
        </xdr:nvSpPr>
        <xdr:spPr bwMode="auto">
          <a:xfrm>
            <a:off x="5238666" y="2989062"/>
            <a:ext cx="975054" cy="59889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ru-RU" sz="800"/>
              <a:t>+ 1</a:t>
            </a:r>
            <a:endParaRPr/>
          </a:p>
        </xdr:txBody>
      </xdr:sp>
    </xdr:grpSp>
    <xdr:clientData/>
  </xdr:twoCellAnchor>
  <xdr:twoCellAnchor>
    <xdr:from>
      <xdr:col>17</xdr:col>
      <xdr:colOff>154269</xdr:colOff>
      <xdr:row>10</xdr:row>
      <xdr:rowOff>475706</xdr:rowOff>
    </xdr:from>
    <xdr:to>
      <xdr:col>17</xdr:col>
      <xdr:colOff>719957</xdr:colOff>
      <xdr:row>10</xdr:row>
      <xdr:rowOff>1029886</xdr:rowOff>
    </xdr:to>
    <xdr:grpSp>
      <xdr:nvGrpSpPr>
        <xdr:cNvPr id="32" name="Группа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GrpSpPr/>
      </xdr:nvGrpSpPr>
      <xdr:grpSpPr bwMode="auto">
        <a:xfrm>
          <a:off x="8208818" y="1835727"/>
          <a:ext cx="0" cy="0"/>
          <a:chOff x="4689279" y="2048386"/>
          <a:chExt cx="1319481" cy="1579049"/>
        </a:xfrm>
      </xdr:grpSpPr>
      <xdr:pic>
        <xdr:nvPicPr>
          <xdr:cNvPr id="211" name="Рисунок 158" descr="https://myskillsconnect.com/uploads/posts/2023-08/1691460600_myskillsconnect-com-p-foto-bashennogo-krana-dlya-logotipa-18.png">
            <a:extLst>
              <a:ext uri="{FF2B5EF4-FFF2-40B4-BE49-F238E27FC236}">
                <a16:creationId xmlns:a16="http://schemas.microsoft.com/office/drawing/2014/main" id="{00000000-0008-0000-0400-0000D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5044754" y="2048386"/>
            <a:ext cx="964006" cy="960101"/>
          </a:xfrm>
          <a:prstGeom prst="rect">
            <a:avLst/>
          </a:prstGeom>
          <a:noFill/>
        </xdr:spPr>
      </xdr:pic>
      <xdr:sp macro="" textlink="">
        <xdr:nvSpPr>
          <xdr:cNvPr id="212" name="TextBox 159">
            <a:extLst>
              <a:ext uri="{FF2B5EF4-FFF2-40B4-BE49-F238E27FC236}">
                <a16:creationId xmlns:a16="http://schemas.microsoft.com/office/drawing/2014/main" id="{00000000-0008-0000-0400-0000D4000000}"/>
              </a:ext>
            </a:extLst>
          </xdr:cNvPr>
          <xdr:cNvSpPr txBox="1"/>
        </xdr:nvSpPr>
        <xdr:spPr bwMode="auto">
          <a:xfrm>
            <a:off x="4689279" y="3028540"/>
            <a:ext cx="975053" cy="5988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ru-RU" sz="800"/>
              <a:t>- 1</a:t>
            </a:r>
            <a:endParaRPr/>
          </a:p>
        </xdr:txBody>
      </xdr:sp>
    </xdr:grpSp>
    <xdr:clientData/>
  </xdr:twoCellAnchor>
  <xdr:twoCellAnchor>
    <xdr:from>
      <xdr:col>17</xdr:col>
      <xdr:colOff>572294</xdr:colOff>
      <xdr:row>10</xdr:row>
      <xdr:rowOff>924792</xdr:rowOff>
    </xdr:from>
    <xdr:to>
      <xdr:col>17</xdr:col>
      <xdr:colOff>650180</xdr:colOff>
      <xdr:row>22</xdr:row>
      <xdr:rowOff>924672</xdr:rowOff>
    </xdr:to>
    <xdr:cxnSp macro="">
      <xdr:nvCxnSpPr>
        <xdr:cNvPr id="213" name="Скругленная соединительная линия 109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CxnSpPr>
          <a:cxnSpLocks/>
          <a:stCxn id="212" idx="3"/>
          <a:endCxn id="208" idx="3"/>
        </xdr:cNvCxnSpPr>
      </xdr:nvCxnSpPr>
      <xdr:spPr bwMode="auto">
        <a:xfrm>
          <a:off x="16366476" y="5372101"/>
          <a:ext cx="77886" cy="6650061"/>
        </a:xfrm>
        <a:prstGeom prst="curvedConnector3">
          <a:avLst>
            <a:gd name="adj1" fmla="val 393506"/>
          </a:avLst>
        </a:prstGeom>
        <a:ln w="6350" cap="flat" cmpd="sng" algn="ctr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1054825</xdr:colOff>
      <xdr:row>10</xdr:row>
      <xdr:rowOff>489555</xdr:rowOff>
    </xdr:from>
    <xdr:to>
      <xdr:col>18</xdr:col>
      <xdr:colOff>13386</xdr:colOff>
      <xdr:row>10</xdr:row>
      <xdr:rowOff>826511</xdr:rowOff>
    </xdr:to>
    <xdr:pic>
      <xdr:nvPicPr>
        <xdr:cNvPr id="214" name="Рисунок 158" descr="https://myskillsconnect.com/uploads/posts/2023-08/1691460600_myskillsconnect-com-p-foto-bashennogo-krana-dlya-logotipa-18.png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6849007" y="4936865"/>
          <a:ext cx="413288" cy="336955"/>
        </a:xfrm>
        <a:prstGeom prst="rect">
          <a:avLst/>
        </a:prstGeom>
        <a:noFill/>
      </xdr:spPr>
    </xdr:pic>
    <xdr:clientData/>
  </xdr:twoCellAnchor>
  <xdr:twoCellAnchor>
    <xdr:from>
      <xdr:col>17</xdr:col>
      <xdr:colOff>902426</xdr:colOff>
      <xdr:row>10</xdr:row>
      <xdr:rowOff>833549</xdr:rowOff>
    </xdr:from>
    <xdr:to>
      <xdr:col>17</xdr:col>
      <xdr:colOff>1320450</xdr:colOff>
      <xdr:row>11</xdr:row>
      <xdr:rowOff>4645</xdr:rowOff>
    </xdr:to>
    <xdr:sp macro="" textlink="">
      <xdr:nvSpPr>
        <xdr:cNvPr id="215" name="TextBox 159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SpPr txBox="1"/>
      </xdr:nvSpPr>
      <xdr:spPr bwMode="auto">
        <a:xfrm>
          <a:off x="16696608" y="5280857"/>
          <a:ext cx="418024" cy="21018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800"/>
            <a:t>-1</a:t>
          </a:r>
          <a:endParaRPr/>
        </a:p>
      </xdr:txBody>
    </xdr:sp>
    <xdr:clientData/>
  </xdr:twoCellAnchor>
  <xdr:twoCellAnchor>
    <xdr:from>
      <xdr:col>15</xdr:col>
      <xdr:colOff>293101</xdr:colOff>
      <xdr:row>10</xdr:row>
      <xdr:rowOff>441856</xdr:rowOff>
    </xdr:from>
    <xdr:to>
      <xdr:col>15</xdr:col>
      <xdr:colOff>630557</xdr:colOff>
      <xdr:row>10</xdr:row>
      <xdr:rowOff>773481</xdr:rowOff>
    </xdr:to>
    <xdr:pic>
      <xdr:nvPicPr>
        <xdr:cNvPr id="217" name="Рисунок 216" descr="https://cdn4.vectorstock.com/i/1000x1000/21/58/brick-layer-tiler-mason-worker-with-trowe-vector-15222158.jpg"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17703" t="13458" r="17375" b="21858"/>
        <a:stretch/>
      </xdr:blipFill>
      <xdr:spPr bwMode="auto">
        <a:xfrm>
          <a:off x="13177828" y="4889165"/>
          <a:ext cx="337458" cy="331626"/>
        </a:xfrm>
        <a:prstGeom prst="rect">
          <a:avLst/>
        </a:prstGeom>
        <a:noFill/>
      </xdr:spPr>
    </xdr:pic>
    <xdr:clientData/>
  </xdr:twoCellAnchor>
  <xdr:twoCellAnchor>
    <xdr:from>
      <xdr:col>15</xdr:col>
      <xdr:colOff>290946</xdr:colOff>
      <xdr:row>10</xdr:row>
      <xdr:rowOff>789710</xdr:rowOff>
    </xdr:from>
    <xdr:to>
      <xdr:col>15</xdr:col>
      <xdr:colOff>617755</xdr:colOff>
      <xdr:row>10</xdr:row>
      <xdr:rowOff>990190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SpPr txBox="1"/>
      </xdr:nvSpPr>
      <xdr:spPr bwMode="auto">
        <a:xfrm>
          <a:off x="13175673" y="5237019"/>
          <a:ext cx="326810" cy="20048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>
            <a:defRPr/>
          </a:pPr>
          <a:r>
            <a:rPr lang="ru-RU" sz="800"/>
            <a:t>27</a:t>
          </a:r>
          <a:endParaRPr/>
        </a:p>
      </xdr:txBody>
    </xdr:sp>
    <xdr:clientData/>
  </xdr:twoCellAnchor>
  <xdr:twoCellAnchor>
    <xdr:from>
      <xdr:col>15</xdr:col>
      <xdr:colOff>956579</xdr:colOff>
      <xdr:row>12</xdr:row>
      <xdr:rowOff>392261</xdr:rowOff>
    </xdr:from>
    <xdr:to>
      <xdr:col>15</xdr:col>
      <xdr:colOff>1294035</xdr:colOff>
      <xdr:row>12</xdr:row>
      <xdr:rowOff>723887</xdr:rowOff>
    </xdr:to>
    <xdr:pic>
      <xdr:nvPicPr>
        <xdr:cNvPr id="219" name="Рисунок 84" descr="https://cdn4.vectorstock.com/i/1000x1000/21/58/brick-layer-tiler-mason-worker-with-trowe-vector-15222158.jpg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17703" t="13458" r="17375" b="21858"/>
        <a:stretch/>
      </xdr:blipFill>
      <xdr:spPr bwMode="auto">
        <a:xfrm>
          <a:off x="13841306" y="6128044"/>
          <a:ext cx="337456" cy="331625"/>
        </a:xfrm>
        <a:prstGeom prst="rect">
          <a:avLst/>
        </a:prstGeom>
        <a:noFill/>
      </xdr:spPr>
    </xdr:pic>
    <xdr:clientData/>
  </xdr:twoCellAnchor>
  <xdr:twoCellAnchor>
    <xdr:from>
      <xdr:col>15</xdr:col>
      <xdr:colOff>878500</xdr:colOff>
      <xdr:row>12</xdr:row>
      <xdr:rowOff>723903</xdr:rowOff>
    </xdr:from>
    <xdr:to>
      <xdr:col>15</xdr:col>
      <xdr:colOff>1294038</xdr:colOff>
      <xdr:row>12</xdr:row>
      <xdr:rowOff>972746</xdr:rowOff>
    </xdr:to>
    <xdr:sp macro="" textlink="">
      <xdr:nvSpPr>
        <xdr:cNvPr id="220" name="TextBox 85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SpPr txBox="1"/>
      </xdr:nvSpPr>
      <xdr:spPr bwMode="auto">
        <a:xfrm>
          <a:off x="13763227" y="6459685"/>
          <a:ext cx="415538" cy="2488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800"/>
            <a:t>+10</a:t>
          </a:r>
          <a:endParaRPr/>
        </a:p>
      </xdr:txBody>
    </xdr:sp>
    <xdr:clientData/>
  </xdr:twoCellAnchor>
  <xdr:twoCellAnchor>
    <xdr:from>
      <xdr:col>16</xdr:col>
      <xdr:colOff>203964</xdr:colOff>
      <xdr:row>22</xdr:row>
      <xdr:rowOff>1030838</xdr:rowOff>
    </xdr:from>
    <xdr:to>
      <xdr:col>16</xdr:col>
      <xdr:colOff>619502</xdr:colOff>
      <xdr:row>23</xdr:row>
      <xdr:rowOff>240591</xdr:rowOff>
    </xdr:to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SpPr txBox="1"/>
      </xdr:nvSpPr>
      <xdr:spPr bwMode="auto">
        <a:xfrm>
          <a:off x="14543419" y="12128329"/>
          <a:ext cx="415538" cy="24884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800"/>
            <a:t>+ 10</a:t>
          </a:r>
          <a:endParaRPr/>
        </a:p>
      </xdr:txBody>
    </xdr:sp>
    <xdr:clientData/>
  </xdr:twoCellAnchor>
  <xdr:twoCellAnchor>
    <xdr:from>
      <xdr:col>19</xdr:col>
      <xdr:colOff>133210</xdr:colOff>
      <xdr:row>16</xdr:row>
      <xdr:rowOff>119884</xdr:rowOff>
    </xdr:from>
    <xdr:to>
      <xdr:col>19</xdr:col>
      <xdr:colOff>797239</xdr:colOff>
      <xdr:row>16</xdr:row>
      <xdr:rowOff>555313</xdr:rowOff>
    </xdr:to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SpPr txBox="1"/>
      </xdr:nvSpPr>
      <xdr:spPr bwMode="auto">
        <a:xfrm>
          <a:off x="19873773" y="8454261"/>
          <a:ext cx="664029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20</xdr:col>
      <xdr:colOff>377958</xdr:colOff>
      <xdr:row>26</xdr:row>
      <xdr:rowOff>76415</xdr:rowOff>
    </xdr:from>
    <xdr:to>
      <xdr:col>20</xdr:col>
      <xdr:colOff>791245</xdr:colOff>
      <xdr:row>26</xdr:row>
      <xdr:rowOff>413371</xdr:rowOff>
    </xdr:to>
    <xdr:pic>
      <xdr:nvPicPr>
        <xdr:cNvPr id="234" name="Рисунок 158" descr="https://myskillsconnect.com/uploads/posts/2023-08/1691460600_myskillsconnect-com-p-foto-bashennogo-krana-dlya-logotipa-18.png"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20536322" y="13792416"/>
          <a:ext cx="413286" cy="336955"/>
        </a:xfrm>
        <a:prstGeom prst="rect">
          <a:avLst/>
        </a:prstGeom>
        <a:noFill/>
      </xdr:spPr>
    </xdr:pic>
    <xdr:clientData/>
  </xdr:twoCellAnchor>
  <xdr:twoCellAnchor>
    <xdr:from>
      <xdr:col>20</xdr:col>
      <xdr:colOff>225559</xdr:colOff>
      <xdr:row>26</xdr:row>
      <xdr:rowOff>420409</xdr:rowOff>
    </xdr:from>
    <xdr:to>
      <xdr:col>20</xdr:col>
      <xdr:colOff>643583</xdr:colOff>
      <xdr:row>26</xdr:row>
      <xdr:rowOff>630596</xdr:rowOff>
    </xdr:to>
    <xdr:sp macro="" textlink="">
      <xdr:nvSpPr>
        <xdr:cNvPr id="235" name="TextBox 159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SpPr txBox="1"/>
      </xdr:nvSpPr>
      <xdr:spPr bwMode="auto">
        <a:xfrm>
          <a:off x="20383924" y="14136409"/>
          <a:ext cx="418023" cy="21018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800"/>
            <a:t>+</a:t>
          </a:r>
          <a:r>
            <a:rPr lang="en-US" sz="800"/>
            <a:t>1</a:t>
          </a:r>
          <a:endParaRPr/>
        </a:p>
      </xdr:txBody>
    </xdr:sp>
    <xdr:clientData/>
  </xdr:twoCellAnchor>
  <xdr:twoCellAnchor>
    <xdr:from>
      <xdr:col>18</xdr:col>
      <xdr:colOff>721728</xdr:colOff>
      <xdr:row>28</xdr:row>
      <xdr:rowOff>23091</xdr:rowOff>
    </xdr:from>
    <xdr:to>
      <xdr:col>18</xdr:col>
      <xdr:colOff>1385757</xdr:colOff>
      <xdr:row>28</xdr:row>
      <xdr:rowOff>458518</xdr:rowOff>
    </xdr:to>
    <xdr:sp macro="" textlink="">
      <xdr:nvSpPr>
        <xdr:cNvPr id="33" name="TextBox 5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 bwMode="auto">
        <a:xfrm>
          <a:off x="24748541" y="12429404"/>
          <a:ext cx="664029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17</xdr:col>
      <xdr:colOff>1177636</xdr:colOff>
      <xdr:row>22</xdr:row>
      <xdr:rowOff>429491</xdr:rowOff>
    </xdr:from>
    <xdr:to>
      <xdr:col>18</xdr:col>
      <xdr:colOff>136197</xdr:colOff>
      <xdr:row>22</xdr:row>
      <xdr:rowOff>766446</xdr:rowOff>
    </xdr:to>
    <xdr:pic>
      <xdr:nvPicPr>
        <xdr:cNvPr id="185" name="Рисунок 158" descr="https://myskillsconnect.com/uploads/posts/2023-08/1691460600_myskillsconnect-com-p-foto-bashennogo-krana-dlya-logotipa-18.png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8523527" y="11526982"/>
          <a:ext cx="427143" cy="336955"/>
        </a:xfrm>
        <a:prstGeom prst="rect">
          <a:avLst/>
        </a:prstGeom>
        <a:noFill/>
      </xdr:spPr>
    </xdr:pic>
    <xdr:clientData/>
  </xdr:twoCellAnchor>
  <xdr:twoCellAnchor>
    <xdr:from>
      <xdr:col>17</xdr:col>
      <xdr:colOff>1025237</xdr:colOff>
      <xdr:row>22</xdr:row>
      <xdr:rowOff>773484</xdr:rowOff>
    </xdr:from>
    <xdr:to>
      <xdr:col>17</xdr:col>
      <xdr:colOff>1443261</xdr:colOff>
      <xdr:row>22</xdr:row>
      <xdr:rowOff>983671</xdr:rowOff>
    </xdr:to>
    <xdr:sp macro="" textlink="">
      <xdr:nvSpPr>
        <xdr:cNvPr id="186" name="TextBox 159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SpPr txBox="1"/>
      </xdr:nvSpPr>
      <xdr:spPr bwMode="auto">
        <a:xfrm>
          <a:off x="18371128" y="11870975"/>
          <a:ext cx="418024" cy="210187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800"/>
            <a:t>+1</a:t>
          </a:r>
          <a:endParaRPr/>
        </a:p>
      </xdr:txBody>
    </xdr:sp>
    <xdr:clientData/>
  </xdr:twoCellAnchor>
  <xdr:twoCellAnchor>
    <xdr:from>
      <xdr:col>17</xdr:col>
      <xdr:colOff>1025236</xdr:colOff>
      <xdr:row>10</xdr:row>
      <xdr:rowOff>941610</xdr:rowOff>
    </xdr:from>
    <xdr:to>
      <xdr:col>17</xdr:col>
      <xdr:colOff>1320448</xdr:colOff>
      <xdr:row>22</xdr:row>
      <xdr:rowOff>878576</xdr:rowOff>
    </xdr:to>
    <xdr:cxnSp macro="">
      <xdr:nvCxnSpPr>
        <xdr:cNvPr id="187" name="Скругленная соединительная линия 109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CxnSpPr>
          <a:cxnSpLocks/>
          <a:stCxn id="215" idx="3"/>
          <a:endCxn id="186" idx="1"/>
        </xdr:cNvCxnSpPr>
      </xdr:nvCxnSpPr>
      <xdr:spPr bwMode="auto">
        <a:xfrm flipH="1">
          <a:off x="19106408" y="5415639"/>
          <a:ext cx="295212" cy="6599023"/>
        </a:xfrm>
        <a:prstGeom prst="curvedConnector5">
          <a:avLst>
            <a:gd name="adj1" fmla="val -77436"/>
            <a:gd name="adj2" fmla="val 50022"/>
            <a:gd name="adj3" fmla="val 177436"/>
          </a:avLst>
        </a:prstGeom>
        <a:ln w="6350" cap="flat" cmpd="sng" algn="ctr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483176</xdr:colOff>
      <xdr:row>22</xdr:row>
      <xdr:rowOff>382731</xdr:rowOff>
    </xdr:from>
    <xdr:to>
      <xdr:col>20</xdr:col>
      <xdr:colOff>908588</xdr:colOff>
      <xdr:row>22</xdr:row>
      <xdr:rowOff>719687</xdr:rowOff>
    </xdr:to>
    <xdr:pic>
      <xdr:nvPicPr>
        <xdr:cNvPr id="190" name="Рисунок 158" descr="https://myskillsconnect.com/uploads/posts/2023-08/1691460600_myskillsconnect-com-p-foto-bashennogo-krana-dlya-logotipa-18.png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22238277" y="11546032"/>
          <a:ext cx="425411" cy="336955"/>
        </a:xfrm>
        <a:prstGeom prst="rect">
          <a:avLst/>
        </a:prstGeom>
        <a:noFill/>
      </xdr:spPr>
    </xdr:pic>
    <xdr:clientData/>
  </xdr:twoCellAnchor>
  <xdr:twoCellAnchor>
    <xdr:from>
      <xdr:col>20</xdr:col>
      <xdr:colOff>330778</xdr:colOff>
      <xdr:row>22</xdr:row>
      <xdr:rowOff>726725</xdr:rowOff>
    </xdr:from>
    <xdr:to>
      <xdr:col>20</xdr:col>
      <xdr:colOff>748802</xdr:colOff>
      <xdr:row>22</xdr:row>
      <xdr:rowOff>936912</xdr:rowOff>
    </xdr:to>
    <xdr:sp macro="" textlink="">
      <xdr:nvSpPr>
        <xdr:cNvPr id="191" name="TextBox 159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 txBox="1"/>
      </xdr:nvSpPr>
      <xdr:spPr bwMode="auto">
        <a:xfrm>
          <a:off x="22085878" y="11890025"/>
          <a:ext cx="418024" cy="210187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800"/>
            <a:t>-1</a:t>
          </a:r>
          <a:endParaRPr/>
        </a:p>
      </xdr:txBody>
    </xdr:sp>
    <xdr:clientData/>
  </xdr:twoCellAnchor>
  <xdr:twoCellAnchor>
    <xdr:from>
      <xdr:col>17</xdr:col>
      <xdr:colOff>1415142</xdr:colOff>
      <xdr:row>22</xdr:row>
      <xdr:rowOff>831818</xdr:rowOff>
    </xdr:from>
    <xdr:to>
      <xdr:col>20</xdr:col>
      <xdr:colOff>330777</xdr:colOff>
      <xdr:row>22</xdr:row>
      <xdr:rowOff>878576</xdr:rowOff>
    </xdr:to>
    <xdr:cxnSp macro="">
      <xdr:nvCxnSpPr>
        <xdr:cNvPr id="192" name="Скругленная соединительная линия 109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CxnSpPr>
          <a:cxnSpLocks/>
          <a:stCxn id="186" idx="3"/>
          <a:endCxn id="191" idx="1"/>
        </xdr:cNvCxnSpPr>
      </xdr:nvCxnSpPr>
      <xdr:spPr bwMode="auto">
        <a:xfrm flipV="1">
          <a:off x="19496314" y="11967904"/>
          <a:ext cx="3161063" cy="46758"/>
        </a:xfrm>
        <a:prstGeom prst="curvedConnector3">
          <a:avLst>
            <a:gd name="adj1" fmla="val 50000"/>
          </a:avLst>
        </a:prstGeom>
        <a:ln w="6350" cap="flat" cmpd="sng" algn="ctr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864177</xdr:colOff>
      <xdr:row>26</xdr:row>
      <xdr:rowOff>173182</xdr:rowOff>
    </xdr:from>
    <xdr:to>
      <xdr:col>21</xdr:col>
      <xdr:colOff>1289588</xdr:colOff>
      <xdr:row>26</xdr:row>
      <xdr:rowOff>510137</xdr:rowOff>
    </xdr:to>
    <xdr:pic>
      <xdr:nvPicPr>
        <xdr:cNvPr id="209" name="Рисунок 158" descr="https://myskillsconnect.com/uploads/posts/2023-08/1691460600_myskillsconnect-com-p-foto-bashennogo-krana-dlya-logotipa-18.png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24086127" y="13984432"/>
          <a:ext cx="425411" cy="336955"/>
        </a:xfrm>
        <a:prstGeom prst="rect">
          <a:avLst/>
        </a:prstGeom>
        <a:noFill/>
      </xdr:spPr>
    </xdr:pic>
    <xdr:clientData/>
  </xdr:twoCellAnchor>
  <xdr:twoCellAnchor>
    <xdr:from>
      <xdr:col>21</xdr:col>
      <xdr:colOff>711778</xdr:colOff>
      <xdr:row>26</xdr:row>
      <xdr:rowOff>517174</xdr:rowOff>
    </xdr:from>
    <xdr:to>
      <xdr:col>21</xdr:col>
      <xdr:colOff>1129802</xdr:colOff>
      <xdr:row>26</xdr:row>
      <xdr:rowOff>727362</xdr:rowOff>
    </xdr:to>
    <xdr:sp macro="" textlink="">
      <xdr:nvSpPr>
        <xdr:cNvPr id="216" name="TextBox 159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SpPr txBox="1"/>
      </xdr:nvSpPr>
      <xdr:spPr bwMode="auto">
        <a:xfrm>
          <a:off x="23933728" y="14328425"/>
          <a:ext cx="418024" cy="21018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800"/>
            <a:t>2</a:t>
          </a:r>
          <a:endParaRPr/>
        </a:p>
      </xdr:txBody>
    </xdr:sp>
    <xdr:clientData/>
  </xdr:twoCellAnchor>
  <xdr:twoCellAnchor>
    <xdr:from>
      <xdr:col>11</xdr:col>
      <xdr:colOff>1417319</xdr:colOff>
      <xdr:row>11</xdr:row>
      <xdr:rowOff>243839</xdr:rowOff>
    </xdr:from>
    <xdr:to>
      <xdr:col>12</xdr:col>
      <xdr:colOff>1268184</xdr:colOff>
      <xdr:row>12</xdr:row>
      <xdr:rowOff>435427</xdr:rowOff>
    </xdr:to>
    <xdr:sp macro="" textlink="">
      <xdr:nvSpPr>
        <xdr:cNvPr id="1841435466" name="TextBox 57">
          <a:extLst>
            <a:ext uri="{FF2B5EF4-FFF2-40B4-BE49-F238E27FC236}">
              <a16:creationId xmlns:a16="http://schemas.microsoft.com/office/drawing/2014/main" id="{00000000-0008-0000-0400-00004A13C26D}"/>
            </a:ext>
          </a:extLst>
        </xdr:cNvPr>
        <xdr:cNvSpPr txBox="1"/>
      </xdr:nvSpPr>
      <xdr:spPr bwMode="auto">
        <a:xfrm>
          <a:off x="11003279" y="5821679"/>
          <a:ext cx="1268184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19</xdr:col>
      <xdr:colOff>109153</xdr:colOff>
      <xdr:row>26</xdr:row>
      <xdr:rowOff>123945</xdr:rowOff>
    </xdr:from>
    <xdr:to>
      <xdr:col>19</xdr:col>
      <xdr:colOff>1235527</xdr:colOff>
      <xdr:row>26</xdr:row>
      <xdr:rowOff>474975</xdr:rowOff>
    </xdr:to>
    <xdr:sp macro="" textlink="">
      <xdr:nvSpPr>
        <xdr:cNvPr id="525436339" name="TextBox 57">
          <a:extLst>
            <a:ext uri="{FF2B5EF4-FFF2-40B4-BE49-F238E27FC236}">
              <a16:creationId xmlns:a16="http://schemas.microsoft.com/office/drawing/2014/main" id="{00000000-0008-0000-0400-0000B385511F}"/>
            </a:ext>
          </a:extLst>
        </xdr:cNvPr>
        <xdr:cNvSpPr txBox="1"/>
      </xdr:nvSpPr>
      <xdr:spPr bwMode="auto">
        <a:xfrm>
          <a:off x="21020610" y="13905260"/>
          <a:ext cx="1126374" cy="351029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1600" b="1">
              <a:solidFill>
                <a:sysClr val="windowText" lastClr="000000"/>
              </a:solidFill>
            </a:rPr>
            <a:t>из Рязани</a:t>
          </a:r>
          <a:endParaRPr sz="800"/>
        </a:p>
      </xdr:txBody>
    </xdr:sp>
    <xdr:clientData/>
  </xdr:twoCellAnchor>
  <xdr:twoCellAnchor>
    <xdr:from>
      <xdr:col>19</xdr:col>
      <xdr:colOff>672340</xdr:colOff>
      <xdr:row>26</xdr:row>
      <xdr:rowOff>474975</xdr:rowOff>
    </xdr:from>
    <xdr:to>
      <xdr:col>20</xdr:col>
      <xdr:colOff>225557</xdr:colOff>
      <xdr:row>26</xdr:row>
      <xdr:rowOff>525502</xdr:rowOff>
    </xdr:to>
    <xdr:cxnSp macro="">
      <xdr:nvCxnSpPr>
        <xdr:cNvPr id="121442349" name="Скругленная соединительная линия 109">
          <a:extLst>
            <a:ext uri="{FF2B5EF4-FFF2-40B4-BE49-F238E27FC236}">
              <a16:creationId xmlns:a16="http://schemas.microsoft.com/office/drawing/2014/main" id="{00000000-0008-0000-0400-00002D103D07}"/>
            </a:ext>
          </a:extLst>
        </xdr:cNvPr>
        <xdr:cNvCxnSpPr>
          <a:cxnSpLocks/>
          <a:stCxn id="525436339" idx="2"/>
          <a:endCxn id="235" idx="1"/>
        </xdr:cNvCxnSpPr>
      </xdr:nvCxnSpPr>
      <xdr:spPr bwMode="auto">
        <a:xfrm rot="5399977" flipV="1">
          <a:off x="22042715" y="13797372"/>
          <a:ext cx="50526" cy="968360"/>
        </a:xfrm>
        <a:prstGeom prst="curvedConnector2">
          <a:avLst/>
        </a:prstGeom>
        <a:ln w="6350" cap="flat" cmpd="sng" algn="ctr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4824</xdr:colOff>
      <xdr:row>28</xdr:row>
      <xdr:rowOff>435428</xdr:rowOff>
    </xdr:from>
    <xdr:to>
      <xdr:col>58</xdr:col>
      <xdr:colOff>4824</xdr:colOff>
      <xdr:row>28</xdr:row>
      <xdr:rowOff>989609</xdr:rowOff>
    </xdr:to>
    <xdr:grpSp>
      <xdr:nvGrpSpPr>
        <xdr:cNvPr id="164" name="Группа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GrpSpPr/>
      </xdr:nvGrpSpPr>
      <xdr:grpSpPr bwMode="auto">
        <a:xfrm>
          <a:off x="67666960" y="11726883"/>
          <a:ext cx="0" cy="554181"/>
          <a:chOff x="0" y="0"/>
          <a:chExt cx="479711" cy="554180"/>
        </a:xfrm>
      </xdr:grpSpPr>
      <xdr:pic>
        <xdr:nvPicPr>
          <xdr:cNvPr id="165" name="Рисунок 123" descr="https://myskillsconnect.com/uploads/posts/2023-08/1691460600_myskillsconnect-com-p-foto-bashennogo-krana-dlya-logotipa-18.png">
            <a:extLst>
              <a:ext uri="{FF2B5EF4-FFF2-40B4-BE49-F238E27FC236}">
                <a16:creationId xmlns:a16="http://schemas.microsoft.com/office/drawing/2014/main" id="{00000000-0008-0000-0400-0000A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80522" y="0"/>
            <a:ext cx="399186" cy="336954"/>
          </a:xfrm>
          <a:prstGeom prst="rect">
            <a:avLst/>
          </a:prstGeom>
          <a:noFill/>
        </xdr:spPr>
      </xdr:pic>
      <xdr:sp macro="" textlink="">
        <xdr:nvSpPr>
          <xdr:cNvPr id="166" name="TextBox 124">
            <a:extLst>
              <a:ext uri="{FF2B5EF4-FFF2-40B4-BE49-F238E27FC236}">
                <a16:creationId xmlns:a16="http://schemas.microsoft.com/office/drawing/2014/main" id="{00000000-0008-0000-0400-0000A6000000}"/>
              </a:ext>
            </a:extLst>
          </xdr:cNvPr>
          <xdr:cNvSpPr txBox="1"/>
        </xdr:nvSpPr>
        <xdr:spPr bwMode="auto">
          <a:xfrm>
            <a:off x="0" y="343992"/>
            <a:ext cx="403761" cy="21018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ru-RU" sz="800"/>
              <a:t>- 4</a:t>
            </a:r>
            <a:endParaRPr/>
          </a:p>
        </xdr:txBody>
      </xdr:sp>
    </xdr:grpSp>
    <xdr:clientData/>
  </xdr:twoCellAnchor>
  <xdr:twoCellAnchor>
    <xdr:from>
      <xdr:col>28</xdr:col>
      <xdr:colOff>1220237</xdr:colOff>
      <xdr:row>34</xdr:row>
      <xdr:rowOff>31610</xdr:rowOff>
    </xdr:from>
    <xdr:to>
      <xdr:col>29</xdr:col>
      <xdr:colOff>1153192</xdr:colOff>
      <xdr:row>34</xdr:row>
      <xdr:rowOff>467037</xdr:rowOff>
    </xdr:to>
    <xdr:sp macro="" textlink="">
      <xdr:nvSpPr>
        <xdr:cNvPr id="189" name="TextBox 57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 txBox="1"/>
      </xdr:nvSpPr>
      <xdr:spPr bwMode="auto">
        <a:xfrm>
          <a:off x="16529510" y="20553655"/>
          <a:ext cx="135304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27</xdr:col>
      <xdr:colOff>1415934</xdr:colOff>
      <xdr:row>34</xdr:row>
      <xdr:rowOff>42140</xdr:rowOff>
    </xdr:from>
    <xdr:to>
      <xdr:col>28</xdr:col>
      <xdr:colOff>659871</xdr:colOff>
      <xdr:row>34</xdr:row>
      <xdr:rowOff>477568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 txBox="1"/>
      </xdr:nvSpPr>
      <xdr:spPr bwMode="auto">
        <a:xfrm>
          <a:off x="15305116" y="20564185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28</xdr:col>
      <xdr:colOff>632904</xdr:colOff>
      <xdr:row>34</xdr:row>
      <xdr:rowOff>42387</xdr:rowOff>
    </xdr:from>
    <xdr:to>
      <xdr:col>28</xdr:col>
      <xdr:colOff>1269223</xdr:colOff>
      <xdr:row>34</xdr:row>
      <xdr:rowOff>477814</xdr:rowOff>
    </xdr:to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 txBox="1"/>
      </xdr:nvSpPr>
      <xdr:spPr bwMode="auto">
        <a:xfrm>
          <a:off x="15942177" y="20564432"/>
          <a:ext cx="636319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21</xdr:col>
      <xdr:colOff>0</xdr:colOff>
      <xdr:row>36</xdr:row>
      <xdr:rowOff>0</xdr:rowOff>
    </xdr:from>
    <xdr:to>
      <xdr:col>21</xdr:col>
      <xdr:colOff>1292680</xdr:colOff>
      <xdr:row>36</xdr:row>
      <xdr:rowOff>435426</xdr:rowOff>
    </xdr:to>
    <xdr:sp macro="" textlink="">
      <xdr:nvSpPr>
        <xdr:cNvPr id="252" name="TextBox 57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SpPr txBox="1"/>
      </xdr:nvSpPr>
      <xdr:spPr bwMode="auto">
        <a:xfrm>
          <a:off x="28313063" y="17740313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Участок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28</xdr:col>
      <xdr:colOff>1668</xdr:colOff>
      <xdr:row>45</xdr:row>
      <xdr:rowOff>281852</xdr:rowOff>
    </xdr:from>
    <xdr:to>
      <xdr:col>28</xdr:col>
      <xdr:colOff>1119187</xdr:colOff>
      <xdr:row>46</xdr:row>
      <xdr:rowOff>428624</xdr:rowOff>
    </xdr:to>
    <xdr:sp macro="" textlink="">
      <xdr:nvSpPr>
        <xdr:cNvPr id="137" name="TextBox 57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 txBox="1"/>
      </xdr:nvSpPr>
      <xdr:spPr bwMode="auto">
        <a:xfrm>
          <a:off x="18194418" y="28213915"/>
          <a:ext cx="1117519" cy="4325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Участок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32</xdr:col>
      <xdr:colOff>1237555</xdr:colOff>
      <xdr:row>44</xdr:row>
      <xdr:rowOff>66246</xdr:rowOff>
    </xdr:from>
    <xdr:to>
      <xdr:col>33</xdr:col>
      <xdr:colOff>1170510</xdr:colOff>
      <xdr:row>44</xdr:row>
      <xdr:rowOff>501673</xdr:rowOff>
    </xdr:to>
    <xdr:sp macro="" textlink="">
      <xdr:nvSpPr>
        <xdr:cNvPr id="145" name="TextBox 57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 txBox="1"/>
      </xdr:nvSpPr>
      <xdr:spPr bwMode="auto">
        <a:xfrm>
          <a:off x="22227191" y="27134564"/>
          <a:ext cx="135304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31</xdr:col>
      <xdr:colOff>1381299</xdr:colOff>
      <xdr:row>44</xdr:row>
      <xdr:rowOff>42141</xdr:rowOff>
    </xdr:from>
    <xdr:to>
      <xdr:col>32</xdr:col>
      <xdr:colOff>625236</xdr:colOff>
      <xdr:row>44</xdr:row>
      <xdr:rowOff>477569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 txBox="1"/>
      </xdr:nvSpPr>
      <xdr:spPr bwMode="auto">
        <a:xfrm>
          <a:off x="20950844" y="27110459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32</xdr:col>
      <xdr:colOff>615587</xdr:colOff>
      <xdr:row>44</xdr:row>
      <xdr:rowOff>59706</xdr:rowOff>
    </xdr:from>
    <xdr:to>
      <xdr:col>32</xdr:col>
      <xdr:colOff>1251906</xdr:colOff>
      <xdr:row>44</xdr:row>
      <xdr:rowOff>495133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 txBox="1"/>
      </xdr:nvSpPr>
      <xdr:spPr bwMode="auto">
        <a:xfrm>
          <a:off x="21605223" y="27128024"/>
          <a:ext cx="636319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32</xdr:col>
      <xdr:colOff>117071</xdr:colOff>
      <xdr:row>58</xdr:row>
      <xdr:rowOff>94095</xdr:rowOff>
    </xdr:from>
    <xdr:to>
      <xdr:col>32</xdr:col>
      <xdr:colOff>781099</xdr:colOff>
      <xdr:row>58</xdr:row>
      <xdr:rowOff>529523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SpPr txBox="1"/>
      </xdr:nvSpPr>
      <xdr:spPr bwMode="auto">
        <a:xfrm>
          <a:off x="44336884" y="23001720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32</xdr:col>
      <xdr:colOff>117071</xdr:colOff>
      <xdr:row>60</xdr:row>
      <xdr:rowOff>94095</xdr:rowOff>
    </xdr:from>
    <xdr:to>
      <xdr:col>32</xdr:col>
      <xdr:colOff>781099</xdr:colOff>
      <xdr:row>60</xdr:row>
      <xdr:rowOff>529523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 txBox="1"/>
      </xdr:nvSpPr>
      <xdr:spPr bwMode="auto">
        <a:xfrm>
          <a:off x="44336884" y="23001720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32</xdr:col>
      <xdr:colOff>117071</xdr:colOff>
      <xdr:row>62</xdr:row>
      <xdr:rowOff>94095</xdr:rowOff>
    </xdr:from>
    <xdr:to>
      <xdr:col>32</xdr:col>
      <xdr:colOff>781099</xdr:colOff>
      <xdr:row>62</xdr:row>
      <xdr:rowOff>529523</xdr:rowOff>
    </xdr:to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 txBox="1"/>
      </xdr:nvSpPr>
      <xdr:spPr bwMode="auto">
        <a:xfrm>
          <a:off x="44336884" y="23001720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32</xdr:col>
      <xdr:colOff>117071</xdr:colOff>
      <xdr:row>64</xdr:row>
      <xdr:rowOff>94095</xdr:rowOff>
    </xdr:from>
    <xdr:to>
      <xdr:col>32</xdr:col>
      <xdr:colOff>781099</xdr:colOff>
      <xdr:row>64</xdr:row>
      <xdr:rowOff>529523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 txBox="1"/>
      </xdr:nvSpPr>
      <xdr:spPr bwMode="auto">
        <a:xfrm>
          <a:off x="44336884" y="23001720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18</xdr:col>
      <xdr:colOff>0</xdr:colOff>
      <xdr:row>30</xdr:row>
      <xdr:rowOff>0</xdr:rowOff>
    </xdr:from>
    <xdr:to>
      <xdr:col>18</xdr:col>
      <xdr:colOff>664028</xdr:colOff>
      <xdr:row>30</xdr:row>
      <xdr:rowOff>435428</xdr:rowOff>
    </xdr:to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D9090BA-B2A2-41C6-921B-38B7815E5C27}"/>
            </a:ext>
          </a:extLst>
        </xdr:cNvPr>
        <xdr:cNvSpPr txBox="1"/>
      </xdr:nvSpPr>
      <xdr:spPr bwMode="auto">
        <a:xfrm>
          <a:off x="19931063" y="13739813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18</xdr:col>
      <xdr:colOff>0</xdr:colOff>
      <xdr:row>32</xdr:row>
      <xdr:rowOff>0</xdr:rowOff>
    </xdr:from>
    <xdr:to>
      <xdr:col>18</xdr:col>
      <xdr:colOff>664028</xdr:colOff>
      <xdr:row>32</xdr:row>
      <xdr:rowOff>435428</xdr:rowOff>
    </xdr:to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676C0C6A-04E2-4B78-B098-BA8404AE4551}"/>
            </a:ext>
          </a:extLst>
        </xdr:cNvPr>
        <xdr:cNvSpPr txBox="1"/>
      </xdr:nvSpPr>
      <xdr:spPr bwMode="auto">
        <a:xfrm>
          <a:off x="19931063" y="15073313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51</xdr:col>
      <xdr:colOff>47625</xdr:colOff>
      <xdr:row>58</xdr:row>
      <xdr:rowOff>0</xdr:rowOff>
    </xdr:from>
    <xdr:to>
      <xdr:col>51</xdr:col>
      <xdr:colOff>692603</xdr:colOff>
      <xdr:row>58</xdr:row>
      <xdr:rowOff>435427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E55A77E2-2157-4175-87A9-AC8A44E9E6ED}"/>
            </a:ext>
          </a:extLst>
        </xdr:cNvPr>
        <xdr:cNvSpPr txBox="1"/>
      </xdr:nvSpPr>
      <xdr:spPr bwMode="auto">
        <a:xfrm>
          <a:off x="56911875" y="36266438"/>
          <a:ext cx="644978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50</xdr:col>
      <xdr:colOff>1928812</xdr:colOff>
      <xdr:row>58</xdr:row>
      <xdr:rowOff>381000</xdr:rowOff>
    </xdr:from>
    <xdr:to>
      <xdr:col>51</xdr:col>
      <xdr:colOff>1662608</xdr:colOff>
      <xdr:row>58</xdr:row>
      <xdr:rowOff>816427</xdr:rowOff>
    </xdr:to>
    <xdr:sp macro="" textlink="">
      <xdr:nvSpPr>
        <xdr:cNvPr id="188" name="TextBox 57">
          <a:extLst>
            <a:ext uri="{FF2B5EF4-FFF2-40B4-BE49-F238E27FC236}">
              <a16:creationId xmlns:a16="http://schemas.microsoft.com/office/drawing/2014/main" id="{2ACEC7DE-6212-433E-BE65-34A0F06036D6}"/>
            </a:ext>
          </a:extLst>
        </xdr:cNvPr>
        <xdr:cNvSpPr txBox="1"/>
      </xdr:nvSpPr>
      <xdr:spPr bwMode="auto">
        <a:xfrm>
          <a:off x="56840437" y="36647438"/>
          <a:ext cx="1686421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83</xdr:col>
      <xdr:colOff>2102</xdr:colOff>
      <xdr:row>28</xdr:row>
      <xdr:rowOff>421821</xdr:rowOff>
    </xdr:from>
    <xdr:to>
      <xdr:col>83</xdr:col>
      <xdr:colOff>6867</xdr:colOff>
      <xdr:row>28</xdr:row>
      <xdr:rowOff>963426</xdr:rowOff>
    </xdr:to>
    <xdr:grpSp>
      <xdr:nvGrpSpPr>
        <xdr:cNvPr id="230" name="Группа 229">
          <a:extLst>
            <a:ext uri="{FF2B5EF4-FFF2-40B4-BE49-F238E27FC236}">
              <a16:creationId xmlns:a16="http://schemas.microsoft.com/office/drawing/2014/main" id="{0868D5E6-92C9-42B1-8400-98A55B2574F8}"/>
            </a:ext>
          </a:extLst>
        </xdr:cNvPr>
        <xdr:cNvGrpSpPr/>
      </xdr:nvGrpSpPr>
      <xdr:grpSpPr bwMode="auto">
        <a:xfrm>
          <a:off x="113418875" y="11713276"/>
          <a:ext cx="4765" cy="541605"/>
          <a:chOff x="0" y="0"/>
          <a:chExt cx="452439" cy="541604"/>
        </a:xfrm>
      </xdr:grpSpPr>
      <xdr:pic>
        <xdr:nvPicPr>
          <xdr:cNvPr id="232" name="Рисунок 117" descr="https://cdn4.vectorstock.com/i/1000x1000/21/58/brick-layer-tiler-mason-worker-with-trowe-vector-15222158.jpg">
            <a:extLst>
              <a:ext uri="{FF2B5EF4-FFF2-40B4-BE49-F238E27FC236}">
                <a16:creationId xmlns:a16="http://schemas.microsoft.com/office/drawing/2014/main" id="{68197265-5558-494C-8371-E775B74CF62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17703" t="13458" r="17375" b="21858"/>
          <a:stretch/>
        </xdr:blipFill>
        <xdr:spPr bwMode="auto">
          <a:xfrm>
            <a:off x="114980" y="0"/>
            <a:ext cx="337456" cy="331623"/>
          </a:xfrm>
          <a:prstGeom prst="rect">
            <a:avLst/>
          </a:prstGeom>
          <a:noFill/>
        </xdr:spPr>
      </xdr:pic>
      <xdr:sp macro="" textlink="">
        <xdr:nvSpPr>
          <xdr:cNvPr id="233" name="TextBox 118">
            <a:extLst>
              <a:ext uri="{FF2B5EF4-FFF2-40B4-BE49-F238E27FC236}">
                <a16:creationId xmlns:a16="http://schemas.microsoft.com/office/drawing/2014/main" id="{50B2789C-7249-4540-9270-59D0D5A1216D}"/>
              </a:ext>
            </a:extLst>
          </xdr:cNvPr>
          <xdr:cNvSpPr txBox="1"/>
        </xdr:nvSpPr>
        <xdr:spPr bwMode="auto">
          <a:xfrm>
            <a:off x="0" y="327381"/>
            <a:ext cx="445836" cy="214221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>
              <a:defRPr/>
            </a:pPr>
            <a:r>
              <a:rPr lang="en-US" sz="800"/>
              <a:t>- 40</a:t>
            </a:r>
            <a:endParaRPr lang="ru-RU" sz="800"/>
          </a:p>
        </xdr:txBody>
      </xdr:sp>
    </xdr:grpSp>
    <xdr:clientData/>
  </xdr:twoCellAnchor>
  <xdr:twoCellAnchor>
    <xdr:from>
      <xdr:col>84</xdr:col>
      <xdr:colOff>4824</xdr:colOff>
      <xdr:row>28</xdr:row>
      <xdr:rowOff>435428</xdr:rowOff>
    </xdr:from>
    <xdr:to>
      <xdr:col>84</xdr:col>
      <xdr:colOff>4824</xdr:colOff>
      <xdr:row>28</xdr:row>
      <xdr:rowOff>989609</xdr:rowOff>
    </xdr:to>
    <xdr:grpSp>
      <xdr:nvGrpSpPr>
        <xdr:cNvPr id="236" name="Группа 235">
          <a:extLst>
            <a:ext uri="{FF2B5EF4-FFF2-40B4-BE49-F238E27FC236}">
              <a16:creationId xmlns:a16="http://schemas.microsoft.com/office/drawing/2014/main" id="{A3F831EE-6486-4ADF-9240-EDF7D72F14B0}"/>
            </a:ext>
          </a:extLst>
        </xdr:cNvPr>
        <xdr:cNvGrpSpPr/>
      </xdr:nvGrpSpPr>
      <xdr:grpSpPr bwMode="auto">
        <a:xfrm>
          <a:off x="115188051" y="11726883"/>
          <a:ext cx="0" cy="554181"/>
          <a:chOff x="0" y="0"/>
          <a:chExt cx="479711" cy="554180"/>
        </a:xfrm>
      </xdr:grpSpPr>
      <xdr:pic>
        <xdr:nvPicPr>
          <xdr:cNvPr id="237" name="Рисунок 123" descr="https://myskillsconnect.com/uploads/posts/2023-08/1691460600_myskillsconnect-com-p-foto-bashennogo-krana-dlya-logotipa-18.png">
            <a:extLst>
              <a:ext uri="{FF2B5EF4-FFF2-40B4-BE49-F238E27FC236}">
                <a16:creationId xmlns:a16="http://schemas.microsoft.com/office/drawing/2014/main" id="{D65AD853-7AAA-4215-A5C2-3EC893AADAA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80522" y="0"/>
            <a:ext cx="399186" cy="336954"/>
          </a:xfrm>
          <a:prstGeom prst="rect">
            <a:avLst/>
          </a:prstGeom>
          <a:noFill/>
        </xdr:spPr>
      </xdr:pic>
      <xdr:sp macro="" textlink="">
        <xdr:nvSpPr>
          <xdr:cNvPr id="238" name="TextBox 124">
            <a:extLst>
              <a:ext uri="{FF2B5EF4-FFF2-40B4-BE49-F238E27FC236}">
                <a16:creationId xmlns:a16="http://schemas.microsoft.com/office/drawing/2014/main" id="{03128D5E-AD80-4C3F-86DC-371BA80C53DF}"/>
              </a:ext>
            </a:extLst>
          </xdr:cNvPr>
          <xdr:cNvSpPr txBox="1"/>
        </xdr:nvSpPr>
        <xdr:spPr bwMode="auto">
          <a:xfrm>
            <a:off x="0" y="343992"/>
            <a:ext cx="403761" cy="21018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ru-RU" sz="800"/>
              <a:t>- 4</a:t>
            </a:r>
            <a:endParaRPr/>
          </a:p>
        </xdr:txBody>
      </xdr:sp>
    </xdr:grpSp>
    <xdr:clientData/>
  </xdr:twoCellAnchor>
  <xdr:twoCellAnchor>
    <xdr:from>
      <xdr:col>64</xdr:col>
      <xdr:colOff>0</xdr:colOff>
      <xdr:row>62</xdr:row>
      <xdr:rowOff>0</xdr:rowOff>
    </xdr:from>
    <xdr:to>
      <xdr:col>64</xdr:col>
      <xdr:colOff>644978</xdr:colOff>
      <xdr:row>62</xdr:row>
      <xdr:rowOff>435427</xdr:rowOff>
    </xdr:to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1544F01B-1937-4666-97B8-E4C721997B9A}"/>
            </a:ext>
          </a:extLst>
        </xdr:cNvPr>
        <xdr:cNvSpPr txBox="1"/>
      </xdr:nvSpPr>
      <xdr:spPr bwMode="auto">
        <a:xfrm>
          <a:off x="55649813" y="30861000"/>
          <a:ext cx="644978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63</xdr:col>
      <xdr:colOff>1404937</xdr:colOff>
      <xdr:row>62</xdr:row>
      <xdr:rowOff>381000</xdr:rowOff>
    </xdr:from>
    <xdr:to>
      <xdr:col>64</xdr:col>
      <xdr:colOff>1329233</xdr:colOff>
      <xdr:row>62</xdr:row>
      <xdr:rowOff>816427</xdr:rowOff>
    </xdr:to>
    <xdr:sp macro="" textlink="">
      <xdr:nvSpPr>
        <xdr:cNvPr id="259" name="TextBox 57">
          <a:extLst>
            <a:ext uri="{FF2B5EF4-FFF2-40B4-BE49-F238E27FC236}">
              <a16:creationId xmlns:a16="http://schemas.microsoft.com/office/drawing/2014/main" id="{253CB419-FF6E-4C01-9BEB-B743CF8B54A4}"/>
            </a:ext>
          </a:extLst>
        </xdr:cNvPr>
        <xdr:cNvSpPr txBox="1"/>
      </xdr:nvSpPr>
      <xdr:spPr bwMode="auto">
        <a:xfrm>
          <a:off x="55626000" y="31242000"/>
          <a:ext cx="135304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71</xdr:col>
      <xdr:colOff>0</xdr:colOff>
      <xdr:row>64</xdr:row>
      <xdr:rowOff>0</xdr:rowOff>
    </xdr:from>
    <xdr:to>
      <xdr:col>71</xdr:col>
      <xdr:colOff>644978</xdr:colOff>
      <xdr:row>64</xdr:row>
      <xdr:rowOff>435427</xdr:rowOff>
    </xdr:to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56EE2046-D61D-4839-8B67-E728EDE43788}"/>
            </a:ext>
          </a:extLst>
        </xdr:cNvPr>
        <xdr:cNvSpPr txBox="1"/>
      </xdr:nvSpPr>
      <xdr:spPr bwMode="auto">
        <a:xfrm>
          <a:off x="84224813" y="33528000"/>
          <a:ext cx="644978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70</xdr:col>
      <xdr:colOff>1404937</xdr:colOff>
      <xdr:row>64</xdr:row>
      <xdr:rowOff>381000</xdr:rowOff>
    </xdr:from>
    <xdr:to>
      <xdr:col>71</xdr:col>
      <xdr:colOff>1329233</xdr:colOff>
      <xdr:row>64</xdr:row>
      <xdr:rowOff>816427</xdr:rowOff>
    </xdr:to>
    <xdr:sp macro="" textlink="">
      <xdr:nvSpPr>
        <xdr:cNvPr id="267" name="TextBox 57">
          <a:extLst>
            <a:ext uri="{FF2B5EF4-FFF2-40B4-BE49-F238E27FC236}">
              <a16:creationId xmlns:a16="http://schemas.microsoft.com/office/drawing/2014/main" id="{601BF2A1-EBC9-464B-8B0F-47C319BFDD51}"/>
            </a:ext>
          </a:extLst>
        </xdr:cNvPr>
        <xdr:cNvSpPr txBox="1"/>
      </xdr:nvSpPr>
      <xdr:spPr bwMode="auto">
        <a:xfrm>
          <a:off x="84201000" y="33909000"/>
          <a:ext cx="135304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24</xdr:col>
      <xdr:colOff>1292680</xdr:colOff>
      <xdr:row>34</xdr:row>
      <xdr:rowOff>435426</xdr:rowOff>
    </xdr:to>
    <xdr:sp macro="" textlink="">
      <xdr:nvSpPr>
        <xdr:cNvPr id="172" name="TextBox 57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 txBox="1"/>
      </xdr:nvSpPr>
      <xdr:spPr bwMode="auto">
        <a:xfrm>
          <a:off x="11049000" y="16406813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Участок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28</xdr:col>
      <xdr:colOff>0</xdr:colOff>
      <xdr:row>38</xdr:row>
      <xdr:rowOff>0</xdr:rowOff>
    </xdr:from>
    <xdr:to>
      <xdr:col>28</xdr:col>
      <xdr:colOff>1292680</xdr:colOff>
      <xdr:row>38</xdr:row>
      <xdr:rowOff>435426</xdr:rowOff>
    </xdr:to>
    <xdr:sp macro="" textlink="">
      <xdr:nvSpPr>
        <xdr:cNvPr id="194" name="TextBox 57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 txBox="1"/>
      </xdr:nvSpPr>
      <xdr:spPr bwMode="auto">
        <a:xfrm>
          <a:off x="16764000" y="19026188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Участок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28</xdr:col>
      <xdr:colOff>0</xdr:colOff>
      <xdr:row>40</xdr:row>
      <xdr:rowOff>0</xdr:rowOff>
    </xdr:from>
    <xdr:to>
      <xdr:col>28</xdr:col>
      <xdr:colOff>1292680</xdr:colOff>
      <xdr:row>40</xdr:row>
      <xdr:rowOff>435426</xdr:rowOff>
    </xdr:to>
    <xdr:sp macro="" textlink="">
      <xdr:nvSpPr>
        <xdr:cNvPr id="196" name="TextBox 57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 txBox="1"/>
      </xdr:nvSpPr>
      <xdr:spPr bwMode="auto">
        <a:xfrm>
          <a:off x="16764000" y="20312063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Участок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28</xdr:col>
      <xdr:colOff>1292680</xdr:colOff>
      <xdr:row>42</xdr:row>
      <xdr:rowOff>435426</xdr:rowOff>
    </xdr:to>
    <xdr:sp macro="" textlink="">
      <xdr:nvSpPr>
        <xdr:cNvPr id="197" name="TextBox 57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 txBox="1"/>
      </xdr:nvSpPr>
      <xdr:spPr bwMode="auto">
        <a:xfrm>
          <a:off x="16764000" y="21597938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Участок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27</xdr:col>
      <xdr:colOff>1</xdr:colOff>
      <xdr:row>43</xdr:row>
      <xdr:rowOff>225136</xdr:rowOff>
    </xdr:from>
    <xdr:to>
      <xdr:col>27</xdr:col>
      <xdr:colOff>1292681</xdr:colOff>
      <xdr:row>44</xdr:row>
      <xdr:rowOff>400789</xdr:rowOff>
    </xdr:to>
    <xdr:sp macro="" textlink="">
      <xdr:nvSpPr>
        <xdr:cNvPr id="198" name="TextBox 57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 txBox="1"/>
      </xdr:nvSpPr>
      <xdr:spPr bwMode="auto">
        <a:xfrm>
          <a:off x="15309274" y="23033181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Участок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44</xdr:col>
      <xdr:colOff>0</xdr:colOff>
      <xdr:row>38</xdr:row>
      <xdr:rowOff>0</xdr:rowOff>
    </xdr:from>
    <xdr:to>
      <xdr:col>44</xdr:col>
      <xdr:colOff>664028</xdr:colOff>
      <xdr:row>38</xdr:row>
      <xdr:rowOff>435428</xdr:rowOff>
    </xdr:to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SpPr txBox="1"/>
      </xdr:nvSpPr>
      <xdr:spPr bwMode="auto">
        <a:xfrm>
          <a:off x="39450818" y="20522045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44</xdr:col>
      <xdr:colOff>744682</xdr:colOff>
      <xdr:row>38</xdr:row>
      <xdr:rowOff>0</xdr:rowOff>
    </xdr:from>
    <xdr:to>
      <xdr:col>44</xdr:col>
      <xdr:colOff>1381001</xdr:colOff>
      <xdr:row>38</xdr:row>
      <xdr:rowOff>435427</xdr:rowOff>
    </xdr:to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SpPr txBox="1"/>
      </xdr:nvSpPr>
      <xdr:spPr bwMode="auto">
        <a:xfrm>
          <a:off x="40195500" y="20522045"/>
          <a:ext cx="636319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44</xdr:col>
      <xdr:colOff>1454727</xdr:colOff>
      <xdr:row>38</xdr:row>
      <xdr:rowOff>17318</xdr:rowOff>
    </xdr:from>
    <xdr:to>
      <xdr:col>45</xdr:col>
      <xdr:colOff>850818</xdr:colOff>
      <xdr:row>38</xdr:row>
      <xdr:rowOff>452745</xdr:rowOff>
    </xdr:to>
    <xdr:sp macro="" textlink="">
      <xdr:nvSpPr>
        <xdr:cNvPr id="240" name="TextBox 57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SpPr txBox="1"/>
      </xdr:nvSpPr>
      <xdr:spPr bwMode="auto">
        <a:xfrm>
          <a:off x="42256363" y="23171727"/>
          <a:ext cx="135304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65</xdr:col>
      <xdr:colOff>0</xdr:colOff>
      <xdr:row>20</xdr:row>
      <xdr:rowOff>0</xdr:rowOff>
    </xdr:from>
    <xdr:to>
      <xdr:col>65</xdr:col>
      <xdr:colOff>664029</xdr:colOff>
      <xdr:row>20</xdr:row>
      <xdr:rowOff>435428</xdr:rowOff>
    </xdr:to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 txBox="1"/>
      </xdr:nvSpPr>
      <xdr:spPr bwMode="auto">
        <a:xfrm>
          <a:off x="91994182" y="8537864"/>
          <a:ext cx="664029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65</xdr:col>
      <xdr:colOff>675409</xdr:colOff>
      <xdr:row>20</xdr:row>
      <xdr:rowOff>0</xdr:rowOff>
    </xdr:from>
    <xdr:to>
      <xdr:col>66</xdr:col>
      <xdr:colOff>246</xdr:colOff>
      <xdr:row>20</xdr:row>
      <xdr:rowOff>435427</xdr:rowOff>
    </xdr:to>
    <xdr:sp macro="" textlink="">
      <xdr:nvSpPr>
        <xdr:cNvPr id="276" name="TextBox 53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/>
      </xdr:nvSpPr>
      <xdr:spPr bwMode="auto">
        <a:xfrm>
          <a:off x="81499364" y="11170227"/>
          <a:ext cx="1281791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52</xdr:col>
      <xdr:colOff>1371598</xdr:colOff>
      <xdr:row>40</xdr:row>
      <xdr:rowOff>24106</xdr:rowOff>
    </xdr:from>
    <xdr:to>
      <xdr:col>53</xdr:col>
      <xdr:colOff>1295894</xdr:colOff>
      <xdr:row>40</xdr:row>
      <xdr:rowOff>459533</xdr:rowOff>
    </xdr:to>
    <xdr:sp macro="" textlink="">
      <xdr:nvSpPr>
        <xdr:cNvPr id="296" name="TextBox 57"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SpPr txBox="1"/>
      </xdr:nvSpPr>
      <xdr:spPr bwMode="auto">
        <a:xfrm>
          <a:off x="52425598" y="21693481"/>
          <a:ext cx="135304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52</xdr:col>
      <xdr:colOff>0</xdr:colOff>
      <xdr:row>40</xdr:row>
      <xdr:rowOff>0</xdr:rowOff>
    </xdr:from>
    <xdr:to>
      <xdr:col>52</xdr:col>
      <xdr:colOff>664028</xdr:colOff>
      <xdr:row>40</xdr:row>
      <xdr:rowOff>435428</xdr:rowOff>
    </xdr:to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SpPr txBox="1"/>
      </xdr:nvSpPr>
      <xdr:spPr bwMode="auto">
        <a:xfrm>
          <a:off x="51054000" y="21669375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52</xdr:col>
      <xdr:colOff>689016</xdr:colOff>
      <xdr:row>40</xdr:row>
      <xdr:rowOff>247</xdr:rowOff>
    </xdr:from>
    <xdr:to>
      <xdr:col>52</xdr:col>
      <xdr:colOff>1333994</xdr:colOff>
      <xdr:row>40</xdr:row>
      <xdr:rowOff>435674</xdr:rowOff>
    </xdr:to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SpPr txBox="1"/>
      </xdr:nvSpPr>
      <xdr:spPr bwMode="auto">
        <a:xfrm>
          <a:off x="51743016" y="21669622"/>
          <a:ext cx="644978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57</xdr:col>
      <xdr:colOff>1371598</xdr:colOff>
      <xdr:row>42</xdr:row>
      <xdr:rowOff>24106</xdr:rowOff>
    </xdr:from>
    <xdr:to>
      <xdr:col>58</xdr:col>
      <xdr:colOff>1295894</xdr:colOff>
      <xdr:row>42</xdr:row>
      <xdr:rowOff>459533</xdr:rowOff>
    </xdr:to>
    <xdr:sp macro="" textlink="">
      <xdr:nvSpPr>
        <xdr:cNvPr id="299" name="TextBox 57">
          <a:extLst>
            <a:ext uri="{FF2B5EF4-FFF2-40B4-BE49-F238E27FC236}">
              <a16:creationId xmlns:a16="http://schemas.microsoft.com/office/drawing/2014/main" id="{00000000-0008-0000-0400-0000F9000000}"/>
            </a:ext>
          </a:extLst>
        </xdr:cNvPr>
        <xdr:cNvSpPr txBox="1"/>
      </xdr:nvSpPr>
      <xdr:spPr bwMode="auto">
        <a:xfrm>
          <a:off x="59569348" y="22979356"/>
          <a:ext cx="135304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57</xdr:col>
      <xdr:colOff>689016</xdr:colOff>
      <xdr:row>42</xdr:row>
      <xdr:rowOff>247</xdr:rowOff>
    </xdr:from>
    <xdr:to>
      <xdr:col>57</xdr:col>
      <xdr:colOff>1333994</xdr:colOff>
      <xdr:row>42</xdr:row>
      <xdr:rowOff>435674</xdr:rowOff>
    </xdr:to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0000000-0008-0000-0400-0000FB000000}"/>
            </a:ext>
          </a:extLst>
        </xdr:cNvPr>
        <xdr:cNvSpPr txBox="1"/>
      </xdr:nvSpPr>
      <xdr:spPr bwMode="auto">
        <a:xfrm>
          <a:off x="58886766" y="22955497"/>
          <a:ext cx="644978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29</xdr:col>
      <xdr:colOff>0</xdr:colOff>
      <xdr:row>56</xdr:row>
      <xdr:rowOff>0</xdr:rowOff>
    </xdr:from>
    <xdr:to>
      <xdr:col>29</xdr:col>
      <xdr:colOff>1292680</xdr:colOff>
      <xdr:row>56</xdr:row>
      <xdr:rowOff>435426</xdr:rowOff>
    </xdr:to>
    <xdr:sp macro="" textlink="">
      <xdr:nvSpPr>
        <xdr:cNvPr id="304" name="TextBox 57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 txBox="1"/>
      </xdr:nvSpPr>
      <xdr:spPr bwMode="auto">
        <a:xfrm>
          <a:off x="18192750" y="29598938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Участок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29</xdr:col>
      <xdr:colOff>0</xdr:colOff>
      <xdr:row>58</xdr:row>
      <xdr:rowOff>0</xdr:rowOff>
    </xdr:from>
    <xdr:to>
      <xdr:col>29</xdr:col>
      <xdr:colOff>1292680</xdr:colOff>
      <xdr:row>58</xdr:row>
      <xdr:rowOff>435426</xdr:rowOff>
    </xdr:to>
    <xdr:sp macro="" textlink="">
      <xdr:nvSpPr>
        <xdr:cNvPr id="305" name="TextBox 57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 txBox="1"/>
      </xdr:nvSpPr>
      <xdr:spPr bwMode="auto">
        <a:xfrm>
          <a:off x="18192750" y="30932438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Участок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29</xdr:col>
      <xdr:colOff>0</xdr:colOff>
      <xdr:row>60</xdr:row>
      <xdr:rowOff>0</xdr:rowOff>
    </xdr:from>
    <xdr:to>
      <xdr:col>29</xdr:col>
      <xdr:colOff>1292680</xdr:colOff>
      <xdr:row>60</xdr:row>
      <xdr:rowOff>435426</xdr:rowOff>
    </xdr:to>
    <xdr:sp macro="" textlink="">
      <xdr:nvSpPr>
        <xdr:cNvPr id="306" name="TextBox 57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 txBox="1"/>
      </xdr:nvSpPr>
      <xdr:spPr bwMode="auto">
        <a:xfrm>
          <a:off x="18192750" y="32218313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Участок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29</xdr:col>
      <xdr:colOff>0</xdr:colOff>
      <xdr:row>62</xdr:row>
      <xdr:rowOff>0</xdr:rowOff>
    </xdr:from>
    <xdr:to>
      <xdr:col>29</xdr:col>
      <xdr:colOff>1292680</xdr:colOff>
      <xdr:row>62</xdr:row>
      <xdr:rowOff>435426</xdr:rowOff>
    </xdr:to>
    <xdr:sp macro="" textlink="">
      <xdr:nvSpPr>
        <xdr:cNvPr id="308" name="TextBox 57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 txBox="1"/>
      </xdr:nvSpPr>
      <xdr:spPr bwMode="auto">
        <a:xfrm>
          <a:off x="18192750" y="33551813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Участок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29</xdr:col>
      <xdr:colOff>0</xdr:colOff>
      <xdr:row>64</xdr:row>
      <xdr:rowOff>0</xdr:rowOff>
    </xdr:from>
    <xdr:to>
      <xdr:col>29</xdr:col>
      <xdr:colOff>1292680</xdr:colOff>
      <xdr:row>64</xdr:row>
      <xdr:rowOff>435426</xdr:rowOff>
    </xdr:to>
    <xdr:sp macro="" textlink="">
      <xdr:nvSpPr>
        <xdr:cNvPr id="309" name="TextBox 57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 txBox="1"/>
      </xdr:nvSpPr>
      <xdr:spPr bwMode="auto">
        <a:xfrm>
          <a:off x="18192750" y="34885313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Участок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38</xdr:col>
      <xdr:colOff>0</xdr:colOff>
      <xdr:row>66</xdr:row>
      <xdr:rowOff>0</xdr:rowOff>
    </xdr:from>
    <xdr:to>
      <xdr:col>38</xdr:col>
      <xdr:colOff>1292680</xdr:colOff>
      <xdr:row>66</xdr:row>
      <xdr:rowOff>435426</xdr:rowOff>
    </xdr:to>
    <xdr:sp macro="" textlink="">
      <xdr:nvSpPr>
        <xdr:cNvPr id="315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31051500" y="36218813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Аренда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40</xdr:col>
      <xdr:colOff>750321</xdr:colOff>
      <xdr:row>66</xdr:row>
      <xdr:rowOff>17317</xdr:rowOff>
    </xdr:from>
    <xdr:to>
      <xdr:col>41</xdr:col>
      <xdr:colOff>685007</xdr:colOff>
      <xdr:row>66</xdr:row>
      <xdr:rowOff>452744</xdr:rowOff>
    </xdr:to>
    <xdr:sp macro="" textlink="">
      <xdr:nvSpPr>
        <xdr:cNvPr id="318" name="TextBox 57">
          <a:extLst>
            <a:ext uri="{FF2B5EF4-FFF2-40B4-BE49-F238E27FC236}">
              <a16:creationId xmlns:a16="http://schemas.microsoft.com/office/drawing/2014/main" id="{2ACEC7DE-6212-433E-BE65-34A0F06036D6}"/>
            </a:ext>
          </a:extLst>
        </xdr:cNvPr>
        <xdr:cNvSpPr txBox="1"/>
      </xdr:nvSpPr>
      <xdr:spPr bwMode="auto">
        <a:xfrm>
          <a:off x="34486139" y="41858044"/>
          <a:ext cx="1701141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31</xdr:col>
      <xdr:colOff>-1</xdr:colOff>
      <xdr:row>66</xdr:row>
      <xdr:rowOff>-1</xdr:rowOff>
    </xdr:from>
    <xdr:to>
      <xdr:col>32</xdr:col>
      <xdr:colOff>142874</xdr:colOff>
      <xdr:row>66</xdr:row>
      <xdr:rowOff>738186</xdr:rowOff>
    </xdr:to>
    <xdr:sp macro="" textlink="">
      <xdr:nvSpPr>
        <xdr:cNvPr id="326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21050249" y="36218812"/>
          <a:ext cx="1571625" cy="7381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Договор</a:t>
          </a:r>
          <a:r>
            <a:rPr lang="ru-RU" sz="2000" b="1" baseline="0">
              <a:solidFill>
                <a:srgbClr val="C00000"/>
              </a:solidFill>
            </a:rPr>
            <a:t> о КРТ</a:t>
          </a:r>
        </a:p>
      </xdr:txBody>
    </xdr:sp>
    <xdr:clientData/>
  </xdr:twoCellAnchor>
  <xdr:twoCellAnchor>
    <xdr:from>
      <xdr:col>83</xdr:col>
      <xdr:colOff>0</xdr:colOff>
      <xdr:row>70</xdr:row>
      <xdr:rowOff>0</xdr:rowOff>
    </xdr:from>
    <xdr:to>
      <xdr:col>83</xdr:col>
      <xdr:colOff>664028</xdr:colOff>
      <xdr:row>70</xdr:row>
      <xdr:rowOff>435428</xdr:rowOff>
    </xdr:to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 txBox="1"/>
      </xdr:nvSpPr>
      <xdr:spPr bwMode="auto">
        <a:xfrm>
          <a:off x="96774000" y="38790563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82</xdr:col>
      <xdr:colOff>1404937</xdr:colOff>
      <xdr:row>70</xdr:row>
      <xdr:rowOff>381000</xdr:rowOff>
    </xdr:from>
    <xdr:to>
      <xdr:col>83</xdr:col>
      <xdr:colOff>1329233</xdr:colOff>
      <xdr:row>70</xdr:row>
      <xdr:rowOff>816427</xdr:rowOff>
    </xdr:to>
    <xdr:sp macro="" textlink="">
      <xdr:nvSpPr>
        <xdr:cNvPr id="337" name="TextBox 57">
          <a:extLst>
            <a:ext uri="{FF2B5EF4-FFF2-40B4-BE49-F238E27FC236}">
              <a16:creationId xmlns:a16="http://schemas.microsoft.com/office/drawing/2014/main" id="{2ACEC7DE-6212-433E-BE65-34A0F06036D6}"/>
            </a:ext>
          </a:extLst>
        </xdr:cNvPr>
        <xdr:cNvSpPr txBox="1"/>
      </xdr:nvSpPr>
      <xdr:spPr bwMode="auto">
        <a:xfrm>
          <a:off x="96750187" y="39171563"/>
          <a:ext cx="135304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33</xdr:col>
      <xdr:colOff>0</xdr:colOff>
      <xdr:row>74</xdr:row>
      <xdr:rowOff>0</xdr:rowOff>
    </xdr:from>
    <xdr:to>
      <xdr:col>33</xdr:col>
      <xdr:colOff>1292680</xdr:colOff>
      <xdr:row>74</xdr:row>
      <xdr:rowOff>435426</xdr:rowOff>
    </xdr:to>
    <xdr:sp macro="" textlink="">
      <xdr:nvSpPr>
        <xdr:cNvPr id="341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23907750" y="41243250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Аренда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31</xdr:col>
      <xdr:colOff>0</xdr:colOff>
      <xdr:row>68</xdr:row>
      <xdr:rowOff>0</xdr:rowOff>
    </xdr:from>
    <xdr:to>
      <xdr:col>32</xdr:col>
      <xdr:colOff>142875</xdr:colOff>
      <xdr:row>68</xdr:row>
      <xdr:rowOff>738187</xdr:rowOff>
    </xdr:to>
    <xdr:sp macro="" textlink="">
      <xdr:nvSpPr>
        <xdr:cNvPr id="344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21050250" y="37504688"/>
          <a:ext cx="1571625" cy="7381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Договор</a:t>
          </a:r>
          <a:r>
            <a:rPr lang="ru-RU" sz="2000" b="1" baseline="0">
              <a:solidFill>
                <a:srgbClr val="C00000"/>
              </a:solidFill>
            </a:rPr>
            <a:t> о КРТ</a:t>
          </a:r>
        </a:p>
      </xdr:txBody>
    </xdr:sp>
    <xdr:clientData/>
  </xdr:twoCellAnchor>
  <xdr:twoCellAnchor>
    <xdr:from>
      <xdr:col>32</xdr:col>
      <xdr:colOff>0</xdr:colOff>
      <xdr:row>70</xdr:row>
      <xdr:rowOff>0</xdr:rowOff>
    </xdr:from>
    <xdr:to>
      <xdr:col>33</xdr:col>
      <xdr:colOff>142875</xdr:colOff>
      <xdr:row>70</xdr:row>
      <xdr:rowOff>738187</xdr:rowOff>
    </xdr:to>
    <xdr:sp macro="" textlink="">
      <xdr:nvSpPr>
        <xdr:cNvPr id="345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22479000" y="38790563"/>
          <a:ext cx="1571625" cy="7381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Договор</a:t>
          </a:r>
          <a:r>
            <a:rPr lang="ru-RU" sz="2000" b="1" baseline="0">
              <a:solidFill>
                <a:srgbClr val="C00000"/>
              </a:solidFill>
            </a:rPr>
            <a:t> о КРТ</a:t>
          </a:r>
        </a:p>
      </xdr:txBody>
    </xdr:sp>
    <xdr:clientData/>
  </xdr:twoCellAnchor>
  <xdr:twoCellAnchor>
    <xdr:from>
      <xdr:col>32</xdr:col>
      <xdr:colOff>0</xdr:colOff>
      <xdr:row>72</xdr:row>
      <xdr:rowOff>0</xdr:rowOff>
    </xdr:from>
    <xdr:to>
      <xdr:col>33</xdr:col>
      <xdr:colOff>142875</xdr:colOff>
      <xdr:row>72</xdr:row>
      <xdr:rowOff>738187</xdr:rowOff>
    </xdr:to>
    <xdr:sp macro="" textlink="">
      <xdr:nvSpPr>
        <xdr:cNvPr id="346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22479000" y="39909750"/>
          <a:ext cx="1571625" cy="7381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Договор</a:t>
          </a:r>
          <a:r>
            <a:rPr lang="ru-RU" sz="2000" b="1" baseline="0">
              <a:solidFill>
                <a:srgbClr val="C00000"/>
              </a:solidFill>
            </a:rPr>
            <a:t> о КРТ</a:t>
          </a:r>
        </a:p>
      </xdr:txBody>
    </xdr:sp>
    <xdr:clientData/>
  </xdr:twoCellAnchor>
  <xdr:twoCellAnchor>
    <xdr:from>
      <xdr:col>34</xdr:col>
      <xdr:colOff>-1</xdr:colOff>
      <xdr:row>82</xdr:row>
      <xdr:rowOff>34637</xdr:rowOff>
    </xdr:from>
    <xdr:to>
      <xdr:col>34</xdr:col>
      <xdr:colOff>1292679</xdr:colOff>
      <xdr:row>82</xdr:row>
      <xdr:rowOff>470063</xdr:rowOff>
    </xdr:to>
    <xdr:sp macro="" textlink="">
      <xdr:nvSpPr>
        <xdr:cNvPr id="360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48161863" y="52041137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Аренда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38</xdr:col>
      <xdr:colOff>1762299</xdr:colOff>
      <xdr:row>56</xdr:row>
      <xdr:rowOff>42140</xdr:rowOff>
    </xdr:from>
    <xdr:to>
      <xdr:col>39</xdr:col>
      <xdr:colOff>659872</xdr:colOff>
      <xdr:row>56</xdr:row>
      <xdr:rowOff>477568</xdr:rowOff>
    </xdr:to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 txBox="1"/>
      </xdr:nvSpPr>
      <xdr:spPr bwMode="auto">
        <a:xfrm>
          <a:off x="31965208" y="35215367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39</xdr:col>
      <xdr:colOff>667541</xdr:colOff>
      <xdr:row>56</xdr:row>
      <xdr:rowOff>42388</xdr:rowOff>
    </xdr:from>
    <xdr:to>
      <xdr:col>39</xdr:col>
      <xdr:colOff>1650223</xdr:colOff>
      <xdr:row>56</xdr:row>
      <xdr:rowOff>477815</xdr:rowOff>
    </xdr:to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 txBox="1"/>
      </xdr:nvSpPr>
      <xdr:spPr bwMode="auto">
        <a:xfrm>
          <a:off x="32636905" y="35215615"/>
          <a:ext cx="982682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39</xdr:col>
      <xdr:colOff>1662545</xdr:colOff>
      <xdr:row>56</xdr:row>
      <xdr:rowOff>34636</xdr:rowOff>
    </xdr:from>
    <xdr:to>
      <xdr:col>40</xdr:col>
      <xdr:colOff>1249137</xdr:colOff>
      <xdr:row>56</xdr:row>
      <xdr:rowOff>470063</xdr:rowOff>
    </xdr:to>
    <xdr:sp macro="" textlink="">
      <xdr:nvSpPr>
        <xdr:cNvPr id="409" name="TextBox 57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SpPr txBox="1"/>
      </xdr:nvSpPr>
      <xdr:spPr bwMode="auto">
        <a:xfrm>
          <a:off x="33631909" y="35207863"/>
          <a:ext cx="135304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51</xdr:col>
      <xdr:colOff>0</xdr:colOff>
      <xdr:row>76</xdr:row>
      <xdr:rowOff>0</xdr:rowOff>
    </xdr:from>
    <xdr:to>
      <xdr:col>51</xdr:col>
      <xdr:colOff>664028</xdr:colOff>
      <xdr:row>76</xdr:row>
      <xdr:rowOff>435428</xdr:rowOff>
    </xdr:to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 txBox="1"/>
      </xdr:nvSpPr>
      <xdr:spPr bwMode="auto">
        <a:xfrm>
          <a:off x="38195250" y="42576750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51</xdr:col>
      <xdr:colOff>1472044</xdr:colOff>
      <xdr:row>76</xdr:row>
      <xdr:rowOff>17318</xdr:rowOff>
    </xdr:from>
    <xdr:to>
      <xdr:col>52</xdr:col>
      <xdr:colOff>868136</xdr:colOff>
      <xdr:row>76</xdr:row>
      <xdr:rowOff>452745</xdr:rowOff>
    </xdr:to>
    <xdr:sp macro="" textlink="">
      <xdr:nvSpPr>
        <xdr:cNvPr id="244" name="TextBox 57">
          <a:extLst>
            <a:ext uri="{FF2B5EF4-FFF2-40B4-BE49-F238E27FC236}">
              <a16:creationId xmlns:a16="http://schemas.microsoft.com/office/drawing/2014/main" id="{2ACEC7DE-6212-433E-BE65-34A0F06036D6}"/>
            </a:ext>
          </a:extLst>
        </xdr:cNvPr>
        <xdr:cNvSpPr txBox="1"/>
      </xdr:nvSpPr>
      <xdr:spPr bwMode="auto">
        <a:xfrm>
          <a:off x="55435499" y="48248454"/>
          <a:ext cx="135304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56</xdr:col>
      <xdr:colOff>0</xdr:colOff>
      <xdr:row>78</xdr:row>
      <xdr:rowOff>0</xdr:rowOff>
    </xdr:from>
    <xdr:to>
      <xdr:col>56</xdr:col>
      <xdr:colOff>664028</xdr:colOff>
      <xdr:row>78</xdr:row>
      <xdr:rowOff>435428</xdr:rowOff>
    </xdr:to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 txBox="1"/>
      </xdr:nvSpPr>
      <xdr:spPr bwMode="auto">
        <a:xfrm>
          <a:off x="83915250" y="43910250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55</xdr:col>
      <xdr:colOff>1404937</xdr:colOff>
      <xdr:row>78</xdr:row>
      <xdr:rowOff>381000</xdr:rowOff>
    </xdr:from>
    <xdr:to>
      <xdr:col>56</xdr:col>
      <xdr:colOff>1329233</xdr:colOff>
      <xdr:row>78</xdr:row>
      <xdr:rowOff>816427</xdr:rowOff>
    </xdr:to>
    <xdr:sp macro="" textlink="">
      <xdr:nvSpPr>
        <xdr:cNvPr id="246" name="TextBox 57">
          <a:extLst>
            <a:ext uri="{FF2B5EF4-FFF2-40B4-BE49-F238E27FC236}">
              <a16:creationId xmlns:a16="http://schemas.microsoft.com/office/drawing/2014/main" id="{2ACEC7DE-6212-433E-BE65-34A0F06036D6}"/>
            </a:ext>
          </a:extLst>
        </xdr:cNvPr>
        <xdr:cNvSpPr txBox="1"/>
      </xdr:nvSpPr>
      <xdr:spPr bwMode="auto">
        <a:xfrm>
          <a:off x="83891437" y="44291250"/>
          <a:ext cx="135304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64</xdr:col>
      <xdr:colOff>0</xdr:colOff>
      <xdr:row>80</xdr:row>
      <xdr:rowOff>0</xdr:rowOff>
    </xdr:from>
    <xdr:to>
      <xdr:col>64</xdr:col>
      <xdr:colOff>664028</xdr:colOff>
      <xdr:row>80</xdr:row>
      <xdr:rowOff>435428</xdr:rowOff>
    </xdr:to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 txBox="1"/>
      </xdr:nvSpPr>
      <xdr:spPr bwMode="auto">
        <a:xfrm>
          <a:off x="56769000" y="43910250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63</xdr:col>
      <xdr:colOff>1404937</xdr:colOff>
      <xdr:row>80</xdr:row>
      <xdr:rowOff>381000</xdr:rowOff>
    </xdr:from>
    <xdr:to>
      <xdr:col>64</xdr:col>
      <xdr:colOff>1329233</xdr:colOff>
      <xdr:row>80</xdr:row>
      <xdr:rowOff>816427</xdr:rowOff>
    </xdr:to>
    <xdr:sp macro="" textlink="">
      <xdr:nvSpPr>
        <xdr:cNvPr id="248" name="TextBox 57">
          <a:extLst>
            <a:ext uri="{FF2B5EF4-FFF2-40B4-BE49-F238E27FC236}">
              <a16:creationId xmlns:a16="http://schemas.microsoft.com/office/drawing/2014/main" id="{2ACEC7DE-6212-433E-BE65-34A0F06036D6}"/>
            </a:ext>
          </a:extLst>
        </xdr:cNvPr>
        <xdr:cNvSpPr txBox="1"/>
      </xdr:nvSpPr>
      <xdr:spPr bwMode="auto">
        <a:xfrm>
          <a:off x="56745187" y="44291250"/>
          <a:ext cx="135304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38</xdr:col>
      <xdr:colOff>0</xdr:colOff>
      <xdr:row>68</xdr:row>
      <xdr:rowOff>0</xdr:rowOff>
    </xdr:from>
    <xdr:to>
      <xdr:col>38</xdr:col>
      <xdr:colOff>1292680</xdr:colOff>
      <xdr:row>68</xdr:row>
      <xdr:rowOff>435426</xdr:rowOff>
    </xdr:to>
    <xdr:sp macro="" textlink="">
      <xdr:nvSpPr>
        <xdr:cNvPr id="249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31051500" y="37504688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Аренда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43</xdr:col>
      <xdr:colOff>0</xdr:colOff>
      <xdr:row>78</xdr:row>
      <xdr:rowOff>0</xdr:rowOff>
    </xdr:from>
    <xdr:to>
      <xdr:col>43</xdr:col>
      <xdr:colOff>1292680</xdr:colOff>
      <xdr:row>78</xdr:row>
      <xdr:rowOff>435426</xdr:rowOff>
    </xdr:to>
    <xdr:sp macro="" textlink="">
      <xdr:nvSpPr>
        <xdr:cNvPr id="250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38195250" y="43910250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Аренда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39</xdr:col>
      <xdr:colOff>0</xdr:colOff>
      <xdr:row>70</xdr:row>
      <xdr:rowOff>0</xdr:rowOff>
    </xdr:from>
    <xdr:to>
      <xdr:col>39</xdr:col>
      <xdr:colOff>1292680</xdr:colOff>
      <xdr:row>70</xdr:row>
      <xdr:rowOff>435426</xdr:rowOff>
    </xdr:to>
    <xdr:sp macro="" textlink="">
      <xdr:nvSpPr>
        <xdr:cNvPr id="253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32480250" y="38790563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Аренда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39</xdr:col>
      <xdr:colOff>0</xdr:colOff>
      <xdr:row>72</xdr:row>
      <xdr:rowOff>0</xdr:rowOff>
    </xdr:from>
    <xdr:to>
      <xdr:col>39</xdr:col>
      <xdr:colOff>1292680</xdr:colOff>
      <xdr:row>72</xdr:row>
      <xdr:rowOff>435426</xdr:rowOff>
    </xdr:to>
    <xdr:sp macro="" textlink="">
      <xdr:nvSpPr>
        <xdr:cNvPr id="254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32480250" y="39909750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Аренда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21</xdr:col>
      <xdr:colOff>0</xdr:colOff>
      <xdr:row>80</xdr:row>
      <xdr:rowOff>0</xdr:rowOff>
    </xdr:from>
    <xdr:to>
      <xdr:col>22</xdr:col>
      <xdr:colOff>142875</xdr:colOff>
      <xdr:row>80</xdr:row>
      <xdr:rowOff>738187</xdr:rowOff>
    </xdr:to>
    <xdr:sp macro="" textlink="">
      <xdr:nvSpPr>
        <xdr:cNvPr id="269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43643550" y="48139350"/>
          <a:ext cx="1609725" cy="7381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Договор</a:t>
          </a:r>
          <a:r>
            <a:rPr lang="ru-RU" sz="2000" b="1" baseline="0">
              <a:solidFill>
                <a:srgbClr val="C00000"/>
              </a:solidFill>
            </a:rPr>
            <a:t> о КРТ</a:t>
          </a:r>
        </a:p>
      </xdr:txBody>
    </xdr:sp>
    <xdr:clientData/>
  </xdr:twoCellAnchor>
  <xdr:twoCellAnchor>
    <xdr:from>
      <xdr:col>60</xdr:col>
      <xdr:colOff>0</xdr:colOff>
      <xdr:row>80</xdr:row>
      <xdr:rowOff>0</xdr:rowOff>
    </xdr:from>
    <xdr:to>
      <xdr:col>61</xdr:col>
      <xdr:colOff>142875</xdr:colOff>
      <xdr:row>80</xdr:row>
      <xdr:rowOff>738187</xdr:rowOff>
    </xdr:to>
    <xdr:sp macro="" textlink="">
      <xdr:nvSpPr>
        <xdr:cNvPr id="286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43643550" y="48139350"/>
          <a:ext cx="1609725" cy="7381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Договор</a:t>
          </a:r>
          <a:r>
            <a:rPr lang="ru-RU" sz="2000" b="1" baseline="0">
              <a:solidFill>
                <a:srgbClr val="C00000"/>
              </a:solidFill>
            </a:rPr>
            <a:t> о КРТ</a:t>
          </a:r>
        </a:p>
      </xdr:txBody>
    </xdr:sp>
    <xdr:clientData/>
  </xdr:twoCellAnchor>
  <xdr:twoCellAnchor>
    <xdr:from>
      <xdr:col>73</xdr:col>
      <xdr:colOff>0</xdr:colOff>
      <xdr:row>80</xdr:row>
      <xdr:rowOff>0</xdr:rowOff>
    </xdr:from>
    <xdr:to>
      <xdr:col>74</xdr:col>
      <xdr:colOff>142875</xdr:colOff>
      <xdr:row>80</xdr:row>
      <xdr:rowOff>738187</xdr:rowOff>
    </xdr:to>
    <xdr:sp macro="" textlink="">
      <xdr:nvSpPr>
        <xdr:cNvPr id="291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43643550" y="48139350"/>
          <a:ext cx="1609725" cy="7381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Договор</a:t>
          </a:r>
          <a:r>
            <a:rPr lang="ru-RU" sz="2000" b="1" baseline="0">
              <a:solidFill>
                <a:srgbClr val="C00000"/>
              </a:solidFill>
            </a:rPr>
            <a:t> о КРТ</a:t>
          </a:r>
        </a:p>
      </xdr:txBody>
    </xdr:sp>
    <xdr:clientData/>
  </xdr:twoCellAnchor>
  <xdr:twoCellAnchor>
    <xdr:from>
      <xdr:col>86</xdr:col>
      <xdr:colOff>0</xdr:colOff>
      <xdr:row>80</xdr:row>
      <xdr:rowOff>0</xdr:rowOff>
    </xdr:from>
    <xdr:to>
      <xdr:col>87</xdr:col>
      <xdr:colOff>142875</xdr:colOff>
      <xdr:row>80</xdr:row>
      <xdr:rowOff>738187</xdr:rowOff>
    </xdr:to>
    <xdr:sp macro="" textlink="">
      <xdr:nvSpPr>
        <xdr:cNvPr id="295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43643550" y="48139350"/>
          <a:ext cx="1609725" cy="7381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Договор</a:t>
          </a:r>
          <a:r>
            <a:rPr lang="ru-RU" sz="2000" b="1" baseline="0">
              <a:solidFill>
                <a:srgbClr val="C00000"/>
              </a:solidFill>
            </a:rPr>
            <a:t> о КРТ</a:t>
          </a:r>
        </a:p>
      </xdr:txBody>
    </xdr:sp>
    <xdr:clientData/>
  </xdr:twoCellAnchor>
  <xdr:twoCellAnchor>
    <xdr:from>
      <xdr:col>21</xdr:col>
      <xdr:colOff>0</xdr:colOff>
      <xdr:row>80</xdr:row>
      <xdr:rowOff>0</xdr:rowOff>
    </xdr:from>
    <xdr:to>
      <xdr:col>22</xdr:col>
      <xdr:colOff>142875</xdr:colOff>
      <xdr:row>80</xdr:row>
      <xdr:rowOff>738187</xdr:rowOff>
    </xdr:to>
    <xdr:sp macro="" textlink="">
      <xdr:nvSpPr>
        <xdr:cNvPr id="310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49510950" y="48139350"/>
          <a:ext cx="1609725" cy="7381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Договор</a:t>
          </a:r>
          <a:r>
            <a:rPr lang="ru-RU" sz="2000" b="1" baseline="0">
              <a:solidFill>
                <a:srgbClr val="C00000"/>
              </a:solidFill>
            </a:rPr>
            <a:t> о КРТ</a:t>
          </a:r>
        </a:p>
      </xdr:txBody>
    </xdr:sp>
    <xdr:clientData/>
  </xdr:twoCellAnchor>
  <xdr:twoCellAnchor>
    <xdr:from>
      <xdr:col>11</xdr:col>
      <xdr:colOff>54428</xdr:colOff>
      <xdr:row>8</xdr:row>
      <xdr:rowOff>54428</xdr:rowOff>
    </xdr:from>
    <xdr:to>
      <xdr:col>11</xdr:col>
      <xdr:colOff>718457</xdr:colOff>
      <xdr:row>8</xdr:row>
      <xdr:rowOff>489856</xdr:rowOff>
    </xdr:to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 txBox="1"/>
      </xdr:nvSpPr>
      <xdr:spPr bwMode="auto">
        <a:xfrm>
          <a:off x="11427278" y="3197678"/>
          <a:ext cx="664029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РНВ</a:t>
          </a:r>
          <a:endParaRPr/>
        </a:p>
      </xdr:txBody>
    </xdr:sp>
    <xdr:clientData/>
  </xdr:twoCellAnchor>
  <xdr:twoCellAnchor>
    <xdr:from>
      <xdr:col>34</xdr:col>
      <xdr:colOff>692728</xdr:colOff>
      <xdr:row>29</xdr:row>
      <xdr:rowOff>272761</xdr:rowOff>
    </xdr:from>
    <xdr:to>
      <xdr:col>34</xdr:col>
      <xdr:colOff>1337706</xdr:colOff>
      <xdr:row>30</xdr:row>
      <xdr:rowOff>422438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504FFBCD-2F60-48D2-A201-C42EA6ED15ED}"/>
            </a:ext>
          </a:extLst>
        </xdr:cNvPr>
        <xdr:cNvSpPr txBox="1"/>
      </xdr:nvSpPr>
      <xdr:spPr bwMode="auto">
        <a:xfrm>
          <a:off x="24522546" y="17850716"/>
          <a:ext cx="644978" cy="4267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34</xdr:col>
      <xdr:colOff>0</xdr:colOff>
      <xdr:row>30</xdr:row>
      <xdr:rowOff>381000</xdr:rowOff>
    </xdr:from>
    <xdr:to>
      <xdr:col>34</xdr:col>
      <xdr:colOff>1876921</xdr:colOff>
      <xdr:row>30</xdr:row>
      <xdr:rowOff>816427</xdr:rowOff>
    </xdr:to>
    <xdr:sp macro="" textlink="">
      <xdr:nvSpPr>
        <xdr:cNvPr id="203" name="TextBox 57">
          <a:extLst>
            <a:ext uri="{FF2B5EF4-FFF2-40B4-BE49-F238E27FC236}">
              <a16:creationId xmlns:a16="http://schemas.microsoft.com/office/drawing/2014/main" id="{3EE684BB-63DB-4CC4-985C-8BEAF06D368F}"/>
            </a:ext>
          </a:extLst>
        </xdr:cNvPr>
        <xdr:cNvSpPr txBox="1"/>
      </xdr:nvSpPr>
      <xdr:spPr bwMode="auto">
        <a:xfrm>
          <a:off x="71199375" y="18097500"/>
          <a:ext cx="1876921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33</xdr:col>
      <xdr:colOff>0</xdr:colOff>
      <xdr:row>80</xdr:row>
      <xdr:rowOff>0</xdr:rowOff>
    </xdr:from>
    <xdr:to>
      <xdr:col>33</xdr:col>
      <xdr:colOff>1292680</xdr:colOff>
      <xdr:row>80</xdr:row>
      <xdr:rowOff>435426</xdr:rowOff>
    </xdr:to>
    <xdr:sp macro="" textlink="">
      <xdr:nvSpPr>
        <xdr:cNvPr id="204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46741773" y="50880818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Аренда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40</xdr:col>
      <xdr:colOff>489238</xdr:colOff>
      <xdr:row>76</xdr:row>
      <xdr:rowOff>738187</xdr:rowOff>
    </xdr:to>
    <xdr:sp macro="" textlink="">
      <xdr:nvSpPr>
        <xdr:cNvPr id="221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56301409" y="48231136"/>
          <a:ext cx="2255693" cy="7381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Договор</a:t>
          </a:r>
          <a:r>
            <a:rPr lang="ru-RU" sz="2000" b="1" baseline="0">
              <a:solidFill>
                <a:srgbClr val="C00000"/>
              </a:solidFill>
            </a:rPr>
            <a:t> о КРТ</a:t>
          </a: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40</xdr:col>
      <xdr:colOff>489238</xdr:colOff>
      <xdr:row>78</xdr:row>
      <xdr:rowOff>738187</xdr:rowOff>
    </xdr:to>
    <xdr:sp macro="" textlink="">
      <xdr:nvSpPr>
        <xdr:cNvPr id="222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56301409" y="49581955"/>
          <a:ext cx="2255693" cy="7381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Договор</a:t>
          </a:r>
          <a:r>
            <a:rPr lang="ru-RU" sz="2000" b="1" baseline="0">
              <a:solidFill>
                <a:srgbClr val="C00000"/>
              </a:solidFill>
            </a:rPr>
            <a:t> о КРТ</a:t>
          </a:r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1292680</xdr:colOff>
      <xdr:row>76</xdr:row>
      <xdr:rowOff>435426</xdr:rowOff>
    </xdr:to>
    <xdr:sp macro="" textlink="">
      <xdr:nvSpPr>
        <xdr:cNvPr id="225" name="TextBox 57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 bwMode="auto">
        <a:xfrm>
          <a:off x="63367227" y="48231136"/>
          <a:ext cx="1292680" cy="43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C00000"/>
              </a:solidFill>
            </a:rPr>
            <a:t>Аренда</a:t>
          </a:r>
          <a:endParaRPr>
            <a:solidFill>
              <a:srgbClr val="C00000"/>
            </a:solidFill>
          </a:endParaRPr>
        </a:p>
      </xdr:txBody>
    </xdr:sp>
    <xdr:clientData/>
  </xdr:twoCellAnchor>
  <xdr:twoCellAnchor>
    <xdr:from>
      <xdr:col>62</xdr:col>
      <xdr:colOff>0</xdr:colOff>
      <xdr:row>20</xdr:row>
      <xdr:rowOff>0</xdr:rowOff>
    </xdr:from>
    <xdr:to>
      <xdr:col>63</xdr:col>
      <xdr:colOff>329045</xdr:colOff>
      <xdr:row>20</xdr:row>
      <xdr:rowOff>435427</xdr:rowOff>
    </xdr:to>
    <xdr:sp macro="" textlink="">
      <xdr:nvSpPr>
        <xdr:cNvPr id="255" name="TextBox 53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/>
      </xdr:nvSpPr>
      <xdr:spPr bwMode="auto">
        <a:xfrm>
          <a:off x="76338545" y="9802091"/>
          <a:ext cx="2286000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Проектирование</a:t>
          </a:r>
          <a:endParaRPr/>
        </a:p>
      </xdr:txBody>
    </xdr:sp>
    <xdr:clientData/>
  </xdr:twoCellAnchor>
  <xdr:twoCellAnchor>
    <xdr:from>
      <xdr:col>44</xdr:col>
      <xdr:colOff>1817688</xdr:colOff>
      <xdr:row>16</xdr:row>
      <xdr:rowOff>0</xdr:rowOff>
    </xdr:from>
    <xdr:to>
      <xdr:col>45</xdr:col>
      <xdr:colOff>1948296</xdr:colOff>
      <xdr:row>16</xdr:row>
      <xdr:rowOff>435427</xdr:rowOff>
    </xdr:to>
    <xdr:sp macro="" textlink="">
      <xdr:nvSpPr>
        <xdr:cNvPr id="205" name="TextBox 53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/>
      </xdr:nvSpPr>
      <xdr:spPr bwMode="auto">
        <a:xfrm>
          <a:off x="44577001" y="3198813"/>
          <a:ext cx="2186420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Проектирование</a:t>
          </a:r>
          <a:endParaRPr/>
        </a:p>
      </xdr:txBody>
    </xdr:sp>
    <xdr:clientData/>
  </xdr:twoCellAnchor>
  <xdr:twoCellAnchor>
    <xdr:from>
      <xdr:col>32</xdr:col>
      <xdr:colOff>727364</xdr:colOff>
      <xdr:row>29</xdr:row>
      <xdr:rowOff>225136</xdr:rowOff>
    </xdr:from>
    <xdr:to>
      <xdr:col>33</xdr:col>
      <xdr:colOff>1399717</xdr:colOff>
      <xdr:row>30</xdr:row>
      <xdr:rowOff>383473</xdr:rowOff>
    </xdr:to>
    <xdr:sp macro="" textlink="">
      <xdr:nvSpPr>
        <xdr:cNvPr id="210" name="TextBox 53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/>
      </xdr:nvSpPr>
      <xdr:spPr bwMode="auto">
        <a:xfrm>
          <a:off x="21717000" y="17803091"/>
          <a:ext cx="2092444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Проектированиеё</a:t>
          </a:r>
          <a:endParaRPr/>
        </a:p>
      </xdr:txBody>
    </xdr:sp>
    <xdr:clientData/>
  </xdr:twoCellAnchor>
  <xdr:twoCellAnchor>
    <xdr:from>
      <xdr:col>45</xdr:col>
      <xdr:colOff>23813</xdr:colOff>
      <xdr:row>32</xdr:row>
      <xdr:rowOff>0</xdr:rowOff>
    </xdr:from>
    <xdr:to>
      <xdr:col>45</xdr:col>
      <xdr:colOff>668791</xdr:colOff>
      <xdr:row>32</xdr:row>
      <xdr:rowOff>435427</xdr:rowOff>
    </xdr:to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5EEFCE17-E100-416A-B58C-C95BA87C7218}"/>
            </a:ext>
          </a:extLst>
        </xdr:cNvPr>
        <xdr:cNvSpPr txBox="1"/>
      </xdr:nvSpPr>
      <xdr:spPr bwMode="auto">
        <a:xfrm>
          <a:off x="61815086" y="13958455"/>
          <a:ext cx="644978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45</xdr:col>
      <xdr:colOff>0</xdr:colOff>
      <xdr:row>32</xdr:row>
      <xdr:rowOff>381000</xdr:rowOff>
    </xdr:from>
    <xdr:to>
      <xdr:col>45</xdr:col>
      <xdr:colOff>1353046</xdr:colOff>
      <xdr:row>32</xdr:row>
      <xdr:rowOff>816427</xdr:rowOff>
    </xdr:to>
    <xdr:sp macro="" textlink="">
      <xdr:nvSpPr>
        <xdr:cNvPr id="260" name="TextBox 57">
          <a:extLst>
            <a:ext uri="{FF2B5EF4-FFF2-40B4-BE49-F238E27FC236}">
              <a16:creationId xmlns:a16="http://schemas.microsoft.com/office/drawing/2014/main" id="{4D47BC5A-0247-430F-AC0F-E62B269B40DD}"/>
            </a:ext>
          </a:extLst>
        </xdr:cNvPr>
        <xdr:cNvSpPr txBox="1"/>
      </xdr:nvSpPr>
      <xdr:spPr bwMode="auto">
        <a:xfrm>
          <a:off x="61791273" y="14339455"/>
          <a:ext cx="135304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672353</xdr:colOff>
      <xdr:row>74</xdr:row>
      <xdr:rowOff>435427</xdr:rowOff>
    </xdr:to>
    <xdr:sp macro="" textlink="">
      <xdr:nvSpPr>
        <xdr:cNvPr id="268" name="TextBox 53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/>
      </xdr:nvSpPr>
      <xdr:spPr bwMode="auto">
        <a:xfrm>
          <a:off x="28436455" y="41650227"/>
          <a:ext cx="2438807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Проектирование</a:t>
          </a:r>
          <a:endParaRPr/>
        </a:p>
      </xdr:txBody>
    </xdr:sp>
    <xdr:clientData/>
  </xdr:twoCellAnchor>
  <xdr:twoCellAnchor>
    <xdr:from>
      <xdr:col>40</xdr:col>
      <xdr:colOff>13607</xdr:colOff>
      <xdr:row>73</xdr:row>
      <xdr:rowOff>244929</xdr:rowOff>
    </xdr:from>
    <xdr:to>
      <xdr:col>40</xdr:col>
      <xdr:colOff>677635</xdr:colOff>
      <xdr:row>74</xdr:row>
      <xdr:rowOff>408214</xdr:rowOff>
    </xdr:to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 txBox="1"/>
      </xdr:nvSpPr>
      <xdr:spPr bwMode="auto">
        <a:xfrm>
          <a:off x="33704893" y="41365715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40</xdr:col>
      <xdr:colOff>13608</xdr:colOff>
      <xdr:row>74</xdr:row>
      <xdr:rowOff>462643</xdr:rowOff>
    </xdr:from>
    <xdr:to>
      <xdr:col>40</xdr:col>
      <xdr:colOff>1366654</xdr:colOff>
      <xdr:row>74</xdr:row>
      <xdr:rowOff>898070</xdr:rowOff>
    </xdr:to>
    <xdr:sp macro="" textlink="">
      <xdr:nvSpPr>
        <xdr:cNvPr id="275" name="TextBox 57">
          <a:extLst>
            <a:ext uri="{FF2B5EF4-FFF2-40B4-BE49-F238E27FC236}">
              <a16:creationId xmlns:a16="http://schemas.microsoft.com/office/drawing/2014/main" id="{2ACEC7DE-6212-433E-BE65-34A0F06036D6}"/>
            </a:ext>
          </a:extLst>
        </xdr:cNvPr>
        <xdr:cNvSpPr txBox="1"/>
      </xdr:nvSpPr>
      <xdr:spPr bwMode="auto">
        <a:xfrm>
          <a:off x="33704894" y="41855572"/>
          <a:ext cx="135304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36</xdr:col>
      <xdr:colOff>0</xdr:colOff>
      <xdr:row>82</xdr:row>
      <xdr:rowOff>0</xdr:rowOff>
    </xdr:from>
    <xdr:to>
      <xdr:col>37</xdr:col>
      <xdr:colOff>672353</xdr:colOff>
      <xdr:row>82</xdr:row>
      <xdr:rowOff>435427</xdr:rowOff>
    </xdr:to>
    <xdr:sp macro="" textlink="">
      <xdr:nvSpPr>
        <xdr:cNvPr id="278" name="TextBox 53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/>
      </xdr:nvSpPr>
      <xdr:spPr bwMode="auto">
        <a:xfrm>
          <a:off x="23829818" y="41650227"/>
          <a:ext cx="2092444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Проектирование</a:t>
          </a:r>
          <a:endParaRPr/>
        </a:p>
      </xdr:txBody>
    </xdr:sp>
    <xdr:clientData/>
  </xdr:twoCellAnchor>
  <xdr:twoCellAnchor>
    <xdr:from>
      <xdr:col>47</xdr:col>
      <xdr:colOff>0</xdr:colOff>
      <xdr:row>46</xdr:row>
      <xdr:rowOff>0</xdr:rowOff>
    </xdr:from>
    <xdr:to>
      <xdr:col>48</xdr:col>
      <xdr:colOff>672353</xdr:colOff>
      <xdr:row>46</xdr:row>
      <xdr:rowOff>435427</xdr:rowOff>
    </xdr:to>
    <xdr:sp macro="" textlink="">
      <xdr:nvSpPr>
        <xdr:cNvPr id="279" name="TextBox 53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/>
      </xdr:nvSpPr>
      <xdr:spPr bwMode="auto">
        <a:xfrm>
          <a:off x="23829818" y="16625455"/>
          <a:ext cx="2092444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Проектирование</a:t>
          </a:r>
          <a:endParaRPr/>
        </a:p>
      </xdr:txBody>
    </xdr:sp>
    <xdr:clientData/>
  </xdr:twoCellAnchor>
  <xdr:twoCellAnchor>
    <xdr:from>
      <xdr:col>51</xdr:col>
      <xdr:colOff>1371598</xdr:colOff>
      <xdr:row>46</xdr:row>
      <xdr:rowOff>24106</xdr:rowOff>
    </xdr:from>
    <xdr:to>
      <xdr:col>52</xdr:col>
      <xdr:colOff>1295894</xdr:colOff>
      <xdr:row>46</xdr:row>
      <xdr:rowOff>459533</xdr:rowOff>
    </xdr:to>
    <xdr:sp macro="" textlink="">
      <xdr:nvSpPr>
        <xdr:cNvPr id="280" name="TextBox 57"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SpPr txBox="1"/>
      </xdr:nvSpPr>
      <xdr:spPr bwMode="auto">
        <a:xfrm>
          <a:off x="57292007" y="19247288"/>
          <a:ext cx="1881251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51</xdr:col>
      <xdr:colOff>0</xdr:colOff>
      <xdr:row>46</xdr:row>
      <xdr:rowOff>0</xdr:rowOff>
    </xdr:from>
    <xdr:to>
      <xdr:col>51</xdr:col>
      <xdr:colOff>664028</xdr:colOff>
      <xdr:row>46</xdr:row>
      <xdr:rowOff>435428</xdr:rowOff>
    </xdr:to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SpPr txBox="1"/>
      </xdr:nvSpPr>
      <xdr:spPr bwMode="auto">
        <a:xfrm>
          <a:off x="55920409" y="19223182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51</xdr:col>
      <xdr:colOff>689016</xdr:colOff>
      <xdr:row>46</xdr:row>
      <xdr:rowOff>247</xdr:rowOff>
    </xdr:from>
    <xdr:to>
      <xdr:col>51</xdr:col>
      <xdr:colOff>1333994</xdr:colOff>
      <xdr:row>46</xdr:row>
      <xdr:rowOff>435674</xdr:rowOff>
    </xdr:to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SpPr txBox="1"/>
      </xdr:nvSpPr>
      <xdr:spPr bwMode="auto">
        <a:xfrm>
          <a:off x="56609425" y="19223429"/>
          <a:ext cx="644978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38</xdr:col>
      <xdr:colOff>13854</xdr:colOff>
      <xdr:row>66</xdr:row>
      <xdr:rowOff>457200</xdr:rowOff>
    </xdr:from>
    <xdr:to>
      <xdr:col>39</xdr:col>
      <xdr:colOff>686208</xdr:colOff>
      <xdr:row>66</xdr:row>
      <xdr:rowOff>892627</xdr:rowOff>
    </xdr:to>
    <xdr:sp macro="" textlink="">
      <xdr:nvSpPr>
        <xdr:cNvPr id="270" name="TextBox 53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/>
      </xdr:nvSpPr>
      <xdr:spPr bwMode="auto">
        <a:xfrm>
          <a:off x="31172727" y="7495309"/>
          <a:ext cx="2487299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Проектирование</a:t>
          </a:r>
          <a:endParaRPr/>
        </a:p>
      </xdr:txBody>
    </xdr:sp>
    <xdr:clientData/>
  </xdr:twoCellAnchor>
  <xdr:twoCellAnchor>
    <xdr:from>
      <xdr:col>34</xdr:col>
      <xdr:colOff>17319</xdr:colOff>
      <xdr:row>29</xdr:row>
      <xdr:rowOff>225136</xdr:rowOff>
    </xdr:from>
    <xdr:to>
      <xdr:col>34</xdr:col>
      <xdr:colOff>681347</xdr:colOff>
      <xdr:row>30</xdr:row>
      <xdr:rowOff>383474</xdr:rowOff>
    </xdr:to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 txBox="1"/>
      </xdr:nvSpPr>
      <xdr:spPr bwMode="auto">
        <a:xfrm>
          <a:off x="23847137" y="17803091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40</xdr:col>
      <xdr:colOff>34637</xdr:colOff>
      <xdr:row>66</xdr:row>
      <xdr:rowOff>0</xdr:rowOff>
    </xdr:from>
    <xdr:to>
      <xdr:col>40</xdr:col>
      <xdr:colOff>698665</xdr:colOff>
      <xdr:row>66</xdr:row>
      <xdr:rowOff>435428</xdr:rowOff>
    </xdr:to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 txBox="1"/>
      </xdr:nvSpPr>
      <xdr:spPr bwMode="auto">
        <a:xfrm>
          <a:off x="33770455" y="41840727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40</xdr:col>
      <xdr:colOff>17318</xdr:colOff>
      <xdr:row>66</xdr:row>
      <xdr:rowOff>467591</xdr:rowOff>
    </xdr:from>
    <xdr:to>
      <xdr:col>40</xdr:col>
      <xdr:colOff>1000000</xdr:colOff>
      <xdr:row>66</xdr:row>
      <xdr:rowOff>903018</xdr:rowOff>
    </xdr:to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 txBox="1"/>
      </xdr:nvSpPr>
      <xdr:spPr bwMode="auto">
        <a:xfrm>
          <a:off x="33753136" y="42308318"/>
          <a:ext cx="982682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83</xdr:col>
      <xdr:colOff>658091</xdr:colOff>
      <xdr:row>70</xdr:row>
      <xdr:rowOff>0</xdr:rowOff>
    </xdr:from>
    <xdr:to>
      <xdr:col>83</xdr:col>
      <xdr:colOff>1303069</xdr:colOff>
      <xdr:row>70</xdr:row>
      <xdr:rowOff>435427</xdr:rowOff>
    </xdr:to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1544F01B-1937-4666-97B8-E4C721997B9A}"/>
            </a:ext>
          </a:extLst>
        </xdr:cNvPr>
        <xdr:cNvSpPr txBox="1"/>
      </xdr:nvSpPr>
      <xdr:spPr bwMode="auto">
        <a:xfrm>
          <a:off x="114074864" y="44438455"/>
          <a:ext cx="644978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40</xdr:col>
      <xdr:colOff>723652</xdr:colOff>
      <xdr:row>73</xdr:row>
      <xdr:rowOff>262248</xdr:rowOff>
    </xdr:from>
    <xdr:to>
      <xdr:col>40</xdr:col>
      <xdr:colOff>1706334</xdr:colOff>
      <xdr:row>74</xdr:row>
      <xdr:rowOff>425532</xdr:rowOff>
    </xdr:to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 txBox="1"/>
      </xdr:nvSpPr>
      <xdr:spPr bwMode="auto">
        <a:xfrm>
          <a:off x="34414938" y="41383034"/>
          <a:ext cx="982682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51</xdr:col>
      <xdr:colOff>623454</xdr:colOff>
      <xdr:row>76</xdr:row>
      <xdr:rowOff>17318</xdr:rowOff>
    </xdr:from>
    <xdr:to>
      <xdr:col>51</xdr:col>
      <xdr:colOff>1606136</xdr:colOff>
      <xdr:row>76</xdr:row>
      <xdr:rowOff>452745</xdr:rowOff>
    </xdr:to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 txBox="1"/>
      </xdr:nvSpPr>
      <xdr:spPr bwMode="auto">
        <a:xfrm>
          <a:off x="54586909" y="48248454"/>
          <a:ext cx="982682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56</xdr:col>
      <xdr:colOff>675409</xdr:colOff>
      <xdr:row>78</xdr:row>
      <xdr:rowOff>0</xdr:rowOff>
    </xdr:from>
    <xdr:to>
      <xdr:col>56</xdr:col>
      <xdr:colOff>1658091</xdr:colOff>
      <xdr:row>78</xdr:row>
      <xdr:rowOff>435427</xdr:rowOff>
    </xdr:to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 txBox="1"/>
      </xdr:nvSpPr>
      <xdr:spPr bwMode="auto">
        <a:xfrm>
          <a:off x="64423636" y="49581955"/>
          <a:ext cx="982682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64</xdr:col>
      <xdr:colOff>675409</xdr:colOff>
      <xdr:row>79</xdr:row>
      <xdr:rowOff>225136</xdr:rowOff>
    </xdr:from>
    <xdr:to>
      <xdr:col>64</xdr:col>
      <xdr:colOff>1658091</xdr:colOff>
      <xdr:row>80</xdr:row>
      <xdr:rowOff>418109</xdr:rowOff>
    </xdr:to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 txBox="1"/>
      </xdr:nvSpPr>
      <xdr:spPr bwMode="auto">
        <a:xfrm>
          <a:off x="79542409" y="50863500"/>
          <a:ext cx="982682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57</xdr:col>
      <xdr:colOff>-1</xdr:colOff>
      <xdr:row>42</xdr:row>
      <xdr:rowOff>0</xdr:rowOff>
    </xdr:from>
    <xdr:to>
      <xdr:col>57</xdr:col>
      <xdr:colOff>664027</xdr:colOff>
      <xdr:row>42</xdr:row>
      <xdr:rowOff>435428</xdr:rowOff>
    </xdr:to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SpPr txBox="1"/>
      </xdr:nvSpPr>
      <xdr:spPr bwMode="auto">
        <a:xfrm>
          <a:off x="65705181" y="25752136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51</xdr:col>
      <xdr:colOff>869374</xdr:colOff>
      <xdr:row>16</xdr:row>
      <xdr:rowOff>23092</xdr:rowOff>
    </xdr:from>
    <xdr:to>
      <xdr:col>52</xdr:col>
      <xdr:colOff>731073</xdr:colOff>
      <xdr:row>16</xdr:row>
      <xdr:rowOff>458519</xdr:rowOff>
    </xdr:to>
    <xdr:sp macro="" textlink="">
      <xdr:nvSpPr>
        <xdr:cNvPr id="242" name="TextBox 53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/>
      </xdr:nvSpPr>
      <xdr:spPr bwMode="auto">
        <a:xfrm>
          <a:off x="57447874" y="3221905"/>
          <a:ext cx="1917512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51</xdr:col>
      <xdr:colOff>0</xdr:colOff>
      <xdr:row>16</xdr:row>
      <xdr:rowOff>0</xdr:rowOff>
    </xdr:from>
    <xdr:to>
      <xdr:col>51</xdr:col>
      <xdr:colOff>852064</xdr:colOff>
      <xdr:row>16</xdr:row>
      <xdr:rowOff>473365</xdr:rowOff>
    </xdr:to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 txBox="1"/>
      </xdr:nvSpPr>
      <xdr:spPr bwMode="auto">
        <a:xfrm>
          <a:off x="56578500" y="3198813"/>
          <a:ext cx="852064" cy="4733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55</xdr:col>
      <xdr:colOff>640773</xdr:colOff>
      <xdr:row>18</xdr:row>
      <xdr:rowOff>17318</xdr:rowOff>
    </xdr:from>
    <xdr:to>
      <xdr:col>56</xdr:col>
      <xdr:colOff>502473</xdr:colOff>
      <xdr:row>18</xdr:row>
      <xdr:rowOff>452745</xdr:rowOff>
    </xdr:to>
    <xdr:sp macro="" textlink="">
      <xdr:nvSpPr>
        <xdr:cNvPr id="282" name="TextBox 53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/>
      </xdr:nvSpPr>
      <xdr:spPr bwMode="auto">
        <a:xfrm>
          <a:off x="65442523" y="4581381"/>
          <a:ext cx="1917513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55</xdr:col>
      <xdr:colOff>0</xdr:colOff>
      <xdr:row>18</xdr:row>
      <xdr:rowOff>0</xdr:rowOff>
    </xdr:from>
    <xdr:to>
      <xdr:col>55</xdr:col>
      <xdr:colOff>664029</xdr:colOff>
      <xdr:row>18</xdr:row>
      <xdr:rowOff>435428</xdr:rowOff>
    </xdr:to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 txBox="1"/>
      </xdr:nvSpPr>
      <xdr:spPr bwMode="auto">
        <a:xfrm>
          <a:off x="64801750" y="4564063"/>
          <a:ext cx="664029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53</xdr:col>
      <xdr:colOff>0</xdr:colOff>
      <xdr:row>18</xdr:row>
      <xdr:rowOff>0</xdr:rowOff>
    </xdr:from>
    <xdr:to>
      <xdr:col>54</xdr:col>
      <xdr:colOff>130607</xdr:colOff>
      <xdr:row>18</xdr:row>
      <xdr:rowOff>435427</xdr:rowOff>
    </xdr:to>
    <xdr:sp macro="" textlink="">
      <xdr:nvSpPr>
        <xdr:cNvPr id="302" name="TextBox 53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/>
      </xdr:nvSpPr>
      <xdr:spPr bwMode="auto">
        <a:xfrm>
          <a:off x="60690125" y="4564063"/>
          <a:ext cx="2186420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Проектирование</a:t>
          </a:r>
          <a:endParaRPr/>
        </a:p>
      </xdr:txBody>
    </xdr:sp>
    <xdr:clientData/>
  </xdr:twoCellAnchor>
  <xdr:twoCellAnchor>
    <xdr:from>
      <xdr:col>41</xdr:col>
      <xdr:colOff>0</xdr:colOff>
      <xdr:row>36</xdr:row>
      <xdr:rowOff>18040</xdr:rowOff>
    </xdr:from>
    <xdr:to>
      <xdr:col>41</xdr:col>
      <xdr:colOff>664028</xdr:colOff>
      <xdr:row>36</xdr:row>
      <xdr:rowOff>453468</xdr:rowOff>
    </xdr:to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 txBox="1"/>
      </xdr:nvSpPr>
      <xdr:spPr bwMode="auto">
        <a:xfrm>
          <a:off x="37187188" y="16583603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41</xdr:col>
      <xdr:colOff>692728</xdr:colOff>
      <xdr:row>36</xdr:row>
      <xdr:rowOff>0</xdr:rowOff>
    </xdr:from>
    <xdr:to>
      <xdr:col>41</xdr:col>
      <xdr:colOff>1329047</xdr:colOff>
      <xdr:row>36</xdr:row>
      <xdr:rowOff>436149</xdr:rowOff>
    </xdr:to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SpPr txBox="1"/>
      </xdr:nvSpPr>
      <xdr:spPr bwMode="auto">
        <a:xfrm>
          <a:off x="37879916" y="16565563"/>
          <a:ext cx="636319" cy="436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41</xdr:col>
      <xdr:colOff>1350819</xdr:colOff>
      <xdr:row>36</xdr:row>
      <xdr:rowOff>18040</xdr:rowOff>
    </xdr:from>
    <xdr:to>
      <xdr:col>42</xdr:col>
      <xdr:colOff>937410</xdr:colOff>
      <xdr:row>36</xdr:row>
      <xdr:rowOff>453467</xdr:rowOff>
    </xdr:to>
    <xdr:sp macro="" textlink="">
      <xdr:nvSpPr>
        <xdr:cNvPr id="311" name="TextBox 57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SpPr txBox="1"/>
      </xdr:nvSpPr>
      <xdr:spPr bwMode="auto">
        <a:xfrm>
          <a:off x="38538007" y="16583603"/>
          <a:ext cx="144396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36</xdr:col>
      <xdr:colOff>0</xdr:colOff>
      <xdr:row>36</xdr:row>
      <xdr:rowOff>0</xdr:rowOff>
    </xdr:from>
    <xdr:to>
      <xdr:col>37</xdr:col>
      <xdr:colOff>299290</xdr:colOff>
      <xdr:row>36</xdr:row>
      <xdr:rowOff>435427</xdr:rowOff>
    </xdr:to>
    <xdr:sp macro="" textlink="">
      <xdr:nvSpPr>
        <xdr:cNvPr id="312" name="TextBox 53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/>
      </xdr:nvSpPr>
      <xdr:spPr bwMode="auto">
        <a:xfrm>
          <a:off x="27900313" y="16565563"/>
          <a:ext cx="2156665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Проектирование</a:t>
          </a:r>
          <a:endParaRPr/>
        </a:p>
      </xdr:txBody>
    </xdr:sp>
    <xdr:clientData/>
  </xdr:twoCellAnchor>
  <xdr:twoCellAnchor>
    <xdr:from>
      <xdr:col>66</xdr:col>
      <xdr:colOff>0</xdr:colOff>
      <xdr:row>48</xdr:row>
      <xdr:rowOff>17317</xdr:rowOff>
    </xdr:from>
    <xdr:to>
      <xdr:col>66</xdr:col>
      <xdr:colOff>664028</xdr:colOff>
      <xdr:row>48</xdr:row>
      <xdr:rowOff>452745</xdr:rowOff>
    </xdr:to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SpPr txBox="1"/>
      </xdr:nvSpPr>
      <xdr:spPr bwMode="auto">
        <a:xfrm>
          <a:off x="86844188" y="24504505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66</xdr:col>
      <xdr:colOff>699223</xdr:colOff>
      <xdr:row>48</xdr:row>
      <xdr:rowOff>17318</xdr:rowOff>
    </xdr:from>
    <xdr:to>
      <xdr:col>66</xdr:col>
      <xdr:colOff>1344201</xdr:colOff>
      <xdr:row>48</xdr:row>
      <xdr:rowOff>452745</xdr:rowOff>
    </xdr:to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BF829089-A830-4E55-B237-E5B030DE10C9}"/>
            </a:ext>
          </a:extLst>
        </xdr:cNvPr>
        <xdr:cNvSpPr txBox="1"/>
      </xdr:nvSpPr>
      <xdr:spPr bwMode="auto">
        <a:xfrm>
          <a:off x="87543411" y="24504506"/>
          <a:ext cx="644978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66</xdr:col>
      <xdr:colOff>1385455</xdr:colOff>
      <xdr:row>48</xdr:row>
      <xdr:rowOff>0</xdr:rowOff>
    </xdr:from>
    <xdr:to>
      <xdr:col>67</xdr:col>
      <xdr:colOff>781547</xdr:colOff>
      <xdr:row>48</xdr:row>
      <xdr:rowOff>435427</xdr:rowOff>
    </xdr:to>
    <xdr:sp macro="" textlink="">
      <xdr:nvSpPr>
        <xdr:cNvPr id="320" name="TextBox 57">
          <a:extLst>
            <a:ext uri="{FF2B5EF4-FFF2-40B4-BE49-F238E27FC236}">
              <a16:creationId xmlns:a16="http://schemas.microsoft.com/office/drawing/2014/main" id="{4F4118FA-5807-485D-99C5-9D86C9C4E155}"/>
            </a:ext>
          </a:extLst>
        </xdr:cNvPr>
        <xdr:cNvSpPr txBox="1"/>
      </xdr:nvSpPr>
      <xdr:spPr bwMode="auto">
        <a:xfrm>
          <a:off x="88229643" y="24487188"/>
          <a:ext cx="1451904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62</xdr:col>
      <xdr:colOff>0</xdr:colOff>
      <xdr:row>48</xdr:row>
      <xdr:rowOff>0</xdr:rowOff>
    </xdr:from>
    <xdr:to>
      <xdr:col>63</xdr:col>
      <xdr:colOff>672354</xdr:colOff>
      <xdr:row>48</xdr:row>
      <xdr:rowOff>435427</xdr:rowOff>
    </xdr:to>
    <xdr:sp macro="" textlink="">
      <xdr:nvSpPr>
        <xdr:cNvPr id="323" name="TextBox 53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/>
      </xdr:nvSpPr>
      <xdr:spPr bwMode="auto">
        <a:xfrm>
          <a:off x="78620938" y="24487188"/>
          <a:ext cx="272816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Проектирование</a:t>
          </a:r>
          <a:endParaRPr/>
        </a:p>
      </xdr:txBody>
    </xdr:sp>
    <xdr:clientData/>
  </xdr:twoCellAnchor>
  <xdr:twoCellAnchor>
    <xdr:from>
      <xdr:col>79</xdr:col>
      <xdr:colOff>681903</xdr:colOff>
      <xdr:row>50</xdr:row>
      <xdr:rowOff>0</xdr:rowOff>
    </xdr:from>
    <xdr:to>
      <xdr:col>79</xdr:col>
      <xdr:colOff>1326881</xdr:colOff>
      <xdr:row>50</xdr:row>
      <xdr:rowOff>433262</xdr:rowOff>
    </xdr:to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8E897C38-3C9D-4A27-A8FB-0351D03A6995}"/>
            </a:ext>
          </a:extLst>
        </xdr:cNvPr>
        <xdr:cNvSpPr txBox="1"/>
      </xdr:nvSpPr>
      <xdr:spPr bwMode="auto">
        <a:xfrm>
          <a:off x="112291091" y="25844500"/>
          <a:ext cx="644978" cy="4332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79</xdr:col>
      <xdr:colOff>1350818</xdr:colOff>
      <xdr:row>50</xdr:row>
      <xdr:rowOff>0</xdr:rowOff>
    </xdr:from>
    <xdr:to>
      <xdr:col>80</xdr:col>
      <xdr:colOff>937409</xdr:colOff>
      <xdr:row>50</xdr:row>
      <xdr:rowOff>433262</xdr:rowOff>
    </xdr:to>
    <xdr:sp macro="" textlink="">
      <xdr:nvSpPr>
        <xdr:cNvPr id="325" name="TextBox 57">
          <a:extLst>
            <a:ext uri="{FF2B5EF4-FFF2-40B4-BE49-F238E27FC236}">
              <a16:creationId xmlns:a16="http://schemas.microsoft.com/office/drawing/2014/main" id="{F0408D34-6C1B-40A2-902D-0BE5E173906F}"/>
            </a:ext>
          </a:extLst>
        </xdr:cNvPr>
        <xdr:cNvSpPr txBox="1"/>
      </xdr:nvSpPr>
      <xdr:spPr bwMode="auto">
        <a:xfrm>
          <a:off x="112960006" y="25844500"/>
          <a:ext cx="1443966" cy="4332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79</xdr:col>
      <xdr:colOff>0</xdr:colOff>
      <xdr:row>50</xdr:row>
      <xdr:rowOff>0</xdr:rowOff>
    </xdr:from>
    <xdr:to>
      <xdr:col>79</xdr:col>
      <xdr:colOff>664028</xdr:colOff>
      <xdr:row>50</xdr:row>
      <xdr:rowOff>433263</xdr:rowOff>
    </xdr:to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SpPr txBox="1"/>
      </xdr:nvSpPr>
      <xdr:spPr bwMode="auto">
        <a:xfrm>
          <a:off x="111609188" y="25844500"/>
          <a:ext cx="664028" cy="4332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75</xdr:col>
      <xdr:colOff>0</xdr:colOff>
      <xdr:row>50</xdr:row>
      <xdr:rowOff>0</xdr:rowOff>
    </xdr:from>
    <xdr:to>
      <xdr:col>76</xdr:col>
      <xdr:colOff>870791</xdr:colOff>
      <xdr:row>50</xdr:row>
      <xdr:rowOff>435427</xdr:rowOff>
    </xdr:to>
    <xdr:sp macro="" textlink="">
      <xdr:nvSpPr>
        <xdr:cNvPr id="328" name="TextBox 53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/>
      </xdr:nvSpPr>
      <xdr:spPr bwMode="auto">
        <a:xfrm>
          <a:off x="104179688" y="25844500"/>
          <a:ext cx="2728166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Проектирование</a:t>
          </a:r>
          <a:endParaRPr/>
        </a:p>
      </xdr:txBody>
    </xdr:sp>
    <xdr:clientData/>
  </xdr:twoCellAnchor>
  <xdr:twoCellAnchor>
    <xdr:from>
      <xdr:col>54</xdr:col>
      <xdr:colOff>0</xdr:colOff>
      <xdr:row>68</xdr:row>
      <xdr:rowOff>0</xdr:rowOff>
    </xdr:from>
    <xdr:to>
      <xdr:col>55</xdr:col>
      <xdr:colOff>672353</xdr:colOff>
      <xdr:row>68</xdr:row>
      <xdr:rowOff>435427</xdr:rowOff>
    </xdr:to>
    <xdr:sp macro="" textlink="">
      <xdr:nvSpPr>
        <xdr:cNvPr id="329" name="TextBox 53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/>
      </xdr:nvSpPr>
      <xdr:spPr bwMode="auto">
        <a:xfrm>
          <a:off x="66857563" y="37806313"/>
          <a:ext cx="2728165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Проектирование</a:t>
          </a:r>
          <a:endParaRPr/>
        </a:p>
      </xdr:txBody>
    </xdr:sp>
    <xdr:clientData/>
  </xdr:twoCellAnchor>
  <xdr:twoCellAnchor>
    <xdr:from>
      <xdr:col>57</xdr:col>
      <xdr:colOff>598920</xdr:colOff>
      <xdr:row>68</xdr:row>
      <xdr:rowOff>0</xdr:rowOff>
    </xdr:from>
    <xdr:to>
      <xdr:col>57</xdr:col>
      <xdr:colOff>1262948</xdr:colOff>
      <xdr:row>68</xdr:row>
      <xdr:rowOff>435428</xdr:rowOff>
    </xdr:to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 txBox="1"/>
      </xdr:nvSpPr>
      <xdr:spPr bwMode="auto">
        <a:xfrm>
          <a:off x="69512295" y="37806313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57</xdr:col>
      <xdr:colOff>0</xdr:colOff>
      <xdr:row>68</xdr:row>
      <xdr:rowOff>432954</xdr:rowOff>
    </xdr:from>
    <xdr:to>
      <xdr:col>57</xdr:col>
      <xdr:colOff>1980108</xdr:colOff>
      <xdr:row>68</xdr:row>
      <xdr:rowOff>868381</xdr:rowOff>
    </xdr:to>
    <xdr:sp macro="" textlink="">
      <xdr:nvSpPr>
        <xdr:cNvPr id="331" name="TextBox 57">
          <a:extLst>
            <a:ext uri="{FF2B5EF4-FFF2-40B4-BE49-F238E27FC236}">
              <a16:creationId xmlns:a16="http://schemas.microsoft.com/office/drawing/2014/main" id="{2ACEC7DE-6212-433E-BE65-34A0F06036D6}"/>
            </a:ext>
          </a:extLst>
        </xdr:cNvPr>
        <xdr:cNvSpPr txBox="1"/>
      </xdr:nvSpPr>
      <xdr:spPr bwMode="auto">
        <a:xfrm>
          <a:off x="68913375" y="38239267"/>
          <a:ext cx="1980108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57</xdr:col>
      <xdr:colOff>1274329</xdr:colOff>
      <xdr:row>68</xdr:row>
      <xdr:rowOff>0</xdr:rowOff>
    </xdr:from>
    <xdr:to>
      <xdr:col>57</xdr:col>
      <xdr:colOff>1919307</xdr:colOff>
      <xdr:row>68</xdr:row>
      <xdr:rowOff>435427</xdr:rowOff>
    </xdr:to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1544F01B-1937-4666-97B8-E4C721997B9A}"/>
            </a:ext>
          </a:extLst>
        </xdr:cNvPr>
        <xdr:cNvSpPr txBox="1"/>
      </xdr:nvSpPr>
      <xdr:spPr bwMode="auto">
        <a:xfrm>
          <a:off x="70187704" y="37806313"/>
          <a:ext cx="644978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78</xdr:col>
      <xdr:colOff>0</xdr:colOff>
      <xdr:row>70</xdr:row>
      <xdr:rowOff>0</xdr:rowOff>
    </xdr:from>
    <xdr:to>
      <xdr:col>79</xdr:col>
      <xdr:colOff>672353</xdr:colOff>
      <xdr:row>70</xdr:row>
      <xdr:rowOff>435427</xdr:rowOff>
    </xdr:to>
    <xdr:sp macro="" textlink="">
      <xdr:nvSpPr>
        <xdr:cNvPr id="333" name="TextBox 53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/>
      </xdr:nvSpPr>
      <xdr:spPr bwMode="auto">
        <a:xfrm>
          <a:off x="109751813" y="39108063"/>
          <a:ext cx="2529728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Проектирование</a:t>
          </a:r>
          <a:endParaRPr/>
        </a:p>
      </xdr:txBody>
    </xdr:sp>
    <xdr:clientData/>
  </xdr:twoCellAnchor>
  <xdr:twoCellAnchor>
    <xdr:from>
      <xdr:col>41</xdr:col>
      <xdr:colOff>928687</xdr:colOff>
      <xdr:row>82</xdr:row>
      <xdr:rowOff>35789</xdr:rowOff>
    </xdr:from>
    <xdr:to>
      <xdr:col>42</xdr:col>
      <xdr:colOff>466788</xdr:colOff>
      <xdr:row>82</xdr:row>
      <xdr:rowOff>455341</xdr:rowOff>
    </xdr:to>
    <xdr:sp macro="" textlink="">
      <xdr:nvSpPr>
        <xdr:cNvPr id="338" name="TextBox 57">
          <a:extLst>
            <a:ext uri="{FF2B5EF4-FFF2-40B4-BE49-F238E27FC236}">
              <a16:creationId xmlns:a16="http://schemas.microsoft.com/office/drawing/2014/main" id="{2ACEC7DE-6212-433E-BE65-34A0F06036D6}"/>
            </a:ext>
          </a:extLst>
        </xdr:cNvPr>
        <xdr:cNvSpPr txBox="1"/>
      </xdr:nvSpPr>
      <xdr:spPr bwMode="auto">
        <a:xfrm>
          <a:off x="36504562" y="46493977"/>
          <a:ext cx="1300226" cy="4195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  <xdr:twoCellAnchor>
    <xdr:from>
      <xdr:col>41</xdr:col>
      <xdr:colOff>78076</xdr:colOff>
      <xdr:row>82</xdr:row>
      <xdr:rowOff>28863</xdr:rowOff>
    </xdr:from>
    <xdr:to>
      <xdr:col>41</xdr:col>
      <xdr:colOff>742104</xdr:colOff>
      <xdr:row>82</xdr:row>
      <xdr:rowOff>464291</xdr:rowOff>
    </xdr:to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 txBox="1"/>
      </xdr:nvSpPr>
      <xdr:spPr bwMode="auto">
        <a:xfrm>
          <a:off x="37265264" y="46725176"/>
          <a:ext cx="664028" cy="435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РНС</a:t>
          </a:r>
          <a:endParaRPr/>
        </a:p>
      </xdr:txBody>
    </xdr:sp>
    <xdr:clientData/>
  </xdr:twoCellAnchor>
  <xdr:twoCellAnchor>
    <xdr:from>
      <xdr:col>41</xdr:col>
      <xdr:colOff>62922</xdr:colOff>
      <xdr:row>82</xdr:row>
      <xdr:rowOff>452438</xdr:rowOff>
    </xdr:from>
    <xdr:to>
      <xdr:col>41</xdr:col>
      <xdr:colOff>1045604</xdr:colOff>
      <xdr:row>82</xdr:row>
      <xdr:rowOff>899410</xdr:rowOff>
    </xdr:to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 txBox="1"/>
      </xdr:nvSpPr>
      <xdr:spPr bwMode="auto">
        <a:xfrm>
          <a:off x="35638797" y="46910626"/>
          <a:ext cx="982682" cy="4469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57</xdr:col>
      <xdr:colOff>547688</xdr:colOff>
      <xdr:row>60</xdr:row>
      <xdr:rowOff>0</xdr:rowOff>
    </xdr:from>
    <xdr:to>
      <xdr:col>57</xdr:col>
      <xdr:colOff>1192666</xdr:colOff>
      <xdr:row>60</xdr:row>
      <xdr:rowOff>435427</xdr:rowOff>
    </xdr:to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43C40C08-7864-4A8C-B14B-315FD0B051E8}"/>
            </a:ext>
          </a:extLst>
        </xdr:cNvPr>
        <xdr:cNvSpPr txBox="1"/>
      </xdr:nvSpPr>
      <xdr:spPr bwMode="auto">
        <a:xfrm>
          <a:off x="68222813" y="32361188"/>
          <a:ext cx="644978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rgbClr val="00B050"/>
              </a:solidFill>
            </a:rPr>
            <a:t>ПФ</a:t>
          </a:r>
          <a:endParaRPr/>
        </a:p>
      </xdr:txBody>
    </xdr:sp>
    <xdr:clientData/>
  </xdr:twoCellAnchor>
  <xdr:twoCellAnchor>
    <xdr:from>
      <xdr:col>57</xdr:col>
      <xdr:colOff>0</xdr:colOff>
      <xdr:row>60</xdr:row>
      <xdr:rowOff>381000</xdr:rowOff>
    </xdr:from>
    <xdr:to>
      <xdr:col>57</xdr:col>
      <xdr:colOff>1876921</xdr:colOff>
      <xdr:row>60</xdr:row>
      <xdr:rowOff>816427</xdr:rowOff>
    </xdr:to>
    <xdr:sp macro="" textlink="">
      <xdr:nvSpPr>
        <xdr:cNvPr id="226" name="TextBox 57">
          <a:extLst>
            <a:ext uri="{FF2B5EF4-FFF2-40B4-BE49-F238E27FC236}">
              <a16:creationId xmlns:a16="http://schemas.microsoft.com/office/drawing/2014/main" id="{084BD447-561D-4EF4-80B3-6B0D7910FFEA}"/>
            </a:ext>
          </a:extLst>
        </xdr:cNvPr>
        <xdr:cNvSpPr txBox="1"/>
      </xdr:nvSpPr>
      <xdr:spPr bwMode="auto">
        <a:xfrm>
          <a:off x="67675125" y="32742188"/>
          <a:ext cx="1876921" cy="435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ru-RU" sz="2000" b="1">
              <a:solidFill>
                <a:sysClr val="windowText" lastClr="000000"/>
              </a:solidFill>
            </a:rPr>
            <a:t>Стр-во</a:t>
          </a:r>
          <a:endParaRPr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08020B35-85EC-DF41-C695-E69D09EA730D}"/>
  <person displayName="Попова Мария" id="{6CD976A7-1101-901B-BF64-5F140E048376}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6" personId="{08020B35-85EC-DF41-C695-E69D09EA730D}" id="{00A800FA-00F2-4767-AC0B-00A00016005B}" done="0">
    <text xml:space="preserve">НКЛ БП1
</text>
  </threadedComment>
  <threadedComment ref="A17" personId="{08020B35-85EC-DF41-C695-E69D09EA730D}" id="{00BE009C-00DE-4012-A59A-00D3003000C5}" done="0">
    <text xml:space="preserve">68 т.р/м2
</text>
  </threadedComment>
  <threadedComment ref="J18" personId="{08020B35-85EC-DF41-C695-E69D09EA730D}" id="{00EE0083-003E-4B18-A237-00A70055001D}" done="0">
    <text xml:space="preserve">ЗУ 15000
</text>
  </threadedComment>
  <threadedComment ref="I19" personId="{08020B35-85EC-DF41-C695-E69D09EA730D}" id="{001400EC-0058-4BB9-98A4-00860022006C}" done="0">
    <text xml:space="preserve">ЗУ
</text>
  </threadedComment>
  <threadedComment ref="A20" personId="{08020B35-85EC-DF41-C695-E69D09EA730D}" id="{0044007E-009E-447F-9DB5-00A4008C006E}" done="0">
    <text xml:space="preserve">Возможно поменять местами. НО!!! Есть ЗУ, есть проект
</text>
  </threadedComment>
  <threadedComment ref="AH20" personId="{08020B35-85EC-DF41-C695-E69D09EA730D}" id="{004C009E-00E4-4E2F-AB68-0048005100CE}" done="0">
    <text xml:space="preserve">вместе с П1 это 92 млн в месяц!!!!
</text>
  </threadedComment>
  <threadedComment ref="AP23" personId="{08020B35-85EC-DF41-C695-E69D09EA730D}" id="{00F00040-0026-4484-B3BF-00A300450039}" done="0">
    <text xml:space="preserve">вместе с Богучар 1 это 64 млн в месяц!!
</text>
  </threadedComment>
  <threadedComment ref="K5" personId="{08020B35-85EC-DF41-C695-E69D09EA730D}" id="{008C0016-00EF-461E-A650-000300C60048}" done="0">
    <text xml:space="preserve">63,64,70
</text>
  </threadedComment>
  <threadedComment ref="L5" personId="{08020B35-85EC-DF41-C695-E69D09EA730D}" id="{0026003F-00E0-4658-A17E-006200BA007C}" done="0">
    <text xml:space="preserve">44,49,53,56,59,60,61,62
</text>
  </threadedComment>
  <threadedComment ref="M5" personId="{08020B35-85EC-DF41-C695-E69D09EA730D}" id="{00A400AC-00A5-4B6B-9F4B-000600870031}" done="0">
    <text xml:space="preserve">65,67,69,71,75,76,46
</text>
  </threadedComment>
  <threadedComment ref="I5" personId="{08020B35-85EC-DF41-C695-E69D09EA730D}" id="{00BE005F-0035-4775-A50E-00F5004F00EA}" done="0">
    <text xml:space="preserve">42,43,47,48,51,58
</text>
  </threadedComment>
  <threadedComment ref="J5" personId="{08020B35-85EC-DF41-C695-E69D09EA730D}" id="{00CE00A6-00D5-4B52-8D5F-00BF006200FB}" done="0">
    <text xml:space="preserve">50,52,72,74,54,57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8" personId="{6CD976A7-1101-901B-BF64-5F140E048376}" id="{0019000D-0008-49E8-ACCA-00C90008008F}" done="0">
    <text xml:space="preserve">15 000 ЗУ
</text>
  </threadedComment>
  <threadedComment ref="C19" personId="{6CD976A7-1101-901B-BF64-5F140E048376}" id="{00A3009E-0025-47B9-BAF3-00790014008F}" done="0">
    <text xml:space="preserve">4443 КРТ+370,8 аренда
</text>
  </threadedComment>
  <threadedComment ref="D19" personId="{6CD976A7-1101-901B-BF64-5F140E048376}" id="{00C400A8-0071-4CC9-B9EE-001200930075}" done="0">
    <text xml:space="preserve">на что
</text>
  </threadedComment>
  <threadedComment ref="E19" personId="{6CD976A7-1101-901B-BF64-5F140E048376}" id="{00CD00F3-0084-453D-AC51-00DE006800D3}" done="0">
    <text xml:space="preserve">обеспечительный платеж
</text>
  </threadedComment>
  <threadedComment ref="C21" personId="{6CD976A7-1101-901B-BF64-5F140E048376}" id="{0053008D-00C2-4CC4-953C-00B400BC008C}" done="0">
    <text xml:space="preserve">за счет НКЛ К2, П1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6" personId="{08020B35-85EC-DF41-C695-E69D09EA730D}" id="{00A00032-00EB-402B-A9FF-004D000600D6}" done="0">
    <text xml:space="preserve">НКЛ БП1
</text>
  </threadedComment>
  <threadedComment ref="A17" personId="{08020B35-85EC-DF41-C695-E69D09EA730D}" id="{0089000C-0033-43B5-A25E-008B0044007F}" done="0">
    <text xml:space="preserve">68 т.р/м2
</text>
  </threadedComment>
  <threadedComment ref="J18" personId="{08020B35-85EC-DF41-C695-E69D09EA730D}" id="{00FA00A6-00A2-496E-997F-00AE00EA009B}" done="0">
    <text xml:space="preserve">ЗУ 15000
</text>
  </threadedComment>
  <threadedComment ref="I19" personId="{08020B35-85EC-DF41-C695-E69D09EA730D}" id="{00F20076-00FB-421C-B67C-006E005A005E}" done="0">
    <text xml:space="preserve">ЗУ
</text>
  </threadedComment>
  <threadedComment ref="A20" personId="{08020B35-85EC-DF41-C695-E69D09EA730D}" id="{002E00CD-00B4-44AF-BA86-008100C40001}" done="0">
    <text xml:space="preserve">Возможно поменять местами. НО!!! Есть ЗУ, есть проект
</text>
  </threadedComment>
  <threadedComment ref="AH20" personId="{08020B35-85EC-DF41-C695-E69D09EA730D}" id="{00270037-0083-408C-B08E-0076005800F8}" done="0">
    <text xml:space="preserve">вместе с П1 это 92 млн в месяц!!!!
</text>
  </threadedComment>
  <threadedComment ref="AP23" personId="{08020B35-85EC-DF41-C695-E69D09EA730D}" id="{00E600D6-00A6-4387-994B-000000E5006D}" done="0">
    <text xml:space="preserve">вместе с Богучар 1 это 64 млн в месяц!!
</text>
  </threadedComment>
  <threadedComment ref="K5" personId="{08020B35-85EC-DF41-C695-E69D09EA730D}" id="{00420010-007F-4140-A6B3-000900450001}" done="0">
    <text xml:space="preserve">63,64,70
</text>
  </threadedComment>
  <threadedComment ref="L5" personId="{08020B35-85EC-DF41-C695-E69D09EA730D}" id="{003E0021-003C-4345-86F1-006F00910043}" done="0">
    <text xml:space="preserve">44,49,53,56,59,60,61,62
</text>
  </threadedComment>
  <threadedComment ref="M5" personId="{08020B35-85EC-DF41-C695-E69D09EA730D}" id="{00880048-0023-481B-8140-00EC00980095}" done="0">
    <text xml:space="preserve">65,67,69,71,75,76,46
</text>
  </threadedComment>
  <threadedComment ref="I5" personId="{08020B35-85EC-DF41-C695-E69D09EA730D}" id="{00F00076-003B-45EF-8D73-006400490008}" done="0">
    <text xml:space="preserve">42,43,47,48,51,58
</text>
  </threadedComment>
  <threadedComment ref="J5" personId="{08020B35-85EC-DF41-C695-E69D09EA730D}" id="{00420002-001E-48FE-98FA-000E007F0080}" done="0">
    <text xml:space="preserve">50,52,72,74,54,57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P12" personId="{08020B35-85EC-DF41-C695-E69D09EA730D}" id="{00430033-0056-44AE-923F-0035007100AF}" done="0">
    <text xml:space="preserve">вместе с Богучар 1 это 64 млн в месяц!!
</text>
  </threadedComment>
  <threadedComment ref="A7" personId="{08020B35-85EC-DF41-C695-E69D09EA730D}" id="{004A0092-00AC-4242-8380-0064001F00EE}" done="0">
    <text xml:space="preserve">68 т.р/м2
</text>
  </threadedComment>
  <threadedComment ref="A10" personId="{08020B35-85EC-DF41-C695-E69D09EA730D}" id="{00B100D5-0050-4E31-B30E-00DA00F600F5}" done="0">
    <text xml:space="preserve">Возможно поменять местами. НО!!! Есть ЗУ, есть проект
</text>
  </threadedComment>
  <threadedComment ref="AH10" personId="{08020B35-85EC-DF41-C695-E69D09EA730D}" id="{00B10010-0074-4901-98CA-007200E300CF}" done="0">
    <text xml:space="preserve">вместе с П1 это 92 млн в месяц!!!!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D2119"/>
  <sheetViews>
    <sheetView zoomScale="62" workbookViewId="0">
      <pane xSplit="1" ySplit="3" topLeftCell="B4" activePane="bottomRight" state="frozen"/>
      <selection activeCell="B4" sqref="B4"/>
      <selection pane="topRight"/>
      <selection pane="bottomLeft"/>
      <selection pane="bottomRight" activeCell="B4" sqref="B4"/>
    </sheetView>
  </sheetViews>
  <sheetFormatPr defaultColWidth="9.140625" defaultRowHeight="15" outlineLevelRow="1"/>
  <cols>
    <col min="1" max="1" width="35.7109375" style="1" customWidth="1"/>
    <col min="2" max="3" width="14.28515625" style="1" customWidth="1"/>
    <col min="4" max="4" width="10" style="1" customWidth="1"/>
    <col min="5" max="5" width="12.5703125" style="1" customWidth="1"/>
    <col min="6" max="6" width="18.7109375" style="1" customWidth="1"/>
    <col min="7" max="12" width="23.42578125" style="1" customWidth="1"/>
    <col min="13" max="13" width="22.140625" style="1" customWidth="1"/>
    <col min="14" max="45" width="23.42578125" style="1" customWidth="1"/>
    <col min="46" max="16384" width="9.140625" style="1"/>
  </cols>
  <sheetData>
    <row r="1" spans="1:971 1036:2006 2071:3041 3106:4076 4141:5111 5176:7112 7177:8147 8212:9182 9247:10217 10282:11252 11317:12287 12352:13253 13318:14288 14353:15323 15388:16358" s="2" customFormat="1">
      <c r="A1" s="276" t="s">
        <v>0</v>
      </c>
      <c r="B1" s="277" t="s">
        <v>1</v>
      </c>
      <c r="C1" s="277"/>
      <c r="D1" s="277" t="s">
        <v>2</v>
      </c>
      <c r="E1" s="277" t="s">
        <v>3</v>
      </c>
      <c r="F1" s="4" t="s">
        <v>4</v>
      </c>
      <c r="G1" s="272" t="s">
        <v>5</v>
      </c>
      <c r="H1" s="272"/>
      <c r="I1" s="272"/>
      <c r="J1" s="275" t="s">
        <v>6</v>
      </c>
      <c r="K1" s="275"/>
      <c r="L1" s="275"/>
      <c r="M1" s="275" t="s">
        <v>7</v>
      </c>
      <c r="N1" s="275"/>
      <c r="O1" s="275"/>
      <c r="P1" s="275" t="s">
        <v>8</v>
      </c>
      <c r="Q1" s="275"/>
      <c r="R1" s="275"/>
      <c r="S1" s="275" t="s">
        <v>9</v>
      </c>
      <c r="T1" s="275"/>
      <c r="U1" s="275"/>
      <c r="V1" s="274" t="s">
        <v>10</v>
      </c>
      <c r="W1" s="274"/>
      <c r="X1" s="274"/>
      <c r="Y1" s="274" t="s">
        <v>11</v>
      </c>
      <c r="Z1" s="274"/>
      <c r="AA1" s="274"/>
      <c r="AB1" s="274" t="s">
        <v>12</v>
      </c>
      <c r="AC1" s="274"/>
      <c r="AD1" s="274"/>
      <c r="AE1" s="274" t="s">
        <v>13</v>
      </c>
      <c r="AF1" s="274"/>
      <c r="AG1" s="274"/>
      <c r="AH1" s="273" t="s">
        <v>14</v>
      </c>
      <c r="AI1" s="273"/>
      <c r="AJ1" s="273"/>
      <c r="AK1" s="273" t="s">
        <v>15</v>
      </c>
      <c r="AL1" s="273"/>
      <c r="AM1" s="273"/>
      <c r="AN1" s="273" t="s">
        <v>16</v>
      </c>
      <c r="AO1" s="273"/>
      <c r="AP1" s="273"/>
      <c r="AQ1" s="273" t="s">
        <v>17</v>
      </c>
      <c r="AR1" s="273"/>
      <c r="AS1" s="273"/>
      <c r="AT1" s="272" t="s">
        <v>18</v>
      </c>
      <c r="AU1" s="272"/>
      <c r="AV1" s="272"/>
      <c r="AW1" s="272" t="s">
        <v>19</v>
      </c>
      <c r="AX1" s="272"/>
      <c r="AY1" s="272"/>
      <c r="AZ1" s="272" t="s">
        <v>20</v>
      </c>
      <c r="BA1" s="272"/>
      <c r="BB1" s="272"/>
      <c r="BC1" s="272" t="s">
        <v>21</v>
      </c>
      <c r="BD1" s="272"/>
      <c r="BE1" s="272"/>
      <c r="BF1" s="272" t="s">
        <v>22</v>
      </c>
      <c r="BG1" s="272"/>
      <c r="BH1" s="272"/>
      <c r="BI1" s="272" t="s">
        <v>23</v>
      </c>
      <c r="BJ1" s="272"/>
      <c r="BK1" s="272"/>
      <c r="BL1" s="272" t="s">
        <v>24</v>
      </c>
      <c r="BM1" s="272"/>
      <c r="BN1" s="272"/>
      <c r="BO1" s="272" t="s">
        <v>25</v>
      </c>
      <c r="BP1" s="272"/>
      <c r="BQ1" s="272"/>
    </row>
    <row r="2" spans="1:971 1036:2006 2071:3041 3106:4076 4141:5111 5176:7112 7177:8147 8212:9182 9247:10217 10282:11252 11317:12287 12352:13253 13318:14288 14353:15323 15388:16358" s="5" customFormat="1" ht="20.25" customHeight="1">
      <c r="A2" s="276"/>
      <c r="B2" s="277"/>
      <c r="C2" s="277"/>
      <c r="D2" s="277"/>
      <c r="E2" s="277"/>
      <c r="F2" s="6">
        <v>44805</v>
      </c>
      <c r="G2" s="6">
        <v>44835</v>
      </c>
      <c r="H2" s="6">
        <v>44866</v>
      </c>
      <c r="I2" s="6">
        <v>44896</v>
      </c>
      <c r="J2" s="6">
        <v>44927</v>
      </c>
      <c r="K2" s="6">
        <v>44958</v>
      </c>
      <c r="L2" s="6">
        <v>44986</v>
      </c>
      <c r="M2" s="6">
        <v>45017</v>
      </c>
      <c r="N2" s="6">
        <v>45047</v>
      </c>
      <c r="O2" s="6">
        <v>45078</v>
      </c>
      <c r="P2" s="6">
        <v>45108</v>
      </c>
      <c r="Q2" s="6">
        <v>45139</v>
      </c>
      <c r="R2" s="6">
        <v>45170</v>
      </c>
      <c r="S2" s="6">
        <v>45200</v>
      </c>
      <c r="T2" s="6">
        <v>45231</v>
      </c>
      <c r="U2" s="6">
        <v>45261</v>
      </c>
      <c r="V2" s="6">
        <v>45292</v>
      </c>
      <c r="W2" s="6">
        <v>45323</v>
      </c>
      <c r="X2" s="6">
        <v>45352</v>
      </c>
      <c r="Y2" s="6">
        <v>45383</v>
      </c>
      <c r="Z2" s="6">
        <v>45413</v>
      </c>
      <c r="AA2" s="6">
        <v>45444</v>
      </c>
      <c r="AB2" s="6">
        <v>45474</v>
      </c>
      <c r="AC2" s="6">
        <v>45505</v>
      </c>
      <c r="AD2" s="6">
        <v>45536</v>
      </c>
      <c r="AE2" s="6">
        <v>45566</v>
      </c>
      <c r="AF2" s="6">
        <v>45597</v>
      </c>
      <c r="AG2" s="6">
        <v>45627</v>
      </c>
      <c r="AH2" s="6">
        <v>45658</v>
      </c>
      <c r="AI2" s="6">
        <v>45689</v>
      </c>
      <c r="AJ2" s="6">
        <v>45717</v>
      </c>
      <c r="AK2" s="6">
        <v>45748</v>
      </c>
      <c r="AL2" s="6">
        <v>45778</v>
      </c>
      <c r="AM2" s="6">
        <v>45809</v>
      </c>
      <c r="AN2" s="6">
        <v>45839</v>
      </c>
      <c r="AO2" s="6">
        <v>45870</v>
      </c>
      <c r="AP2" s="6">
        <v>45901</v>
      </c>
      <c r="AQ2" s="6">
        <v>45931</v>
      </c>
      <c r="AR2" s="6">
        <v>45962</v>
      </c>
      <c r="AS2" s="6">
        <v>45992</v>
      </c>
      <c r="AT2" s="6">
        <v>46023</v>
      </c>
      <c r="AU2" s="6">
        <v>46054</v>
      </c>
      <c r="AV2" s="6">
        <v>46082</v>
      </c>
      <c r="AW2" s="6">
        <v>46113</v>
      </c>
      <c r="AX2" s="6">
        <v>46143</v>
      </c>
      <c r="AY2" s="6">
        <v>46174</v>
      </c>
      <c r="AZ2" s="6">
        <v>46204</v>
      </c>
      <c r="BA2" s="6">
        <v>46235</v>
      </c>
      <c r="BB2" s="6">
        <v>46266</v>
      </c>
      <c r="BC2" s="6">
        <v>46296</v>
      </c>
      <c r="BD2" s="6">
        <v>46327</v>
      </c>
      <c r="BE2" s="6">
        <v>46357</v>
      </c>
      <c r="BF2" s="6">
        <v>46388</v>
      </c>
      <c r="BG2" s="6">
        <v>46419</v>
      </c>
      <c r="BH2" s="6">
        <v>46447</v>
      </c>
      <c r="BI2" s="6">
        <v>46478</v>
      </c>
      <c r="BJ2" s="6">
        <v>46508</v>
      </c>
      <c r="BK2" s="6">
        <v>46539</v>
      </c>
      <c r="BL2" s="6">
        <v>46569</v>
      </c>
      <c r="BM2" s="6">
        <v>46600</v>
      </c>
      <c r="BN2" s="6">
        <v>46631</v>
      </c>
      <c r="BO2" s="6">
        <v>46661</v>
      </c>
      <c r="BP2" s="6">
        <v>46692</v>
      </c>
      <c r="BQ2" s="6">
        <v>46722</v>
      </c>
    </row>
    <row r="3" spans="1:971 1036:2006 2071:3041 3106:4076 4141:5111 5176:7112 7177:8147 8212:9182 9247:10217 10282:11252 11317:12287 12352:13253 13318:14288 14353:15323 15388:16358" s="3" customFormat="1" ht="30" customHeight="1">
      <c r="A3" s="276"/>
      <c r="B3" s="3" t="s">
        <v>26</v>
      </c>
      <c r="C3" s="3" t="s">
        <v>27</v>
      </c>
      <c r="D3" s="277"/>
      <c r="E3" s="277"/>
      <c r="F3" s="7">
        <v>1</v>
      </c>
      <c r="G3" s="7">
        <v>2</v>
      </c>
      <c r="H3" s="7">
        <v>3</v>
      </c>
      <c r="I3" s="7">
        <v>4</v>
      </c>
      <c r="J3" s="7">
        <v>5</v>
      </c>
      <c r="K3" s="7">
        <v>6</v>
      </c>
      <c r="L3" s="7">
        <v>7</v>
      </c>
      <c r="M3" s="7">
        <v>8</v>
      </c>
      <c r="N3" s="7">
        <v>9</v>
      </c>
      <c r="O3" s="7">
        <v>10</v>
      </c>
      <c r="P3" s="7">
        <v>11</v>
      </c>
      <c r="Q3" s="7">
        <v>12</v>
      </c>
      <c r="R3" s="7">
        <v>13</v>
      </c>
      <c r="S3" s="7">
        <v>14</v>
      </c>
      <c r="T3" s="7">
        <v>15</v>
      </c>
      <c r="U3" s="7">
        <v>16</v>
      </c>
      <c r="V3" s="7">
        <v>17</v>
      </c>
      <c r="W3" s="7">
        <v>18</v>
      </c>
      <c r="X3" s="7">
        <v>19</v>
      </c>
      <c r="Y3" s="7">
        <v>20</v>
      </c>
      <c r="Z3" s="7">
        <v>21</v>
      </c>
      <c r="AA3" s="7">
        <v>22</v>
      </c>
      <c r="AB3" s="7">
        <v>23</v>
      </c>
      <c r="AC3" s="7">
        <v>24</v>
      </c>
      <c r="AD3" s="7">
        <v>25</v>
      </c>
      <c r="AE3" s="7">
        <v>26</v>
      </c>
      <c r="AF3" s="7">
        <v>27</v>
      </c>
      <c r="AG3" s="7">
        <v>28</v>
      </c>
      <c r="AH3" s="7">
        <v>29</v>
      </c>
      <c r="AI3" s="7">
        <v>30</v>
      </c>
      <c r="AJ3" s="7">
        <v>31</v>
      </c>
      <c r="AK3" s="7">
        <v>32</v>
      </c>
      <c r="AL3" s="7">
        <v>33</v>
      </c>
      <c r="AM3" s="7">
        <v>34</v>
      </c>
      <c r="AN3" s="7">
        <v>35</v>
      </c>
      <c r="AO3" s="7">
        <v>36</v>
      </c>
      <c r="AP3" s="7">
        <v>37</v>
      </c>
      <c r="AQ3" s="7">
        <v>38</v>
      </c>
      <c r="AR3" s="7">
        <v>39</v>
      </c>
      <c r="AS3" s="7">
        <v>40</v>
      </c>
      <c r="AT3" s="7">
        <v>41</v>
      </c>
      <c r="AU3" s="7">
        <v>42</v>
      </c>
      <c r="AV3" s="7">
        <v>43</v>
      </c>
      <c r="AW3" s="7">
        <v>44</v>
      </c>
      <c r="AX3" s="7">
        <v>45</v>
      </c>
      <c r="AY3" s="7">
        <v>46</v>
      </c>
      <c r="AZ3" s="7">
        <v>47</v>
      </c>
      <c r="BA3" s="7">
        <v>48</v>
      </c>
      <c r="BB3" s="7">
        <v>49</v>
      </c>
      <c r="BC3" s="7">
        <v>50</v>
      </c>
      <c r="BD3" s="7">
        <v>51</v>
      </c>
      <c r="BE3" s="7">
        <v>52</v>
      </c>
      <c r="BF3" s="7">
        <v>53</v>
      </c>
      <c r="BG3" s="7">
        <v>54</v>
      </c>
      <c r="BH3" s="7">
        <v>55</v>
      </c>
      <c r="BI3" s="7">
        <v>53</v>
      </c>
      <c r="BJ3" s="7">
        <v>54</v>
      </c>
      <c r="BK3" s="7">
        <v>55</v>
      </c>
      <c r="BL3" s="7">
        <v>53</v>
      </c>
      <c r="BM3" s="7">
        <v>54</v>
      </c>
      <c r="BN3" s="7">
        <v>55</v>
      </c>
      <c r="BO3" s="7">
        <v>53</v>
      </c>
      <c r="BP3" s="7">
        <v>54</v>
      </c>
      <c r="BQ3" s="7">
        <v>55</v>
      </c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</row>
    <row r="4" spans="1:971 1036:2006 2071:3041 3106:4076 4141:5111 5176:7112 7177:8147 8212:9182 9247:10217 10282:11252 11317:12287 12352:13253 13318:14288 14353:15323 15388:16358" s="3" customFormat="1" ht="32.25" customHeight="1">
      <c r="A4" s="8" t="s">
        <v>28</v>
      </c>
      <c r="B4" s="9"/>
      <c r="C4" s="9"/>
      <c r="D4" s="9"/>
      <c r="E4" s="9"/>
      <c r="F4" s="10"/>
      <c r="G4" s="10"/>
      <c r="H4" s="10"/>
      <c r="I4" s="10">
        <f>I5*I6</f>
        <v>0</v>
      </c>
      <c r="J4" s="10">
        <f>J5*J6</f>
        <v>0</v>
      </c>
      <c r="K4" s="10">
        <f>K5*K6</f>
        <v>0</v>
      </c>
      <c r="L4" s="10">
        <f>L5*L6</f>
        <v>0</v>
      </c>
      <c r="M4" s="10">
        <f>M5*M6</f>
        <v>0</v>
      </c>
      <c r="N4" s="10">
        <f t="shared" ref="N4:R4" si="0">N21</f>
        <v>0</v>
      </c>
      <c r="O4" s="10">
        <f t="shared" si="0"/>
        <v>0</v>
      </c>
      <c r="P4" s="10">
        <f t="shared" si="0"/>
        <v>0</v>
      </c>
      <c r="Q4" s="10">
        <f t="shared" si="0"/>
        <v>0</v>
      </c>
      <c r="R4" s="10">
        <f t="shared" si="0"/>
        <v>0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</row>
    <row r="5" spans="1:971 1036:2006 2071:3041 3106:4076 4141:5111 5176:7112 7177:8147 8212:9182 9247:10217 10282:11252 11317:12287 12352:13253 13318:14288 14353:15323 15388:16358" s="3" customFormat="1" ht="32.25" customHeight="1">
      <c r="A5" s="11" t="s">
        <v>29</v>
      </c>
      <c r="F5" s="12"/>
      <c r="G5" s="12"/>
      <c r="H5" s="12"/>
      <c r="I5" s="13">
        <f>309.6*0</f>
        <v>0</v>
      </c>
      <c r="J5" s="13">
        <f>288.50755988024*0</f>
        <v>0</v>
      </c>
      <c r="K5" s="13">
        <f>117.09*0</f>
        <v>0</v>
      </c>
      <c r="L5" s="13">
        <f>321.4*0</f>
        <v>0</v>
      </c>
      <c r="M5" s="13">
        <f>301.52*0</f>
        <v>0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</row>
    <row r="6" spans="1:971 1036:2006 2071:3041 3106:4076 4141:5111 5176:7112 7177:8147 8212:9182 9247:10217 10282:11252 11317:12287 12352:13253 13318:14288 14353:15323 15388:16358" s="3" customFormat="1" ht="32.25" customHeight="1">
      <c r="A6" s="11" t="s">
        <v>30</v>
      </c>
      <c r="F6" s="12"/>
      <c r="G6" s="12"/>
      <c r="H6" s="12"/>
      <c r="I6" s="14">
        <v>66.106934754522001</v>
      </c>
      <c r="J6" s="14">
        <v>61.662706541848522</v>
      </c>
      <c r="K6" s="14">
        <v>66.090554274489705</v>
      </c>
      <c r="L6" s="14">
        <v>65.329107031736143</v>
      </c>
      <c r="M6" s="14">
        <v>64.8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</row>
    <row r="7" spans="1:971 1036:2006 2071:3041 3106:4076 4141:5111 5176:7112 7177:8147 8212:9182 9247:10217 10282:11252 11317:12287 12352:13253 13318:14288 14353:15323 15388:16358" s="10" customFormat="1" ht="18" customHeight="1">
      <c r="A7" s="8" t="s">
        <v>31</v>
      </c>
      <c r="B7" s="9"/>
      <c r="C7" s="9"/>
      <c r="D7" s="9"/>
      <c r="E7" s="9"/>
      <c r="I7" s="10">
        <f>I8*I9</f>
        <v>25901.975000000002</v>
      </c>
      <c r="J7" s="10">
        <f t="shared" ref="J7:R7" si="1">J8*J9</f>
        <v>21615</v>
      </c>
      <c r="K7" s="10">
        <f t="shared" si="1"/>
        <v>27342.975000000002</v>
      </c>
      <c r="L7" s="10">
        <f t="shared" si="1"/>
        <v>33462</v>
      </c>
      <c r="M7" s="10">
        <f t="shared" si="1"/>
        <v>28256.800000000003</v>
      </c>
      <c r="N7" s="10">
        <f t="shared" si="1"/>
        <v>46900</v>
      </c>
      <c r="O7" s="10">
        <f t="shared" si="1"/>
        <v>50625</v>
      </c>
      <c r="P7" s="10">
        <f t="shared" si="1"/>
        <v>53430</v>
      </c>
      <c r="Q7" s="10">
        <f t="shared" si="1"/>
        <v>64635</v>
      </c>
      <c r="R7" s="10">
        <f t="shared" si="1"/>
        <v>72280</v>
      </c>
      <c r="BR7" s="8"/>
      <c r="BS7" s="9"/>
      <c r="BT7" s="9"/>
      <c r="BU7" s="9"/>
      <c r="BV7" s="9"/>
      <c r="EI7" s="8"/>
      <c r="EJ7" s="9"/>
      <c r="EK7" s="9"/>
      <c r="EL7" s="9"/>
      <c r="EM7" s="9"/>
      <c r="GZ7" s="8"/>
      <c r="HA7" s="9"/>
      <c r="HB7" s="9"/>
      <c r="HC7" s="9"/>
      <c r="HD7" s="9"/>
      <c r="JQ7" s="8"/>
      <c r="JR7" s="9"/>
      <c r="JS7" s="9"/>
      <c r="JT7" s="9"/>
      <c r="JU7" s="9"/>
      <c r="MH7" s="8"/>
      <c r="MI7" s="9"/>
      <c r="MJ7" s="9"/>
      <c r="MK7" s="9"/>
      <c r="ML7" s="9"/>
      <c r="OY7" s="8"/>
      <c r="OZ7" s="9"/>
      <c r="PA7" s="9"/>
      <c r="PB7" s="9"/>
      <c r="PC7" s="9"/>
      <c r="RP7" s="8"/>
      <c r="RQ7" s="9"/>
      <c r="RR7" s="9"/>
      <c r="RS7" s="9"/>
      <c r="RT7" s="9"/>
      <c r="UG7" s="8"/>
      <c r="UH7" s="9"/>
      <c r="UI7" s="9"/>
      <c r="UJ7" s="9"/>
      <c r="UK7" s="9"/>
      <c r="WX7" s="8"/>
      <c r="WY7" s="9"/>
      <c r="WZ7" s="9"/>
      <c r="XA7" s="9"/>
      <c r="XB7" s="9"/>
      <c r="ZO7" s="8"/>
      <c r="ZP7" s="9"/>
      <c r="ZQ7" s="9"/>
      <c r="ZR7" s="9"/>
      <c r="ZS7" s="9"/>
      <c r="ACF7" s="8"/>
      <c r="ACG7" s="9"/>
      <c r="ACH7" s="9"/>
      <c r="ACI7" s="9"/>
      <c r="ACJ7" s="9"/>
      <c r="AEW7" s="8"/>
      <c r="AEX7" s="9"/>
      <c r="AEY7" s="9"/>
      <c r="AEZ7" s="9"/>
      <c r="AFA7" s="9"/>
      <c r="AHN7" s="8"/>
      <c r="AHO7" s="9"/>
      <c r="AHP7" s="9"/>
      <c r="AHQ7" s="9"/>
      <c r="AHR7" s="9"/>
      <c r="AKE7" s="8"/>
      <c r="AKF7" s="9"/>
      <c r="AKG7" s="9"/>
      <c r="AKH7" s="9"/>
      <c r="AKI7" s="9"/>
      <c r="AMV7" s="8"/>
      <c r="AMW7" s="9"/>
      <c r="AMX7" s="9"/>
      <c r="AMY7" s="9"/>
      <c r="AMZ7" s="9"/>
      <c r="APM7" s="8"/>
      <c r="APN7" s="9"/>
      <c r="APO7" s="9"/>
      <c r="APP7" s="9"/>
      <c r="APQ7" s="9"/>
      <c r="ASD7" s="8"/>
      <c r="ASE7" s="9"/>
      <c r="ASF7" s="9"/>
      <c r="ASG7" s="9"/>
      <c r="ASH7" s="9"/>
      <c r="AUU7" s="8"/>
      <c r="AUV7" s="9"/>
      <c r="AUW7" s="9"/>
      <c r="AUX7" s="9"/>
      <c r="AUY7" s="9"/>
      <c r="AXL7" s="8"/>
      <c r="AXM7" s="9"/>
      <c r="AXN7" s="9"/>
      <c r="AXO7" s="9"/>
      <c r="AXP7" s="9"/>
      <c r="BAC7" s="8"/>
      <c r="BAD7" s="9"/>
      <c r="BAE7" s="9"/>
      <c r="BAF7" s="9"/>
      <c r="BAG7" s="9"/>
      <c r="BCT7" s="8"/>
      <c r="BCU7" s="9"/>
      <c r="BCV7" s="9"/>
      <c r="BCW7" s="9"/>
      <c r="BCX7" s="9"/>
      <c r="BFK7" s="8"/>
      <c r="BFL7" s="9"/>
      <c r="BFM7" s="9"/>
      <c r="BFN7" s="9"/>
      <c r="BFO7" s="9"/>
      <c r="BIB7" s="8"/>
      <c r="BIC7" s="9"/>
      <c r="BID7" s="9"/>
      <c r="BIE7" s="9"/>
      <c r="BIF7" s="9"/>
      <c r="BKS7" s="8"/>
      <c r="BKT7" s="9"/>
      <c r="BKU7" s="9"/>
      <c r="BKV7" s="9"/>
      <c r="BKW7" s="9"/>
      <c r="BNJ7" s="8"/>
      <c r="BNK7" s="9"/>
      <c r="BNL7" s="9"/>
      <c r="BNM7" s="9"/>
      <c r="BNN7" s="9"/>
      <c r="BQA7" s="8"/>
      <c r="BQB7" s="9"/>
      <c r="BQC7" s="9"/>
      <c r="BQD7" s="9"/>
      <c r="BQE7" s="9"/>
      <c r="BSR7" s="8"/>
      <c r="BSS7" s="9"/>
      <c r="BST7" s="9"/>
      <c r="BSU7" s="9"/>
      <c r="BSV7" s="9"/>
      <c r="BVI7" s="8"/>
      <c r="BVJ7" s="9"/>
      <c r="BVK7" s="9"/>
      <c r="BVL7" s="9"/>
      <c r="BVM7" s="9"/>
      <c r="BXZ7" s="8"/>
      <c r="BYA7" s="9"/>
      <c r="BYB7" s="9"/>
      <c r="BYC7" s="9"/>
      <c r="BYD7" s="9"/>
      <c r="CAQ7" s="8"/>
      <c r="CAR7" s="9"/>
      <c r="CAS7" s="9"/>
      <c r="CAT7" s="9"/>
      <c r="CAU7" s="9"/>
      <c r="CDH7" s="8"/>
      <c r="CDI7" s="9"/>
      <c r="CDJ7" s="9"/>
      <c r="CDK7" s="9"/>
      <c r="CDL7" s="9"/>
      <c r="CFY7" s="8"/>
      <c r="CFZ7" s="9"/>
      <c r="CGA7" s="9"/>
      <c r="CGB7" s="9"/>
      <c r="CGC7" s="9"/>
      <c r="CIP7" s="8"/>
      <c r="CIQ7" s="9"/>
      <c r="CIR7" s="9"/>
      <c r="CIS7" s="9"/>
      <c r="CIT7" s="9"/>
      <c r="CLG7" s="8"/>
      <c r="CLH7" s="9"/>
      <c r="CLI7" s="9"/>
      <c r="CLJ7" s="9"/>
      <c r="CLK7" s="9"/>
      <c r="CNX7" s="8"/>
      <c r="CNY7" s="9"/>
      <c r="CNZ7" s="9"/>
      <c r="COA7" s="9"/>
      <c r="COB7" s="9"/>
      <c r="CQO7" s="8"/>
      <c r="CQP7" s="9"/>
      <c r="CQQ7" s="9"/>
      <c r="CQR7" s="9"/>
      <c r="CQS7" s="9"/>
      <c r="CTF7" s="8"/>
      <c r="CTG7" s="9"/>
      <c r="CTH7" s="9"/>
      <c r="CTI7" s="9"/>
      <c r="CTJ7" s="9"/>
      <c r="CVW7" s="8"/>
      <c r="CVX7" s="9"/>
      <c r="CVY7" s="9"/>
      <c r="CVZ7" s="9"/>
      <c r="CWA7" s="9"/>
      <c r="CYN7" s="8"/>
      <c r="CYO7" s="9"/>
      <c r="CYP7" s="9"/>
      <c r="CYQ7" s="9"/>
      <c r="CYR7" s="9"/>
      <c r="DBE7" s="8"/>
      <c r="DBF7" s="9"/>
      <c r="DBG7" s="9"/>
      <c r="DBH7" s="9"/>
      <c r="DBI7" s="9"/>
      <c r="DDV7" s="8"/>
      <c r="DDW7" s="9"/>
      <c r="DDX7" s="9"/>
      <c r="DDY7" s="9"/>
      <c r="DDZ7" s="9"/>
      <c r="DGM7" s="8"/>
      <c r="DGN7" s="9"/>
      <c r="DGO7" s="9"/>
      <c r="DGP7" s="9"/>
      <c r="DGQ7" s="9"/>
      <c r="DJD7" s="8"/>
      <c r="DJE7" s="9"/>
      <c r="DJF7" s="9"/>
      <c r="DJG7" s="9"/>
      <c r="DJH7" s="9"/>
      <c r="DLU7" s="8"/>
      <c r="DLV7" s="9"/>
      <c r="DLW7" s="9"/>
      <c r="DLX7" s="9"/>
      <c r="DLY7" s="9"/>
      <c r="DOL7" s="8"/>
      <c r="DOM7" s="9"/>
      <c r="DON7" s="9"/>
      <c r="DOO7" s="9"/>
      <c r="DOP7" s="9"/>
      <c r="DRC7" s="8"/>
      <c r="DRD7" s="9"/>
      <c r="DRE7" s="9"/>
      <c r="DRF7" s="9"/>
      <c r="DRG7" s="9"/>
      <c r="DTT7" s="8"/>
      <c r="DTU7" s="9"/>
      <c r="DTV7" s="9"/>
      <c r="DTW7" s="9"/>
      <c r="DTX7" s="9"/>
      <c r="DWK7" s="8"/>
      <c r="DWL7" s="9"/>
      <c r="DWM7" s="9"/>
      <c r="DWN7" s="9"/>
      <c r="DWO7" s="9"/>
      <c r="DZB7" s="8"/>
      <c r="DZC7" s="9"/>
      <c r="DZD7" s="9"/>
      <c r="DZE7" s="9"/>
      <c r="DZF7" s="9"/>
      <c r="EBS7" s="8"/>
      <c r="EBT7" s="9"/>
      <c r="EBU7" s="9"/>
      <c r="EBV7" s="9"/>
      <c r="EBW7" s="9"/>
      <c r="EEJ7" s="8"/>
      <c r="EEK7" s="9"/>
      <c r="EEL7" s="9"/>
      <c r="EEM7" s="9"/>
      <c r="EEN7" s="9"/>
      <c r="EHA7" s="8"/>
      <c r="EHB7" s="9"/>
      <c r="EHC7" s="9"/>
      <c r="EHD7" s="9"/>
      <c r="EHE7" s="9"/>
      <c r="EJR7" s="8"/>
      <c r="EJS7" s="9"/>
      <c r="EJT7" s="9"/>
      <c r="EJU7" s="9"/>
      <c r="EJV7" s="9"/>
      <c r="EMI7" s="8"/>
      <c r="EMJ7" s="9"/>
      <c r="EMK7" s="9"/>
      <c r="EML7" s="9"/>
      <c r="EMM7" s="9"/>
      <c r="EOZ7" s="8"/>
      <c r="EPA7" s="9"/>
      <c r="EPB7" s="9"/>
      <c r="EPC7" s="9"/>
      <c r="EPD7" s="9"/>
      <c r="ERQ7" s="8"/>
      <c r="ERR7" s="9"/>
      <c r="ERS7" s="9"/>
      <c r="ERT7" s="9"/>
      <c r="ERU7" s="9"/>
      <c r="EUH7" s="8"/>
      <c r="EUI7" s="9"/>
      <c r="EUJ7" s="9"/>
      <c r="EUK7" s="9"/>
      <c r="EUL7" s="9"/>
      <c r="EWY7" s="8"/>
      <c r="EWZ7" s="9"/>
      <c r="EXA7" s="9"/>
      <c r="EXB7" s="9"/>
      <c r="EXC7" s="9"/>
      <c r="EZP7" s="8"/>
      <c r="EZQ7" s="9"/>
      <c r="EZR7" s="9"/>
      <c r="EZS7" s="9"/>
      <c r="EZT7" s="9"/>
      <c r="FCG7" s="8"/>
      <c r="FCH7" s="9"/>
      <c r="FCI7" s="9"/>
      <c r="FCJ7" s="9"/>
      <c r="FCK7" s="9"/>
      <c r="FEX7" s="8"/>
      <c r="FEY7" s="9"/>
      <c r="FEZ7" s="9"/>
      <c r="FFA7" s="9"/>
      <c r="FFB7" s="9"/>
      <c r="FHO7" s="8"/>
      <c r="FHP7" s="9"/>
      <c r="FHQ7" s="9"/>
      <c r="FHR7" s="9"/>
      <c r="FHS7" s="9"/>
      <c r="FKF7" s="8"/>
      <c r="FKG7" s="9"/>
      <c r="FKH7" s="9"/>
      <c r="FKI7" s="9"/>
      <c r="FKJ7" s="9"/>
      <c r="FMW7" s="8"/>
      <c r="FMX7" s="9"/>
      <c r="FMY7" s="9"/>
      <c r="FMZ7" s="9"/>
      <c r="FNA7" s="9"/>
      <c r="FPN7" s="8"/>
      <c r="FPO7" s="9"/>
      <c r="FPP7" s="9"/>
      <c r="FPQ7" s="9"/>
      <c r="FPR7" s="9"/>
      <c r="FSE7" s="8"/>
      <c r="FSF7" s="9"/>
      <c r="FSG7" s="9"/>
      <c r="FSH7" s="9"/>
      <c r="FSI7" s="9"/>
      <c r="FUV7" s="8"/>
      <c r="FUW7" s="9"/>
      <c r="FUX7" s="9"/>
      <c r="FUY7" s="9"/>
      <c r="FUZ7" s="9"/>
      <c r="FXM7" s="8"/>
      <c r="FXN7" s="9"/>
      <c r="FXO7" s="9"/>
      <c r="FXP7" s="9"/>
      <c r="FXQ7" s="9"/>
      <c r="GAD7" s="8"/>
      <c r="GAE7" s="9"/>
      <c r="GAF7" s="9"/>
      <c r="GAG7" s="9"/>
      <c r="GAH7" s="9"/>
      <c r="GCU7" s="8"/>
      <c r="GCV7" s="9"/>
      <c r="GCW7" s="9"/>
      <c r="GCX7" s="9"/>
      <c r="GCY7" s="9"/>
      <c r="GFL7" s="8"/>
      <c r="GFM7" s="9"/>
      <c r="GFN7" s="9"/>
      <c r="GFO7" s="9"/>
      <c r="GFP7" s="9"/>
      <c r="GIC7" s="8"/>
      <c r="GID7" s="9"/>
      <c r="GIE7" s="9"/>
      <c r="GIF7" s="9"/>
      <c r="GIG7" s="9"/>
      <c r="GKT7" s="8"/>
      <c r="GKU7" s="9"/>
      <c r="GKV7" s="9"/>
      <c r="GKW7" s="9"/>
      <c r="GKX7" s="9"/>
      <c r="GNK7" s="8"/>
      <c r="GNL7" s="9"/>
      <c r="GNM7" s="9"/>
      <c r="GNN7" s="9"/>
      <c r="GNO7" s="9"/>
      <c r="GQB7" s="8"/>
      <c r="GQC7" s="9"/>
      <c r="GQD7" s="9"/>
      <c r="GQE7" s="9"/>
      <c r="GQF7" s="9"/>
      <c r="GSS7" s="8"/>
      <c r="GST7" s="9"/>
      <c r="GSU7" s="9"/>
      <c r="GSV7" s="9"/>
      <c r="GSW7" s="9"/>
      <c r="GVJ7" s="8"/>
      <c r="GVK7" s="9"/>
      <c r="GVL7" s="9"/>
      <c r="GVM7" s="9"/>
      <c r="GVN7" s="9"/>
      <c r="GYA7" s="8"/>
      <c r="GYB7" s="9"/>
      <c r="GYC7" s="9"/>
      <c r="GYD7" s="9"/>
      <c r="GYE7" s="9"/>
      <c r="HAR7" s="8"/>
      <c r="HAS7" s="9"/>
      <c r="HAT7" s="9"/>
      <c r="HAU7" s="9"/>
      <c r="HAV7" s="9"/>
      <c r="HDI7" s="8"/>
      <c r="HDJ7" s="9"/>
      <c r="HDK7" s="9"/>
      <c r="HDL7" s="9"/>
      <c r="HDM7" s="9"/>
      <c r="HFZ7" s="8"/>
      <c r="HGA7" s="9"/>
      <c r="HGB7" s="9"/>
      <c r="HGC7" s="9"/>
      <c r="HGD7" s="9"/>
      <c r="HIQ7" s="8"/>
      <c r="HIR7" s="9"/>
      <c r="HIS7" s="9"/>
      <c r="HIT7" s="9"/>
      <c r="HIU7" s="9"/>
      <c r="HLH7" s="8"/>
      <c r="HLI7" s="9"/>
      <c r="HLJ7" s="9"/>
      <c r="HLK7" s="9"/>
      <c r="HLL7" s="9"/>
      <c r="HNY7" s="8"/>
      <c r="HNZ7" s="9"/>
      <c r="HOA7" s="9"/>
      <c r="HOB7" s="9"/>
      <c r="HOC7" s="9"/>
      <c r="HQP7" s="8"/>
      <c r="HQQ7" s="9"/>
      <c r="HQR7" s="9"/>
      <c r="HQS7" s="9"/>
      <c r="HQT7" s="9"/>
      <c r="HTG7" s="8"/>
      <c r="HTH7" s="9"/>
      <c r="HTI7" s="9"/>
      <c r="HTJ7" s="9"/>
      <c r="HTK7" s="9"/>
      <c r="HVX7" s="8"/>
      <c r="HVY7" s="9"/>
      <c r="HVZ7" s="9"/>
      <c r="HWA7" s="9"/>
      <c r="HWB7" s="9"/>
      <c r="HYO7" s="8"/>
      <c r="HYP7" s="9"/>
      <c r="HYQ7" s="9"/>
      <c r="HYR7" s="9"/>
      <c r="HYS7" s="9"/>
      <c r="IBF7" s="8"/>
      <c r="IBG7" s="9"/>
      <c r="IBH7" s="9"/>
      <c r="IBI7" s="9"/>
      <c r="IBJ7" s="9"/>
      <c r="IDW7" s="8"/>
      <c r="IDX7" s="9"/>
      <c r="IDY7" s="9"/>
      <c r="IDZ7" s="9"/>
      <c r="IEA7" s="9"/>
      <c r="IGN7" s="8"/>
      <c r="IGO7" s="9"/>
      <c r="IGP7" s="9"/>
      <c r="IGQ7" s="9"/>
      <c r="IGR7" s="9"/>
      <c r="IJE7" s="8"/>
      <c r="IJF7" s="9"/>
      <c r="IJG7" s="9"/>
      <c r="IJH7" s="9"/>
      <c r="IJI7" s="9"/>
      <c r="ILV7" s="8"/>
      <c r="ILW7" s="9"/>
      <c r="ILX7" s="9"/>
      <c r="ILY7" s="9"/>
      <c r="ILZ7" s="9"/>
      <c r="IOM7" s="8"/>
      <c r="ION7" s="9"/>
      <c r="IOO7" s="9"/>
      <c r="IOP7" s="9"/>
      <c r="IOQ7" s="9"/>
      <c r="IRD7" s="8"/>
      <c r="IRE7" s="9"/>
      <c r="IRF7" s="9"/>
      <c r="IRG7" s="9"/>
      <c r="IRH7" s="9"/>
      <c r="ITU7" s="8"/>
      <c r="ITV7" s="9"/>
      <c r="ITW7" s="9"/>
      <c r="ITX7" s="9"/>
      <c r="ITY7" s="9"/>
      <c r="IWL7" s="8"/>
      <c r="IWM7" s="9"/>
      <c r="IWN7" s="9"/>
      <c r="IWO7" s="9"/>
      <c r="IWP7" s="9"/>
      <c r="IZC7" s="8"/>
      <c r="IZD7" s="9"/>
      <c r="IZE7" s="9"/>
      <c r="IZF7" s="9"/>
      <c r="IZG7" s="9"/>
      <c r="JBT7" s="8"/>
      <c r="JBU7" s="9"/>
      <c r="JBV7" s="9"/>
      <c r="JBW7" s="9"/>
      <c r="JBX7" s="9"/>
      <c r="JEK7" s="8"/>
      <c r="JEL7" s="9"/>
      <c r="JEM7" s="9"/>
      <c r="JEN7" s="9"/>
      <c r="JEO7" s="9"/>
      <c r="JHB7" s="8"/>
      <c r="JHC7" s="9"/>
      <c r="JHD7" s="9"/>
      <c r="JHE7" s="9"/>
      <c r="JHF7" s="9"/>
      <c r="JJS7" s="8"/>
      <c r="JJT7" s="9"/>
      <c r="JJU7" s="9"/>
      <c r="JJV7" s="9"/>
      <c r="JJW7" s="9"/>
      <c r="JMJ7" s="8"/>
      <c r="JMK7" s="9"/>
      <c r="JML7" s="9"/>
      <c r="JMM7" s="9"/>
      <c r="JMN7" s="9"/>
      <c r="JPA7" s="8"/>
      <c r="JPB7" s="9"/>
      <c r="JPC7" s="9"/>
      <c r="JPD7" s="9"/>
      <c r="JPE7" s="9"/>
      <c r="JRR7" s="8"/>
      <c r="JRS7" s="9"/>
      <c r="JRT7" s="9"/>
      <c r="JRU7" s="9"/>
      <c r="JRV7" s="9"/>
      <c r="JUI7" s="8"/>
      <c r="JUJ7" s="9"/>
      <c r="JUK7" s="9"/>
      <c r="JUL7" s="9"/>
      <c r="JUM7" s="9"/>
      <c r="JWZ7" s="8"/>
      <c r="JXA7" s="9"/>
      <c r="JXB7" s="9"/>
      <c r="JXC7" s="9"/>
      <c r="JXD7" s="9"/>
      <c r="JZQ7" s="8"/>
      <c r="JZR7" s="9"/>
      <c r="JZS7" s="9"/>
      <c r="JZT7" s="9"/>
      <c r="JZU7" s="9"/>
      <c r="KCH7" s="8"/>
      <c r="KCI7" s="9"/>
      <c r="KCJ7" s="9"/>
      <c r="KCK7" s="9"/>
      <c r="KCL7" s="9"/>
      <c r="KEY7" s="8"/>
      <c r="KEZ7" s="9"/>
      <c r="KFA7" s="9"/>
      <c r="KFB7" s="9"/>
      <c r="KFC7" s="9"/>
      <c r="KHP7" s="8"/>
      <c r="KHQ7" s="9"/>
      <c r="KHR7" s="9"/>
      <c r="KHS7" s="9"/>
      <c r="KHT7" s="9"/>
      <c r="KKG7" s="8"/>
      <c r="KKH7" s="9"/>
      <c r="KKI7" s="9"/>
      <c r="KKJ7" s="9"/>
      <c r="KKK7" s="9"/>
      <c r="KMX7" s="8"/>
      <c r="KMY7" s="9"/>
      <c r="KMZ7" s="9"/>
      <c r="KNA7" s="9"/>
      <c r="KNB7" s="9"/>
      <c r="KPO7" s="8"/>
      <c r="KPP7" s="9"/>
      <c r="KPQ7" s="9"/>
      <c r="KPR7" s="9"/>
      <c r="KPS7" s="9"/>
      <c r="KSF7" s="8"/>
      <c r="KSG7" s="9"/>
      <c r="KSH7" s="9"/>
      <c r="KSI7" s="9"/>
      <c r="KSJ7" s="9"/>
      <c r="KUW7" s="8"/>
      <c r="KUX7" s="9"/>
      <c r="KUY7" s="9"/>
      <c r="KUZ7" s="9"/>
      <c r="KVA7" s="9"/>
      <c r="KXN7" s="8"/>
      <c r="KXO7" s="9"/>
      <c r="KXP7" s="9"/>
      <c r="KXQ7" s="9"/>
      <c r="KXR7" s="9"/>
      <c r="LAE7" s="8"/>
      <c r="LAF7" s="9"/>
      <c r="LAG7" s="9"/>
      <c r="LAH7" s="9"/>
      <c r="LAI7" s="9"/>
      <c r="LCV7" s="8"/>
      <c r="LCW7" s="9"/>
      <c r="LCX7" s="9"/>
      <c r="LCY7" s="9"/>
      <c r="LCZ7" s="9"/>
      <c r="LFM7" s="8"/>
      <c r="LFN7" s="9"/>
      <c r="LFO7" s="9"/>
      <c r="LFP7" s="9"/>
      <c r="LFQ7" s="9"/>
      <c r="LID7" s="8"/>
      <c r="LIE7" s="9"/>
      <c r="LIF7" s="9"/>
      <c r="LIG7" s="9"/>
      <c r="LIH7" s="9"/>
      <c r="LKU7" s="8"/>
      <c r="LKV7" s="9"/>
      <c r="LKW7" s="9"/>
      <c r="LKX7" s="9"/>
      <c r="LKY7" s="9"/>
      <c r="LNL7" s="8"/>
      <c r="LNM7" s="9"/>
      <c r="LNN7" s="9"/>
      <c r="LNO7" s="9"/>
      <c r="LNP7" s="9"/>
      <c r="LQC7" s="8"/>
      <c r="LQD7" s="9"/>
      <c r="LQE7" s="9"/>
      <c r="LQF7" s="9"/>
      <c r="LQG7" s="9"/>
      <c r="LST7" s="8"/>
      <c r="LSU7" s="9"/>
      <c r="LSV7" s="9"/>
      <c r="LSW7" s="9"/>
      <c r="LSX7" s="9"/>
      <c r="LVK7" s="8"/>
      <c r="LVL7" s="9"/>
      <c r="LVM7" s="9"/>
      <c r="LVN7" s="9"/>
      <c r="LVO7" s="9"/>
      <c r="LYB7" s="8"/>
      <c r="LYC7" s="9"/>
      <c r="LYD7" s="9"/>
      <c r="LYE7" s="9"/>
      <c r="LYF7" s="9"/>
      <c r="MAS7" s="8"/>
      <c r="MAT7" s="9"/>
      <c r="MAU7" s="9"/>
      <c r="MAV7" s="9"/>
      <c r="MAW7" s="9"/>
      <c r="MDJ7" s="8"/>
      <c r="MDK7" s="9"/>
      <c r="MDL7" s="9"/>
      <c r="MDM7" s="9"/>
      <c r="MDN7" s="9"/>
      <c r="MGA7" s="8"/>
      <c r="MGB7" s="9"/>
      <c r="MGC7" s="9"/>
      <c r="MGD7" s="9"/>
      <c r="MGE7" s="9"/>
      <c r="MIR7" s="8"/>
      <c r="MIS7" s="9"/>
      <c r="MIT7" s="9"/>
      <c r="MIU7" s="9"/>
      <c r="MIV7" s="9"/>
      <c r="MLI7" s="8"/>
      <c r="MLJ7" s="9"/>
      <c r="MLK7" s="9"/>
      <c r="MLL7" s="9"/>
      <c r="MLM7" s="9"/>
      <c r="MNZ7" s="8"/>
      <c r="MOA7" s="9"/>
      <c r="MOB7" s="9"/>
      <c r="MOC7" s="9"/>
      <c r="MOD7" s="9"/>
      <c r="MQQ7" s="8"/>
      <c r="MQR7" s="9"/>
      <c r="MQS7" s="9"/>
      <c r="MQT7" s="9"/>
      <c r="MQU7" s="9"/>
      <c r="MTH7" s="8"/>
      <c r="MTI7" s="9"/>
      <c r="MTJ7" s="9"/>
      <c r="MTK7" s="9"/>
      <c r="MTL7" s="9"/>
      <c r="MVY7" s="8"/>
      <c r="MVZ7" s="9"/>
      <c r="MWA7" s="9"/>
      <c r="MWB7" s="9"/>
      <c r="MWC7" s="9"/>
      <c r="MYP7" s="8"/>
      <c r="MYQ7" s="9"/>
      <c r="MYR7" s="9"/>
      <c r="MYS7" s="9"/>
      <c r="MYT7" s="9"/>
      <c r="NBG7" s="8"/>
      <c r="NBH7" s="9"/>
      <c r="NBI7" s="9"/>
      <c r="NBJ7" s="9"/>
      <c r="NBK7" s="9"/>
      <c r="NDX7" s="8"/>
      <c r="NDY7" s="9"/>
      <c r="NDZ7" s="9"/>
      <c r="NEA7" s="9"/>
      <c r="NEB7" s="9"/>
      <c r="NGO7" s="8"/>
      <c r="NGP7" s="9"/>
      <c r="NGQ7" s="9"/>
      <c r="NGR7" s="9"/>
      <c r="NGS7" s="9"/>
      <c r="NJF7" s="8"/>
      <c r="NJG7" s="9"/>
      <c r="NJH7" s="9"/>
      <c r="NJI7" s="9"/>
      <c r="NJJ7" s="9"/>
      <c r="NLW7" s="8"/>
      <c r="NLX7" s="9"/>
      <c r="NLY7" s="9"/>
      <c r="NLZ7" s="9"/>
      <c r="NMA7" s="9"/>
      <c r="NON7" s="8"/>
      <c r="NOO7" s="9"/>
      <c r="NOP7" s="9"/>
      <c r="NOQ7" s="9"/>
      <c r="NOR7" s="9"/>
      <c r="NRE7" s="8"/>
      <c r="NRF7" s="9"/>
      <c r="NRG7" s="9"/>
      <c r="NRH7" s="9"/>
      <c r="NRI7" s="9"/>
      <c r="NTV7" s="8"/>
      <c r="NTW7" s="9"/>
      <c r="NTX7" s="9"/>
      <c r="NTY7" s="9"/>
      <c r="NTZ7" s="9"/>
      <c r="NWM7" s="8"/>
      <c r="NWN7" s="9"/>
      <c r="NWO7" s="9"/>
      <c r="NWP7" s="9"/>
      <c r="NWQ7" s="9"/>
      <c r="NZD7" s="8"/>
      <c r="NZE7" s="9"/>
      <c r="NZF7" s="9"/>
      <c r="NZG7" s="9"/>
      <c r="NZH7" s="9"/>
      <c r="OBU7" s="8"/>
      <c r="OBV7" s="9"/>
      <c r="OBW7" s="9"/>
      <c r="OBX7" s="9"/>
      <c r="OBY7" s="9"/>
      <c r="OEL7" s="8"/>
      <c r="OEM7" s="9"/>
      <c r="OEN7" s="9"/>
      <c r="OEO7" s="9"/>
      <c r="OEP7" s="9"/>
      <c r="OHC7" s="8"/>
      <c r="OHD7" s="9"/>
      <c r="OHE7" s="9"/>
      <c r="OHF7" s="9"/>
      <c r="OHG7" s="9"/>
      <c r="OJT7" s="8"/>
      <c r="OJU7" s="9"/>
      <c r="OJV7" s="9"/>
      <c r="OJW7" s="9"/>
      <c r="OJX7" s="9"/>
      <c r="OMK7" s="8"/>
      <c r="OML7" s="9"/>
      <c r="OMM7" s="9"/>
      <c r="OMN7" s="9"/>
      <c r="OMO7" s="9"/>
      <c r="OPB7" s="8"/>
      <c r="OPC7" s="9"/>
      <c r="OPD7" s="9"/>
      <c r="OPE7" s="9"/>
      <c r="OPF7" s="9"/>
      <c r="ORS7" s="8"/>
      <c r="ORT7" s="9"/>
      <c r="ORU7" s="9"/>
      <c r="ORV7" s="9"/>
      <c r="ORW7" s="9"/>
      <c r="OUJ7" s="8"/>
      <c r="OUK7" s="9"/>
      <c r="OUL7" s="9"/>
      <c r="OUM7" s="9"/>
      <c r="OUN7" s="9"/>
      <c r="OXA7" s="8"/>
      <c r="OXB7" s="9"/>
      <c r="OXC7" s="9"/>
      <c r="OXD7" s="9"/>
      <c r="OXE7" s="9"/>
      <c r="OZR7" s="8"/>
      <c r="OZS7" s="9"/>
      <c r="OZT7" s="9"/>
      <c r="OZU7" s="9"/>
      <c r="OZV7" s="9"/>
      <c r="PCI7" s="8"/>
      <c r="PCJ7" s="9"/>
      <c r="PCK7" s="9"/>
      <c r="PCL7" s="9"/>
      <c r="PCM7" s="9"/>
      <c r="PEZ7" s="8"/>
      <c r="PFA7" s="9"/>
      <c r="PFB7" s="9"/>
      <c r="PFC7" s="9"/>
      <c r="PFD7" s="9"/>
      <c r="PHQ7" s="8"/>
      <c r="PHR7" s="9"/>
      <c r="PHS7" s="9"/>
      <c r="PHT7" s="9"/>
      <c r="PHU7" s="9"/>
      <c r="PKH7" s="8"/>
      <c r="PKI7" s="9"/>
      <c r="PKJ7" s="9"/>
      <c r="PKK7" s="9"/>
      <c r="PKL7" s="9"/>
      <c r="PMY7" s="8"/>
      <c r="PMZ7" s="9"/>
      <c r="PNA7" s="9"/>
      <c r="PNB7" s="9"/>
      <c r="PNC7" s="9"/>
      <c r="PPP7" s="8"/>
      <c r="PPQ7" s="9"/>
      <c r="PPR7" s="9"/>
      <c r="PPS7" s="9"/>
      <c r="PPT7" s="9"/>
      <c r="PSG7" s="8"/>
      <c r="PSH7" s="9"/>
      <c r="PSI7" s="9"/>
      <c r="PSJ7" s="9"/>
      <c r="PSK7" s="9"/>
      <c r="PUX7" s="8"/>
      <c r="PUY7" s="9"/>
      <c r="PUZ7" s="9"/>
      <c r="PVA7" s="9"/>
      <c r="PVB7" s="9"/>
      <c r="PXO7" s="8"/>
      <c r="PXP7" s="9"/>
      <c r="PXQ7" s="9"/>
      <c r="PXR7" s="9"/>
      <c r="PXS7" s="9"/>
      <c r="QAF7" s="8"/>
      <c r="QAG7" s="9"/>
      <c r="QAH7" s="9"/>
      <c r="QAI7" s="9"/>
      <c r="QAJ7" s="9"/>
      <c r="QCW7" s="8"/>
      <c r="QCX7" s="9"/>
      <c r="QCY7" s="9"/>
      <c r="QCZ7" s="9"/>
      <c r="QDA7" s="9"/>
      <c r="QFN7" s="8"/>
      <c r="QFO7" s="9"/>
      <c r="QFP7" s="9"/>
      <c r="QFQ7" s="9"/>
      <c r="QFR7" s="9"/>
      <c r="QIE7" s="8"/>
      <c r="QIF7" s="9"/>
      <c r="QIG7" s="9"/>
      <c r="QIH7" s="9"/>
      <c r="QII7" s="9"/>
      <c r="QKV7" s="8"/>
      <c r="QKW7" s="9"/>
      <c r="QKX7" s="9"/>
      <c r="QKY7" s="9"/>
      <c r="QKZ7" s="9"/>
      <c r="QNM7" s="8"/>
      <c r="QNN7" s="9"/>
      <c r="QNO7" s="9"/>
      <c r="QNP7" s="9"/>
      <c r="QNQ7" s="9"/>
      <c r="QQD7" s="8"/>
      <c r="QQE7" s="9"/>
      <c r="QQF7" s="9"/>
      <c r="QQG7" s="9"/>
      <c r="QQH7" s="9"/>
      <c r="QSU7" s="8"/>
      <c r="QSV7" s="9"/>
      <c r="QSW7" s="9"/>
      <c r="QSX7" s="9"/>
      <c r="QSY7" s="9"/>
      <c r="QVL7" s="8"/>
      <c r="QVM7" s="9"/>
      <c r="QVN7" s="9"/>
      <c r="QVO7" s="9"/>
      <c r="QVP7" s="9"/>
      <c r="QYC7" s="8"/>
      <c r="QYD7" s="9"/>
      <c r="QYE7" s="9"/>
      <c r="QYF7" s="9"/>
      <c r="QYG7" s="9"/>
      <c r="RAT7" s="8"/>
      <c r="RAU7" s="9"/>
      <c r="RAV7" s="9"/>
      <c r="RAW7" s="9"/>
      <c r="RAX7" s="9"/>
      <c r="RDK7" s="8"/>
      <c r="RDL7" s="9"/>
      <c r="RDM7" s="9"/>
      <c r="RDN7" s="9"/>
      <c r="RDO7" s="9"/>
      <c r="RGB7" s="8"/>
      <c r="RGC7" s="9"/>
      <c r="RGD7" s="9"/>
      <c r="RGE7" s="9"/>
      <c r="RGF7" s="9"/>
      <c r="RIS7" s="8"/>
      <c r="RIT7" s="9"/>
      <c r="RIU7" s="9"/>
      <c r="RIV7" s="9"/>
      <c r="RIW7" s="9"/>
      <c r="RLJ7" s="8"/>
      <c r="RLK7" s="9"/>
      <c r="RLL7" s="9"/>
      <c r="RLM7" s="9"/>
      <c r="RLN7" s="9"/>
      <c r="ROA7" s="8"/>
      <c r="ROB7" s="9"/>
      <c r="ROC7" s="9"/>
      <c r="ROD7" s="9"/>
      <c r="ROE7" s="9"/>
      <c r="RQR7" s="8"/>
      <c r="RQS7" s="9"/>
      <c r="RQT7" s="9"/>
      <c r="RQU7" s="9"/>
      <c r="RQV7" s="9"/>
      <c r="RTI7" s="8"/>
      <c r="RTJ7" s="9"/>
      <c r="RTK7" s="9"/>
      <c r="RTL7" s="9"/>
      <c r="RTM7" s="9"/>
      <c r="RVZ7" s="8"/>
      <c r="RWA7" s="9"/>
      <c r="RWB7" s="9"/>
      <c r="RWC7" s="9"/>
      <c r="RWD7" s="9"/>
      <c r="RYQ7" s="8"/>
      <c r="RYR7" s="9"/>
      <c r="RYS7" s="9"/>
      <c r="RYT7" s="9"/>
      <c r="RYU7" s="9"/>
      <c r="SBH7" s="8"/>
      <c r="SBI7" s="9"/>
      <c r="SBJ7" s="9"/>
      <c r="SBK7" s="9"/>
      <c r="SBL7" s="9"/>
      <c r="SDY7" s="8"/>
      <c r="SDZ7" s="9"/>
      <c r="SEA7" s="9"/>
      <c r="SEB7" s="9"/>
      <c r="SEC7" s="9"/>
      <c r="SGP7" s="8"/>
      <c r="SGQ7" s="9"/>
      <c r="SGR7" s="9"/>
      <c r="SGS7" s="9"/>
      <c r="SGT7" s="9"/>
      <c r="SJG7" s="8"/>
      <c r="SJH7" s="9"/>
      <c r="SJI7" s="9"/>
      <c r="SJJ7" s="9"/>
      <c r="SJK7" s="9"/>
      <c r="SLX7" s="8"/>
      <c r="SLY7" s="9"/>
      <c r="SLZ7" s="9"/>
      <c r="SMA7" s="9"/>
      <c r="SMB7" s="9"/>
      <c r="SOO7" s="8"/>
      <c r="SOP7" s="9"/>
      <c r="SOQ7" s="9"/>
      <c r="SOR7" s="9"/>
      <c r="SOS7" s="9"/>
      <c r="SRF7" s="8"/>
      <c r="SRG7" s="9"/>
      <c r="SRH7" s="9"/>
      <c r="SRI7" s="9"/>
      <c r="SRJ7" s="9"/>
      <c r="STW7" s="8"/>
      <c r="STX7" s="9"/>
      <c r="STY7" s="9"/>
      <c r="STZ7" s="9"/>
      <c r="SUA7" s="9"/>
      <c r="SWN7" s="8"/>
      <c r="SWO7" s="9"/>
      <c r="SWP7" s="9"/>
      <c r="SWQ7" s="9"/>
      <c r="SWR7" s="9"/>
      <c r="SZE7" s="8"/>
      <c r="SZF7" s="9"/>
      <c r="SZG7" s="9"/>
      <c r="SZH7" s="9"/>
      <c r="SZI7" s="9"/>
      <c r="TBV7" s="8"/>
      <c r="TBW7" s="9"/>
      <c r="TBX7" s="9"/>
      <c r="TBY7" s="9"/>
      <c r="TBZ7" s="9"/>
      <c r="TEM7" s="8"/>
      <c r="TEN7" s="9"/>
      <c r="TEO7" s="9"/>
      <c r="TEP7" s="9"/>
      <c r="TEQ7" s="9"/>
      <c r="THD7" s="8"/>
      <c r="THE7" s="9"/>
      <c r="THF7" s="9"/>
      <c r="THG7" s="9"/>
      <c r="THH7" s="9"/>
      <c r="TJU7" s="8"/>
      <c r="TJV7" s="9"/>
      <c r="TJW7" s="9"/>
      <c r="TJX7" s="9"/>
      <c r="TJY7" s="9"/>
      <c r="TML7" s="8"/>
      <c r="TMM7" s="9"/>
      <c r="TMN7" s="9"/>
      <c r="TMO7" s="9"/>
      <c r="TMP7" s="9"/>
      <c r="TPC7" s="8"/>
      <c r="TPD7" s="9"/>
      <c r="TPE7" s="9"/>
      <c r="TPF7" s="9"/>
      <c r="TPG7" s="9"/>
      <c r="TRT7" s="8"/>
      <c r="TRU7" s="9"/>
      <c r="TRV7" s="9"/>
      <c r="TRW7" s="9"/>
      <c r="TRX7" s="9"/>
      <c r="TUK7" s="8"/>
      <c r="TUL7" s="9"/>
      <c r="TUM7" s="9"/>
      <c r="TUN7" s="9"/>
      <c r="TUO7" s="9"/>
      <c r="TXB7" s="8"/>
      <c r="TXC7" s="9"/>
      <c r="TXD7" s="9"/>
      <c r="TXE7" s="9"/>
      <c r="TXF7" s="9"/>
      <c r="TZS7" s="8"/>
      <c r="TZT7" s="9"/>
      <c r="TZU7" s="9"/>
      <c r="TZV7" s="9"/>
      <c r="TZW7" s="9"/>
      <c r="UCJ7" s="8"/>
      <c r="UCK7" s="9"/>
      <c r="UCL7" s="9"/>
      <c r="UCM7" s="9"/>
      <c r="UCN7" s="9"/>
      <c r="UFA7" s="8"/>
      <c r="UFB7" s="9"/>
      <c r="UFC7" s="9"/>
      <c r="UFD7" s="9"/>
      <c r="UFE7" s="9"/>
      <c r="UHR7" s="8"/>
      <c r="UHS7" s="9"/>
      <c r="UHT7" s="9"/>
      <c r="UHU7" s="9"/>
      <c r="UHV7" s="9"/>
      <c r="UKI7" s="8"/>
      <c r="UKJ7" s="9"/>
      <c r="UKK7" s="9"/>
      <c r="UKL7" s="9"/>
      <c r="UKM7" s="9"/>
      <c r="UMZ7" s="8"/>
      <c r="UNA7" s="9"/>
      <c r="UNB7" s="9"/>
      <c r="UNC7" s="9"/>
      <c r="UND7" s="9"/>
      <c r="UPQ7" s="8"/>
      <c r="UPR7" s="9"/>
      <c r="UPS7" s="9"/>
      <c r="UPT7" s="9"/>
      <c r="UPU7" s="9"/>
      <c r="USH7" s="8"/>
      <c r="USI7" s="9"/>
      <c r="USJ7" s="9"/>
      <c r="USK7" s="9"/>
      <c r="USL7" s="9"/>
      <c r="UUY7" s="8"/>
      <c r="UUZ7" s="9"/>
      <c r="UVA7" s="9"/>
      <c r="UVB7" s="9"/>
      <c r="UVC7" s="9"/>
      <c r="UXP7" s="8"/>
      <c r="UXQ7" s="9"/>
      <c r="UXR7" s="9"/>
      <c r="UXS7" s="9"/>
      <c r="UXT7" s="9"/>
      <c r="VAG7" s="8"/>
      <c r="VAH7" s="9"/>
      <c r="VAI7" s="9"/>
      <c r="VAJ7" s="9"/>
      <c r="VAK7" s="9"/>
      <c r="VCX7" s="8"/>
      <c r="VCY7" s="9"/>
      <c r="VCZ7" s="9"/>
      <c r="VDA7" s="9"/>
      <c r="VDB7" s="9"/>
      <c r="VFO7" s="8"/>
      <c r="VFP7" s="9"/>
      <c r="VFQ7" s="9"/>
      <c r="VFR7" s="9"/>
      <c r="VFS7" s="9"/>
      <c r="VIF7" s="8"/>
      <c r="VIG7" s="9"/>
      <c r="VIH7" s="9"/>
      <c r="VII7" s="9"/>
      <c r="VIJ7" s="9"/>
      <c r="VKW7" s="8"/>
      <c r="VKX7" s="9"/>
      <c r="VKY7" s="9"/>
      <c r="VKZ7" s="9"/>
      <c r="VLA7" s="9"/>
      <c r="VNN7" s="8"/>
      <c r="VNO7" s="9"/>
      <c r="VNP7" s="9"/>
      <c r="VNQ7" s="9"/>
      <c r="VNR7" s="9"/>
      <c r="VQE7" s="8"/>
      <c r="VQF7" s="9"/>
      <c r="VQG7" s="9"/>
      <c r="VQH7" s="9"/>
      <c r="VQI7" s="9"/>
      <c r="VSV7" s="8"/>
      <c r="VSW7" s="9"/>
      <c r="VSX7" s="9"/>
      <c r="VSY7" s="9"/>
      <c r="VSZ7" s="9"/>
      <c r="VVM7" s="8"/>
      <c r="VVN7" s="9"/>
      <c r="VVO7" s="9"/>
      <c r="VVP7" s="9"/>
      <c r="VVQ7" s="9"/>
      <c r="VYD7" s="8"/>
      <c r="VYE7" s="9"/>
      <c r="VYF7" s="9"/>
      <c r="VYG7" s="9"/>
      <c r="VYH7" s="9"/>
      <c r="WAU7" s="8"/>
      <c r="WAV7" s="9"/>
      <c r="WAW7" s="9"/>
      <c r="WAX7" s="9"/>
      <c r="WAY7" s="9"/>
      <c r="WDL7" s="8"/>
      <c r="WDM7" s="9"/>
      <c r="WDN7" s="9"/>
      <c r="WDO7" s="9"/>
      <c r="WDP7" s="9"/>
      <c r="WGC7" s="8"/>
      <c r="WGD7" s="9"/>
      <c r="WGE7" s="9"/>
      <c r="WGF7" s="9"/>
      <c r="WGG7" s="9"/>
      <c r="WIT7" s="8"/>
      <c r="WIU7" s="9"/>
      <c r="WIV7" s="9"/>
      <c r="WIW7" s="9"/>
      <c r="WIX7" s="9"/>
      <c r="WLK7" s="8"/>
      <c r="WLL7" s="9"/>
      <c r="WLM7" s="9"/>
      <c r="WLN7" s="9"/>
      <c r="WLO7" s="9"/>
      <c r="WOB7" s="8"/>
      <c r="WOC7" s="9"/>
      <c r="WOD7" s="9"/>
      <c r="WOE7" s="9"/>
      <c r="WOF7" s="9"/>
      <c r="WQS7" s="8"/>
      <c r="WQT7" s="9"/>
      <c r="WQU7" s="9"/>
      <c r="WQV7" s="9"/>
      <c r="WQW7" s="9"/>
      <c r="WTJ7" s="8"/>
      <c r="WTK7" s="9"/>
      <c r="WTL7" s="9"/>
      <c r="WTM7" s="9"/>
      <c r="WTN7" s="9"/>
      <c r="WWA7" s="8"/>
      <c r="WWB7" s="9"/>
      <c r="WWC7" s="9"/>
      <c r="WWD7" s="9"/>
      <c r="WWE7" s="9"/>
      <c r="WYR7" s="8"/>
      <c r="WYS7" s="9"/>
      <c r="WYT7" s="9"/>
      <c r="WYU7" s="9"/>
      <c r="WYV7" s="9"/>
      <c r="XBI7" s="8"/>
      <c r="XBJ7" s="9"/>
      <c r="XBK7" s="9"/>
      <c r="XBL7" s="9"/>
      <c r="XBM7" s="9"/>
      <c r="XDZ7" s="8"/>
      <c r="XEA7" s="9"/>
      <c r="XEB7" s="9"/>
      <c r="XEC7" s="9"/>
      <c r="XED7" s="9"/>
    </row>
    <row r="8" spans="1:971 1036:2006 2071:3041 3106:4076 4141:5111 5176:7112 7177:8147 8212:9182 9247:10217 10282:11252 11317:12287 12352:13253 13318:14288 14353:15323 15388:16358" s="3" customFormat="1" ht="32.25" customHeight="1">
      <c r="A8" s="11" t="s">
        <v>29</v>
      </c>
      <c r="F8" s="14">
        <f>F10/F12</f>
        <v>1.1373576738965596</v>
      </c>
      <c r="G8" s="12"/>
      <c r="H8" s="12"/>
      <c r="I8" s="15">
        <f>719*0.55</f>
        <v>395.45000000000005</v>
      </c>
      <c r="J8" s="15">
        <f>600*0.55</f>
        <v>330</v>
      </c>
      <c r="K8" s="15">
        <f>759*0.55</f>
        <v>417.45000000000005</v>
      </c>
      <c r="L8" s="15">
        <f>900*0.55</f>
        <v>495.00000000000006</v>
      </c>
      <c r="M8" s="15">
        <f>760*0.55</f>
        <v>418.00000000000006</v>
      </c>
      <c r="N8" s="16">
        <v>700</v>
      </c>
      <c r="O8" s="16">
        <v>750</v>
      </c>
      <c r="P8" s="16">
        <v>780</v>
      </c>
      <c r="Q8" s="16">
        <v>930</v>
      </c>
      <c r="R8" s="16">
        <v>1040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</row>
    <row r="9" spans="1:971 1036:2006 2071:3041 3106:4076 4141:5111 5176:7112 7177:8147 8212:9182 9247:10217 10282:11252 11317:12287 12352:13253 13318:14288 14353:15323 15388:16358" s="3" customFormat="1" ht="32.25" customHeight="1">
      <c r="A9" s="11" t="s">
        <v>30</v>
      </c>
      <c r="F9" s="12"/>
      <c r="G9" s="12"/>
      <c r="H9" s="12"/>
      <c r="I9" s="16">
        <v>65.5</v>
      </c>
      <c r="J9" s="16">
        <v>65.5</v>
      </c>
      <c r="K9" s="16">
        <v>65.5</v>
      </c>
      <c r="L9" s="16">
        <v>67.599999999999994</v>
      </c>
      <c r="M9" s="16">
        <v>67.599999999999994</v>
      </c>
      <c r="N9" s="16">
        <v>67</v>
      </c>
      <c r="O9" s="16">
        <v>67.5</v>
      </c>
      <c r="P9" s="16">
        <v>68.5</v>
      </c>
      <c r="Q9" s="16">
        <v>69.5</v>
      </c>
      <c r="R9" s="16">
        <v>69.5</v>
      </c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</row>
    <row r="10" spans="1:971 1036:2006 2071:3041 3106:4076 4141:5111 5176:7112 7177:8147 8212:9182 9247:10217 10282:11252 11317:12287 12352:13253 13318:14288 14353:15323 15388:16358" s="3" customFormat="1" ht="32.25" customHeight="1">
      <c r="A10" s="17" t="s">
        <v>32</v>
      </c>
      <c r="F10" s="12">
        <v>265886.41618999996</v>
      </c>
      <c r="G10" s="12">
        <v>296491.57402999996</v>
      </c>
      <c r="H10" s="12">
        <v>318795.86195999995</v>
      </c>
      <c r="I10" s="12">
        <f>H10+I7</f>
        <v>344697.83695999993</v>
      </c>
      <c r="J10" s="12">
        <f t="shared" ref="J10:R10" si="2">I10+J7</f>
        <v>366312.83695999993</v>
      </c>
      <c r="K10" s="12">
        <f t="shared" si="2"/>
        <v>393655.8119599999</v>
      </c>
      <c r="L10" s="12">
        <f t="shared" si="2"/>
        <v>427117.8119599999</v>
      </c>
      <c r="M10" s="12">
        <f t="shared" si="2"/>
        <v>455374.61195999989</v>
      </c>
      <c r="N10" s="12">
        <f t="shared" si="2"/>
        <v>502274.61195999989</v>
      </c>
      <c r="O10" s="12">
        <f t="shared" si="2"/>
        <v>552899.61195999989</v>
      </c>
      <c r="P10" s="12">
        <f t="shared" si="2"/>
        <v>606329.61195999989</v>
      </c>
      <c r="Q10" s="12">
        <f t="shared" si="2"/>
        <v>670964.61195999989</v>
      </c>
      <c r="R10" s="12">
        <f t="shared" si="2"/>
        <v>743244.61195999989</v>
      </c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</row>
    <row r="11" spans="1:971 1036:2006 2071:3041 3106:4076 4141:5111 5176:7112 7177:8147 8212:9182 9247:10217 10282:11252 11317:12287 12352:13253 13318:14288 14353:15323 15388:16358" s="3" customFormat="1" ht="32.25" customHeight="1">
      <c r="A11" s="18" t="s">
        <v>33</v>
      </c>
      <c r="B11" s="19"/>
      <c r="C11" s="19"/>
      <c r="D11" s="19"/>
      <c r="E11" s="19"/>
      <c r="F11" s="20">
        <v>36485.232130000004</v>
      </c>
      <c r="G11" s="20">
        <v>31537.208070000001</v>
      </c>
      <c r="H11" s="20">
        <v>27893.470519999999</v>
      </c>
      <c r="I11" s="20">
        <v>32000</v>
      </c>
      <c r="J11" s="20">
        <v>32000</v>
      </c>
      <c r="K11" s="20">
        <v>32000</v>
      </c>
      <c r="L11" s="21">
        <v>32000</v>
      </c>
      <c r="M11" s="21">
        <v>32000</v>
      </c>
      <c r="N11" s="21">
        <v>32000</v>
      </c>
      <c r="O11" s="20">
        <v>50000</v>
      </c>
      <c r="P11" s="20">
        <v>50000</v>
      </c>
      <c r="Q11" s="20">
        <v>61135.155516795814</v>
      </c>
      <c r="R11" s="20">
        <v>61135.155516795814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</row>
    <row r="12" spans="1:971 1036:2006 2071:3041 3106:4076 4141:5111 5176:7112 7177:8147 8212:9182 9247:10217 10282:11252 11317:12287 12352:13253 13318:14288 14353:15323 15388:16358" s="3" customFormat="1" ht="21.75" customHeight="1">
      <c r="A12" s="23" t="s">
        <v>34</v>
      </c>
      <c r="B12" s="24"/>
      <c r="C12" s="24"/>
      <c r="D12" s="24"/>
      <c r="E12" s="24"/>
      <c r="F12" s="25">
        <v>233775.5503764085</v>
      </c>
      <c r="G12" s="25">
        <v>265312.75844640849</v>
      </c>
      <c r="H12" s="25">
        <v>293206.22896640847</v>
      </c>
      <c r="I12" s="25">
        <f>H12+I11</f>
        <v>325206.22896640847</v>
      </c>
      <c r="J12" s="25">
        <f t="shared" ref="J12:R12" si="3">I12+J11</f>
        <v>357206.22896640847</v>
      </c>
      <c r="K12" s="25">
        <f t="shared" si="3"/>
        <v>389206.22896640847</v>
      </c>
      <c r="L12" s="25">
        <f t="shared" si="3"/>
        <v>421206.22896640847</v>
      </c>
      <c r="M12" s="25">
        <f t="shared" si="3"/>
        <v>453206.22896640847</v>
      </c>
      <c r="N12" s="25">
        <f t="shared" si="3"/>
        <v>485206.22896640847</v>
      </c>
      <c r="O12" s="25">
        <f t="shared" si="3"/>
        <v>535206.22896640841</v>
      </c>
      <c r="P12" s="25">
        <f t="shared" si="3"/>
        <v>585206.22896640841</v>
      </c>
      <c r="Q12" s="25">
        <f t="shared" si="3"/>
        <v>646341.38448320422</v>
      </c>
      <c r="R12" s="25">
        <f t="shared" si="3"/>
        <v>707476.54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</row>
    <row r="13" spans="1:971 1036:2006 2071:3041 3106:4076 4141:5111 5176:7112 7177:8147 8212:9182 9247:10217 10282:11252 11317:12287 12352:13253 13318:14288 14353:15323 15388:16358" s="3" customFormat="1" ht="32.25" customHeight="1">
      <c r="A13" s="26" t="s">
        <v>35</v>
      </c>
      <c r="B13" s="19"/>
      <c r="C13" s="19"/>
      <c r="D13" s="19"/>
      <c r="E13" s="19"/>
      <c r="F13" s="27" t="e">
        <f>IF(F10/F12&gt;1.5,#REF!,IF(F10/F12&gt;1.4,#REF!,IF(F10/F12&gt;1.3,#REF!,IF(F10/F12&gt;1.2,#REF!,IF(F10/F12&gt;1.1,#REF!,IF(F10/F12&gt;1,#REF!,IF(F10/F12&lt;1,17.73)))))))</f>
        <v>#REF!</v>
      </c>
      <c r="G13" s="27" t="e">
        <f>IF(G10/G12&gt;1.5,#REF!,IF(G10/G12&gt;1.4,#REF!,IF(G10/G12&gt;1.3,#REF!,IF(G10/G12&gt;1.2,#REF!,IF(G10/G12&gt;1.1,#REF!,IF(G10/G12&gt;1,#REF!,IF(G10/G12&lt;1,17.73)))))))</f>
        <v>#REF!</v>
      </c>
      <c r="H13" s="27" t="e">
        <f>IF(H10/H12&gt;1.5,#REF!,IF(H10/H12&gt;1.4,#REF!,IF(H10/H12&gt;1.3,#REF!,IF(H10/H12&gt;1.2,#REF!,IF(H10/H12&gt;1.1,#REF!,IF(H10/H12&gt;1,#REF!,IF(H10/H12&lt;1,17.73)))))))</f>
        <v>#REF!</v>
      </c>
      <c r="I13" s="27" t="e">
        <f>IF(I10/I12&gt;1.5,#REF!,IF(I10/I12&gt;1.4,#REF!,IF(I10/I12&gt;1.3,#REF!,IF(I10/I12&gt;1.2,#REF!,IF(I10/I12&gt;1.1,#REF!,IF(I10/I12&gt;1,#REF!,IF(I10/I12&lt;1,17.73)))))))</f>
        <v>#REF!</v>
      </c>
      <c r="J13" s="27" t="e">
        <f>IF(J10/J12&gt;1.5,#REF!,IF(J10/J12&gt;1.4,#REF!,IF(J10/J12&gt;1.3,#REF!,IF(J10/J12&gt;1.2,#REF!,IF(J10/J12&gt;1.1,#REF!,IF(J10/J12&gt;1,#REF!,IF(J10/J12&lt;1,17.73)))))))</f>
        <v>#REF!</v>
      </c>
      <c r="K13" s="27" t="e">
        <f>IF(K10/K12&gt;1.5,#REF!,IF(K10/K12&gt;1.4,#REF!,IF(K10/K12&gt;1.3,#REF!,IF(K10/K12&gt;1.2,#REF!,IF(K10/K12&gt;1.1,#REF!,IF(K10/K12&gt;1,#REF!,IF(K10/K12&lt;1,17.73)))))))</f>
        <v>#REF!</v>
      </c>
      <c r="L13" s="27" t="e">
        <f>IF(L10/L12&gt;1.5,#REF!,IF(L10/L12&gt;1.4,#REF!,IF(L10/L12&gt;1.3,#REF!,IF(L10/L12&gt;1.2,#REF!,IF(L10/L12&gt;1.1,#REF!,IF(L10/L12&gt;1,#REF!,IF(L10/L12&lt;1,17.73)))))))</f>
        <v>#REF!</v>
      </c>
      <c r="M13" s="27" t="e">
        <f>IF(M10/M12&gt;1.5,#REF!,IF(M10/M12&gt;1.4,#REF!,IF(M10/M12&gt;1.3,#REF!,IF(M10/M12&gt;1.2,#REF!,IF(M10/M12&gt;1.1,#REF!,IF(M10/M12&gt;1,#REF!,IF(M10/M12&lt;1,17.73)))))))</f>
        <v>#REF!</v>
      </c>
      <c r="N13" s="27" t="e">
        <f>IF(N10/N12&gt;1.5,#REF!,IF(N10/N12&gt;1.4,#REF!,IF(N10/N12&gt;1.3,#REF!,IF(N10/N12&gt;1.2,#REF!,IF(N10/N12&gt;1.1,#REF!,IF(N10/N12&gt;1,#REF!,IF(N10/N12&lt;1,17.73)))))))</f>
        <v>#REF!</v>
      </c>
      <c r="O13" s="27" t="e">
        <f>IF(O10/O12&gt;1.5,#REF!,IF(O10/O12&gt;1.4,#REF!,IF(O10/O12&gt;1.3,#REF!,IF(O10/O12&gt;1.2,#REF!,IF(O10/O12&gt;1.1,#REF!,IF(O10/O12&gt;1,#REF!,IF(O10/O12&lt;1,17.73)))))))</f>
        <v>#REF!</v>
      </c>
      <c r="P13" s="27" t="e">
        <f>IF(P10/P12&gt;1.5,#REF!,IF(P10/P12&gt;1.4,#REF!,IF(P10/P12&gt;1.3,#REF!,IF(P10/P12&gt;1.2,#REF!,IF(P10/P12&gt;1.1,#REF!,IF(P10/P12&gt;1,#REF!,IF(P10/P12&lt;1,17.73)))))))</f>
        <v>#REF!</v>
      </c>
      <c r="Q13" s="27" t="e">
        <f>IF(Q10/Q12&gt;1.5,#REF!,IF(Q10/Q12&gt;1.4,#REF!,IF(Q10/Q12&gt;1.3,#REF!,IF(Q10/Q12&gt;1.2,#REF!,IF(Q10/Q12&gt;1.1,#REF!,IF(Q10/Q12&gt;1,#REF!,IF(Q10/Q12&lt;1,17.73)))))))</f>
        <v>#REF!</v>
      </c>
      <c r="R13" s="27" t="e">
        <f>IF(R10/R12&gt;1.5,#REF!,IF(R10/R12&gt;1.4,#REF!,IF(R10/R12&gt;1.3,#REF!,IF(R10/R12&gt;1.2,#REF!,IF(R10/R12&gt;1.1,#REF!,IF(R10/R12&gt;1,#REF!,IF(R10/R12&lt;1,17.73)))))))</f>
        <v>#REF!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</row>
    <row r="14" spans="1:971 1036:2006 2071:3041 3106:4076 4141:5111 5176:7112 7177:8147 8212:9182 9247:10217 10282:11252 11317:12287 12352:13253 13318:14288 14353:15323 15388:16358" ht="82.5" customHeight="1">
      <c r="A14" s="28" t="s">
        <v>36</v>
      </c>
      <c r="B14" s="29">
        <v>14439.4</v>
      </c>
      <c r="C14" s="30"/>
      <c r="F14" s="31" t="s">
        <v>37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</row>
    <row r="15" spans="1:971 1036:2006 2071:3041 3106:4076 4141:5111 5176:7112 7177:8147 8212:9182 9247:10217 10282:11252 11317:12287 12352:13253 13318:14288 14353:15323 15388:16358" ht="82.5" customHeight="1">
      <c r="A15" s="28" t="s">
        <v>38</v>
      </c>
      <c r="B15" s="30">
        <v>18331.740000000002</v>
      </c>
      <c r="C15" s="30">
        <v>27707.46</v>
      </c>
      <c r="D15" s="1">
        <v>9</v>
      </c>
      <c r="E15" s="1">
        <v>26</v>
      </c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1" t="s">
        <v>37</v>
      </c>
      <c r="U15" s="30"/>
      <c r="V15" s="29" t="s">
        <v>39</v>
      </c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</row>
    <row r="16" spans="1:971 1036:2006 2071:3041 3106:4076 4141:5111 5176:7112 7177:8147 8212:9182 9247:10217 10282:11252 11317:12287 12352:13253 13318:14288 14353:15323 15388:16358" ht="82.5" customHeight="1">
      <c r="A16" s="28" t="s">
        <v>40</v>
      </c>
      <c r="B16" s="30">
        <v>10065.540000000001</v>
      </c>
      <c r="C16" s="30">
        <v>13453.37</v>
      </c>
      <c r="D16" s="1">
        <v>9</v>
      </c>
      <c r="E16" s="1">
        <v>24</v>
      </c>
      <c r="F16" s="33" t="s">
        <v>41</v>
      </c>
      <c r="G16" s="32"/>
      <c r="H16" s="32"/>
      <c r="I16" s="32"/>
      <c r="J16" s="32"/>
      <c r="K16" s="32"/>
      <c r="L16" s="34">
        <v>18000</v>
      </c>
      <c r="M16" s="32"/>
      <c r="N16" s="32"/>
      <c r="O16" s="32"/>
      <c r="P16" s="32"/>
      <c r="Q16" s="32"/>
      <c r="R16" s="32"/>
      <c r="S16" s="32"/>
      <c r="T16" s="32"/>
      <c r="U16" s="31" t="s">
        <v>37</v>
      </c>
      <c r="V16" s="29" t="s">
        <v>42</v>
      </c>
      <c r="W16" s="29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</row>
    <row r="17" spans="1:101" ht="82.5" customHeight="1">
      <c r="A17" s="35" t="s">
        <v>43</v>
      </c>
      <c r="B17" s="30">
        <v>10000</v>
      </c>
      <c r="C17" s="30">
        <v>13365.770738579351</v>
      </c>
      <c r="D17" s="1">
        <v>9</v>
      </c>
      <c r="E17" s="1">
        <v>18</v>
      </c>
      <c r="F17" s="36" t="s">
        <v>44</v>
      </c>
      <c r="G17" s="30"/>
      <c r="H17" s="30"/>
      <c r="I17" s="30"/>
      <c r="J17" s="30">
        <v>19000</v>
      </c>
      <c r="K17" s="37" t="s">
        <v>45</v>
      </c>
      <c r="L17" s="38" t="s">
        <v>46</v>
      </c>
      <c r="M17" s="32"/>
      <c r="N17" s="32"/>
      <c r="O17" s="33" t="s">
        <v>41</v>
      </c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1" t="s">
        <v>37</v>
      </c>
      <c r="AD17" s="29" t="s">
        <v>47</v>
      </c>
      <c r="AE17" s="29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</row>
    <row r="18" spans="1:101" ht="82.5" customHeight="1">
      <c r="A18" s="35" t="s">
        <v>48</v>
      </c>
      <c r="B18" s="30">
        <v>25000</v>
      </c>
      <c r="C18" s="30">
        <f t="shared" ref="C18:C20" si="4">B18*1.33</f>
        <v>33250</v>
      </c>
      <c r="D18" s="1">
        <v>9</v>
      </c>
      <c r="E18" s="1">
        <v>18</v>
      </c>
      <c r="F18" s="29"/>
      <c r="G18" s="30"/>
      <c r="H18" s="30"/>
      <c r="I18" s="30"/>
      <c r="J18" s="36">
        <f>15000+2500</f>
        <v>17500</v>
      </c>
      <c r="K18" s="30"/>
      <c r="L18" s="30">
        <v>22000</v>
      </c>
      <c r="M18" s="37" t="s">
        <v>45</v>
      </c>
      <c r="N18" s="39" t="s">
        <v>49</v>
      </c>
      <c r="O18" s="38" t="s">
        <v>46</v>
      </c>
      <c r="P18" s="32"/>
      <c r="Q18" s="32"/>
      <c r="R18" s="33" t="s">
        <v>41</v>
      </c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1" t="s">
        <v>37</v>
      </c>
      <c r="AG18" s="29" t="s">
        <v>50</v>
      </c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</row>
    <row r="19" spans="1:101" ht="82.5" customHeight="1">
      <c r="A19" s="40" t="s">
        <v>51</v>
      </c>
      <c r="B19" s="30">
        <v>14000</v>
      </c>
      <c r="C19" s="30">
        <f t="shared" si="4"/>
        <v>18620</v>
      </c>
      <c r="D19" s="1">
        <v>9</v>
      </c>
      <c r="E19" s="1">
        <v>18</v>
      </c>
      <c r="F19" s="30"/>
      <c r="G19" s="29"/>
      <c r="I19" s="36">
        <v>5000</v>
      </c>
      <c r="J19" s="29">
        <v>3000</v>
      </c>
      <c r="K19" s="30"/>
      <c r="L19" s="30"/>
      <c r="M19" s="30">
        <v>20000</v>
      </c>
      <c r="N19" s="37" t="s">
        <v>45</v>
      </c>
      <c r="O19" s="39" t="s">
        <v>49</v>
      </c>
      <c r="P19" s="38" t="s">
        <v>46</v>
      </c>
      <c r="Q19" s="32"/>
      <c r="R19" s="32"/>
      <c r="S19" s="33" t="s">
        <v>41</v>
      </c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1" t="s">
        <v>37</v>
      </c>
      <c r="AH19" s="29" t="s">
        <v>52</v>
      </c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</row>
    <row r="20" spans="1:101" ht="82.5" customHeight="1">
      <c r="A20" s="41" t="s">
        <v>53</v>
      </c>
      <c r="B20" s="30">
        <v>18534.63</v>
      </c>
      <c r="C20" s="30">
        <f t="shared" si="4"/>
        <v>24651.057900000003</v>
      </c>
      <c r="D20" s="1">
        <v>9</v>
      </c>
      <c r="E20" s="1">
        <v>18</v>
      </c>
      <c r="F20" s="36" t="s">
        <v>44</v>
      </c>
      <c r="G20" s="30" t="s">
        <v>54</v>
      </c>
      <c r="H20" s="37" t="s">
        <v>45</v>
      </c>
      <c r="I20" s="29" t="s">
        <v>55</v>
      </c>
      <c r="J20" s="39" t="s">
        <v>49</v>
      </c>
      <c r="K20" s="29"/>
      <c r="L20" s="30"/>
      <c r="M20" s="30"/>
      <c r="N20" s="30"/>
      <c r="O20" s="30"/>
      <c r="P20" s="38" t="s">
        <v>46</v>
      </c>
      <c r="Q20" s="32"/>
      <c r="R20" s="32"/>
      <c r="S20" s="33" t="s">
        <v>41</v>
      </c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1" t="s">
        <v>37</v>
      </c>
      <c r="AH20" s="29" t="s">
        <v>56</v>
      </c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</row>
    <row r="21" spans="1:101" s="2" customFormat="1" ht="39" customHeight="1">
      <c r="A21" s="42" t="s">
        <v>57</v>
      </c>
      <c r="B21" s="43"/>
      <c r="C21" s="43"/>
      <c r="D21" s="44"/>
      <c r="E21" s="44"/>
      <c r="F21" s="43"/>
      <c r="G21" s="43"/>
      <c r="H21" s="45"/>
      <c r="I21" s="45">
        <f>I19</f>
        <v>5000</v>
      </c>
      <c r="J21" s="45">
        <f>J19+J18+J17</f>
        <v>39500</v>
      </c>
      <c r="K21" s="45"/>
      <c r="L21" s="45">
        <f>L18</f>
        <v>22000</v>
      </c>
      <c r="M21" s="45">
        <f>M19</f>
        <v>20000</v>
      </c>
      <c r="N21" s="43"/>
      <c r="O21" s="43"/>
      <c r="P21" s="45"/>
      <c r="Q21" s="43"/>
      <c r="R21" s="43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7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</row>
    <row r="22" spans="1:101" s="48" customFormat="1" ht="21.75" customHeight="1">
      <c r="A22" s="49" t="s">
        <v>58</v>
      </c>
      <c r="B22" s="33">
        <f>SUM(B14:B20)</f>
        <v>110371.31</v>
      </c>
      <c r="C22" s="33"/>
      <c r="D22" s="33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</row>
    <row r="23" spans="1:101" ht="82.5" hidden="1" customHeight="1" outlineLevel="1">
      <c r="A23" s="35" t="s">
        <v>59</v>
      </c>
      <c r="B23" s="30">
        <v>10000</v>
      </c>
      <c r="C23" s="30">
        <v>13365.770738579351</v>
      </c>
      <c r="D23" s="1">
        <v>9</v>
      </c>
      <c r="E23" s="1">
        <v>18</v>
      </c>
      <c r="F23" s="50" t="s">
        <v>60</v>
      </c>
      <c r="G23" s="1" t="s">
        <v>61</v>
      </c>
      <c r="H23" s="51" t="s">
        <v>45</v>
      </c>
      <c r="I23" s="52" t="s">
        <v>55</v>
      </c>
      <c r="J23" s="53" t="s">
        <v>49</v>
      </c>
      <c r="K23" s="52"/>
      <c r="O23" s="52"/>
      <c r="P23" s="52"/>
      <c r="T23" s="52"/>
      <c r="X23" s="54" t="s">
        <v>46</v>
      </c>
      <c r="Y23" s="55"/>
      <c r="Z23" s="55"/>
      <c r="AA23" s="48" t="s">
        <v>41</v>
      </c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6" t="s">
        <v>37</v>
      </c>
      <c r="AP23" s="52" t="s">
        <v>47</v>
      </c>
    </row>
    <row r="24" spans="1:101" ht="74.45" hidden="1" customHeight="1" outlineLevel="1">
      <c r="A24" s="57" t="s">
        <v>62</v>
      </c>
      <c r="B24" s="58">
        <v>25000</v>
      </c>
      <c r="C24" s="30">
        <f>C18</f>
        <v>33250</v>
      </c>
      <c r="D24" s="1">
        <v>10</v>
      </c>
      <c r="E24" s="1">
        <v>18</v>
      </c>
      <c r="I24" s="50" t="s">
        <v>44</v>
      </c>
      <c r="M24" s="51" t="s">
        <v>45</v>
      </c>
      <c r="N24" s="53" t="s">
        <v>49</v>
      </c>
      <c r="Z24" s="54" t="s">
        <v>46</v>
      </c>
      <c r="AA24" s="55"/>
      <c r="AB24" s="55"/>
      <c r="AC24" s="48" t="s">
        <v>41</v>
      </c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6" t="s">
        <v>37</v>
      </c>
      <c r="AR24" s="52" t="s">
        <v>50</v>
      </c>
    </row>
    <row r="25" spans="1:101" ht="82.5" hidden="1" customHeight="1" outlineLevel="1">
      <c r="A25" s="40" t="s">
        <v>51</v>
      </c>
      <c r="B25" s="30">
        <v>6000</v>
      </c>
      <c r="C25" s="30">
        <f>B25*1.33</f>
        <v>7980</v>
      </c>
      <c r="D25" s="1">
        <v>9</v>
      </c>
      <c r="E25" s="1">
        <v>18</v>
      </c>
      <c r="G25" s="52"/>
      <c r="H25" s="50" t="s">
        <v>44</v>
      </c>
      <c r="I25" s="52"/>
      <c r="N25" s="51" t="s">
        <v>45</v>
      </c>
      <c r="O25" s="53" t="s">
        <v>49</v>
      </c>
      <c r="P25" s="54" t="s">
        <v>46</v>
      </c>
      <c r="Q25" s="55"/>
      <c r="R25" s="55"/>
      <c r="S25" s="48" t="s">
        <v>41</v>
      </c>
      <c r="AC25" s="54" t="s">
        <v>46</v>
      </c>
      <c r="AD25" s="55"/>
      <c r="AE25" s="55"/>
      <c r="AF25" s="48" t="s">
        <v>41</v>
      </c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6" t="s">
        <v>37</v>
      </c>
      <c r="AU25" s="52" t="s">
        <v>52</v>
      </c>
    </row>
    <row r="26" spans="1:101" ht="40.5" hidden="1" customHeight="1" outlineLevel="1">
      <c r="A26" s="57" t="s">
        <v>63</v>
      </c>
      <c r="B26" s="30">
        <f>B25+B23+B24</f>
        <v>41000</v>
      </c>
      <c r="C26" s="30">
        <f>C25+C23+C24</f>
        <v>54595.770738579347</v>
      </c>
    </row>
    <row r="27" spans="1:101" ht="82.5" hidden="1" customHeight="1" outlineLevel="1"/>
    <row r="28" spans="1:101" ht="82.5" hidden="1" customHeight="1" outlineLevel="1"/>
    <row r="29" spans="1:101" hidden="1" outlineLevel="1">
      <c r="A29" s="35"/>
      <c r="AG29" s="59"/>
    </row>
    <row r="30" spans="1:101" hidden="1" outlineLevel="1">
      <c r="A30" s="35"/>
      <c r="AG30" s="59"/>
    </row>
    <row r="31" spans="1:101" hidden="1" outlineLevel="1">
      <c r="J31" s="268">
        <f>B15+B16+B14</f>
        <v>42836.68</v>
      </c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70" t="e">
        <f>B17+B18+B20+B19+#REF!</f>
        <v>#REF!</v>
      </c>
      <c r="W31" s="271"/>
      <c r="X31" s="271"/>
      <c r="Y31" s="271"/>
      <c r="Z31" s="271"/>
      <c r="AA31" s="271"/>
      <c r="AB31" s="271"/>
      <c r="AC31" s="271"/>
      <c r="AD31" s="271"/>
      <c r="AE31" s="271"/>
      <c r="AF31" s="271"/>
      <c r="AG31" s="271"/>
      <c r="AH31" s="268" t="e">
        <f>#REF!+B22+#REF!+B23</f>
        <v>#REF!</v>
      </c>
      <c r="AI31" s="269"/>
      <c r="AJ31" s="269"/>
      <c r="AK31" s="269"/>
      <c r="AL31" s="269"/>
      <c r="AM31" s="269"/>
      <c r="AN31" s="269"/>
      <c r="AO31" s="269"/>
      <c r="AP31" s="269"/>
      <c r="AQ31" s="269"/>
      <c r="AR31" s="269"/>
      <c r="AS31" s="269"/>
      <c r="AT31" s="268" t="e">
        <f>#REF!++B22+#REF!</f>
        <v>#REF!</v>
      </c>
      <c r="AU31" s="269"/>
      <c r="AV31" s="269"/>
      <c r="AW31" s="269"/>
      <c r="AX31" s="269"/>
      <c r="AY31" s="269"/>
      <c r="AZ31" s="269"/>
      <c r="BA31" s="269"/>
      <c r="BB31" s="269"/>
      <c r="BC31" s="269"/>
      <c r="BD31" s="269"/>
      <c r="BE31" s="269"/>
      <c r="BF31" s="269"/>
      <c r="BG31" s="269"/>
      <c r="BH31" s="269"/>
      <c r="BI31" s="269"/>
      <c r="BJ31" s="269"/>
      <c r="BK31" s="269"/>
      <c r="BL31" s="269"/>
      <c r="BM31" s="269"/>
      <c r="BN31" s="269"/>
      <c r="BO31" s="269"/>
      <c r="BP31" s="269"/>
      <c r="BQ31" s="269"/>
    </row>
    <row r="32" spans="1:101" ht="26.25" hidden="1" outlineLevel="1">
      <c r="A32" s="35"/>
      <c r="V32" s="266" t="e">
        <f>V31+J31</f>
        <v>#REF!</v>
      </c>
      <c r="W32" s="267"/>
      <c r="X32" s="267"/>
      <c r="Y32" s="267"/>
      <c r="Z32" s="267"/>
      <c r="AA32" s="267"/>
      <c r="AB32" s="267"/>
      <c r="AC32" s="267"/>
      <c r="AD32" s="267"/>
      <c r="AE32" s="267"/>
      <c r="AF32" s="267"/>
      <c r="AG32" s="267"/>
      <c r="AH32" s="268" t="e">
        <f>AH31+V32</f>
        <v>#REF!</v>
      </c>
      <c r="AI32" s="269"/>
      <c r="AJ32" s="269"/>
      <c r="AK32" s="269"/>
      <c r="AL32" s="269"/>
      <c r="AM32" s="269"/>
      <c r="AN32" s="269"/>
      <c r="AO32" s="269"/>
      <c r="AP32" s="269"/>
      <c r="AQ32" s="269"/>
      <c r="AR32" s="269"/>
      <c r="AS32" s="269"/>
    </row>
    <row r="33" spans="1:39" hidden="1" outlineLevel="1">
      <c r="A33" s="35"/>
    </row>
    <row r="34" spans="1:39" ht="26.25" hidden="1" outlineLevel="1">
      <c r="AL34" s="1" t="s">
        <v>64</v>
      </c>
      <c r="AM34" s="60" t="e">
        <f>AH31-100000</f>
        <v>#REF!</v>
      </c>
    </row>
    <row r="35" spans="1:39" hidden="1" outlineLevel="1"/>
    <row r="36" spans="1:39" hidden="1" outlineLevel="1"/>
    <row r="37" spans="1:39" hidden="1" outlineLevel="1"/>
    <row r="38" spans="1:39" hidden="1" outlineLevel="1"/>
    <row r="39" spans="1:39" hidden="1" outlineLevel="1"/>
    <row r="40" spans="1:39" hidden="1" outlineLevel="1"/>
    <row r="41" spans="1:39" hidden="1" outlineLevel="1"/>
    <row r="42" spans="1:39" hidden="1" outlineLevel="1"/>
    <row r="43" spans="1:39" hidden="1" outlineLevel="1"/>
    <row r="44" spans="1:39" hidden="1" outlineLevel="1"/>
    <row r="45" spans="1:39" hidden="1" outlineLevel="1"/>
    <row r="46" spans="1:39" hidden="1" outlineLevel="1"/>
    <row r="47" spans="1:39" hidden="1" outlineLevel="1"/>
    <row r="48" spans="1:39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hidden="1" outlineLevel="1"/>
    <row r="66" hidden="1" outlineLevel="1"/>
    <row r="67" hidden="1" outlineLevel="1"/>
    <row r="68" hidden="1" outlineLevel="1"/>
    <row r="69" hidden="1" outlineLevel="1"/>
    <row r="70" hidden="1" outlineLevel="1"/>
    <row r="71" hidden="1" outlineLevel="1"/>
    <row r="72" hidden="1" outlineLevel="1"/>
    <row r="73" hidden="1" outlineLevel="1"/>
    <row r="74" hidden="1" outlineLevel="1"/>
    <row r="75" hidden="1" outlineLevel="1"/>
    <row r="76" hidden="1" outlineLevel="1"/>
    <row r="77" hidden="1" outlineLevel="1"/>
    <row r="78" hidden="1" outlineLevel="1"/>
    <row r="79" hidden="1" outlineLevel="1"/>
    <row r="80" hidden="1" outlineLevel="1"/>
    <row r="81" hidden="1" outlineLevel="1"/>
    <row r="82" hidden="1" outlineLevel="1"/>
    <row r="83" hidden="1" outlineLevel="1"/>
    <row r="84" hidden="1" outlineLevel="1"/>
    <row r="85" hidden="1" outlineLevel="1"/>
    <row r="86" hidden="1" outlineLevel="1"/>
    <row r="87" hidden="1" outlineLevel="1"/>
    <row r="88" hidden="1" outlineLevel="1"/>
    <row r="89" hidden="1" outlineLevel="1"/>
    <row r="90" hidden="1" outlineLevel="1"/>
    <row r="91" hidden="1" outlineLevel="1"/>
    <row r="92" hidden="1" outlineLevel="1"/>
    <row r="93" hidden="1" outlineLevel="1"/>
    <row r="94" hidden="1" outlineLevel="1"/>
    <row r="95" hidden="1" outlineLevel="1"/>
    <row r="96" hidden="1" outlineLevel="1"/>
    <row r="97" hidden="1" outlineLevel="1"/>
    <row r="98" hidden="1" outlineLevel="1"/>
    <row r="99" hidden="1" outlineLevel="1"/>
    <row r="100" hidden="1" outlineLevel="1"/>
    <row r="101" hidden="1" outlineLevel="1"/>
    <row r="102" hidden="1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hidden="1" outlineLevel="1"/>
    <row r="132" hidden="1" outlineLevel="1"/>
    <row r="133" hidden="1" outlineLevel="1"/>
    <row r="134" hidden="1" outlineLevel="1"/>
    <row r="135" hidden="1" outlineLevel="1"/>
    <row r="136" hidden="1" outlineLevel="1"/>
    <row r="137" hidden="1" outlineLevel="1"/>
    <row r="138" hidden="1" outlineLevel="1"/>
    <row r="139" hidden="1" outlineLevel="1"/>
    <row r="140" hidden="1" outlineLevel="1"/>
    <row r="141" hidden="1" outlineLevel="1"/>
    <row r="142" hidden="1" outlineLevel="1"/>
    <row r="143" hidden="1" outlineLevel="1"/>
    <row r="144" hidden="1" outlineLevel="1"/>
    <row r="145" hidden="1" outlineLevel="1"/>
    <row r="146" hidden="1" outlineLevel="1"/>
    <row r="147" hidden="1" outlineLevel="1"/>
    <row r="148" hidden="1" outlineLevel="1"/>
    <row r="149" hidden="1" outlineLevel="1"/>
    <row r="150" hidden="1" outlineLevel="1"/>
    <row r="151" hidden="1" outlineLevel="1"/>
    <row r="152" hidden="1" outlineLevel="1"/>
    <row r="153" hidden="1" outlineLevel="1"/>
    <row r="154" hidden="1" outlineLevel="1"/>
    <row r="155" hidden="1" outlineLevel="1"/>
    <row r="156" hidden="1" outlineLevel="1"/>
    <row r="157" hidden="1" outlineLevel="1"/>
    <row r="158" hidden="1" outlineLevel="1"/>
    <row r="159" hidden="1" outlineLevel="1"/>
    <row r="160" hidden="1" outlineLevel="1"/>
    <row r="161" hidden="1" outlineLevel="1"/>
    <row r="162" hidden="1" outlineLevel="1"/>
    <row r="163" hidden="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hidden="1" outlineLevel="1"/>
    <row r="194" hidden="1" outlineLevel="1"/>
    <row r="195" hidden="1" outlineLevel="1"/>
    <row r="196" hidden="1" outlineLevel="1"/>
    <row r="197" hidden="1" outlineLevel="1"/>
    <row r="198" hidden="1" outlineLevel="1"/>
    <row r="199" hidden="1" outlineLevel="1"/>
    <row r="200" hidden="1" outlineLevel="1"/>
    <row r="201" hidden="1" outlineLevel="1"/>
    <row r="202" hidden="1" outlineLevel="1"/>
    <row r="203" hidden="1" outlineLevel="1"/>
    <row r="204" hidden="1" outlineLevel="1"/>
    <row r="205" hidden="1" outlineLevel="1"/>
    <row r="206" hidden="1" outlineLevel="1"/>
    <row r="207" hidden="1" outlineLevel="1"/>
    <row r="208" hidden="1" outlineLevel="1"/>
    <row r="209" hidden="1" outlineLevel="1"/>
    <row r="210" hidden="1" outlineLevel="1"/>
    <row r="211" hidden="1" outlineLevel="1"/>
    <row r="212" hidden="1" outlineLevel="1"/>
    <row r="213" hidden="1" outlineLevel="1"/>
    <row r="214" hidden="1" outlineLevel="1"/>
    <row r="215" hidden="1" outlineLevel="1"/>
    <row r="216" hidden="1" outlineLevel="1"/>
    <row r="217" hidden="1" outlineLevel="1"/>
    <row r="218" hidden="1" outlineLevel="1"/>
    <row r="219" hidden="1" outlineLevel="1"/>
    <row r="220" hidden="1" outlineLevel="1"/>
    <row r="221" hidden="1" outlineLevel="1"/>
    <row r="222" hidden="1" outlineLevel="1"/>
    <row r="223" hidden="1" outlineLevel="1"/>
    <row r="224" hidden="1" outlineLevel="1"/>
    <row r="225" hidden="1" outlineLevel="1"/>
    <row r="226" hidden="1" outlineLevel="1"/>
    <row r="227" hidden="1" outlineLevel="1"/>
    <row r="228" hidden="1" outlineLevel="1"/>
    <row r="229" hidden="1" outlineLevel="1"/>
    <row r="230" hidden="1" outlineLevel="1"/>
    <row r="231" hidden="1" outlineLevel="1"/>
    <row r="232" hidden="1" outlineLevel="1"/>
    <row r="233" hidden="1" outlineLevel="1"/>
    <row r="234" hidden="1" outlineLevel="1"/>
    <row r="235" hidden="1" outlineLevel="1"/>
    <row r="236" hidden="1" outlineLevel="1"/>
    <row r="237" hidden="1" outlineLevel="1"/>
    <row r="238" hidden="1" outlineLevel="1"/>
    <row r="239" hidden="1" outlineLevel="1"/>
    <row r="240" hidden="1" outlineLevel="1"/>
    <row r="241" hidden="1" outlineLevel="1"/>
    <row r="242" hidden="1" outlineLevel="1"/>
    <row r="243" hidden="1" outlineLevel="1"/>
    <row r="244" hidden="1" outlineLevel="1"/>
    <row r="245" hidden="1" outlineLevel="1"/>
    <row r="246" hidden="1" outlineLevel="1"/>
    <row r="247" hidden="1" outlineLevel="1"/>
    <row r="248" hidden="1" outlineLevel="1"/>
    <row r="249" hidden="1" outlineLevel="1"/>
    <row r="250" hidden="1" outlineLevel="1"/>
    <row r="251" hidden="1" outlineLevel="1"/>
    <row r="252" hidden="1" outlineLevel="1"/>
    <row r="253" hidden="1" outlineLevel="1"/>
    <row r="254" hidden="1" outlineLevel="1"/>
    <row r="255" hidden="1" outlineLevel="1"/>
    <row r="256" hidden="1" outlineLevel="1"/>
    <row r="257" hidden="1" outlineLevel="1"/>
    <row r="258" hidden="1" outlineLevel="1"/>
    <row r="259" hidden="1" outlineLevel="1"/>
    <row r="260" hidden="1" outlineLevel="1"/>
    <row r="261" hidden="1" outlineLevel="1"/>
    <row r="262" hidden="1" outlineLevel="1"/>
    <row r="263" hidden="1" outlineLevel="1"/>
    <row r="264" hidden="1" outlineLevel="1"/>
    <row r="265" hidden="1" outlineLevel="1"/>
    <row r="266" hidden="1" outlineLevel="1"/>
    <row r="267" hidden="1" outlineLevel="1"/>
    <row r="268" hidden="1" outlineLevel="1"/>
    <row r="269" hidden="1" outlineLevel="1"/>
    <row r="270" hidden="1" outlineLevel="1"/>
    <row r="271" hidden="1" outlineLevel="1"/>
    <row r="272" hidden="1" outlineLevel="1"/>
    <row r="273" hidden="1" outlineLevel="1"/>
    <row r="274" hidden="1" outlineLevel="1"/>
    <row r="275" hidden="1" outlineLevel="1"/>
    <row r="276" hidden="1" outlineLevel="1"/>
    <row r="277" hidden="1" outlineLevel="1"/>
    <row r="278" hidden="1" outlineLevel="1"/>
    <row r="279" hidden="1" outlineLevel="1"/>
    <row r="280" hidden="1" outlineLevel="1"/>
    <row r="281" hidden="1" outlineLevel="1"/>
    <row r="282" hidden="1" outlineLevel="1"/>
    <row r="283" hidden="1" outlineLevel="1"/>
    <row r="284" hidden="1" outlineLevel="1"/>
    <row r="285" hidden="1" outlineLevel="1"/>
    <row r="286" hidden="1" outlineLevel="1"/>
    <row r="287" hidden="1" outlineLevel="1"/>
    <row r="288" hidden="1" outlineLevel="1"/>
    <row r="289" hidden="1" outlineLevel="1"/>
    <row r="290" hidden="1" outlineLevel="1"/>
    <row r="291" hidden="1" outlineLevel="1"/>
    <row r="292" hidden="1" outlineLevel="1"/>
    <row r="293" hidden="1" outlineLevel="1"/>
    <row r="294" hidden="1" outlineLevel="1"/>
    <row r="295" hidden="1" outlineLevel="1"/>
    <row r="296" hidden="1" outlineLevel="1"/>
    <row r="297" hidden="1" outlineLevel="1"/>
    <row r="298" hidden="1" outlineLevel="1"/>
    <row r="299" hidden="1" outlineLevel="1"/>
    <row r="300" hidden="1" outlineLevel="1"/>
    <row r="301" hidden="1" outlineLevel="1"/>
    <row r="302" hidden="1" outlineLevel="1"/>
    <row r="303" hidden="1" outlineLevel="1"/>
    <row r="304" hidden="1" outlineLevel="1"/>
    <row r="305" hidden="1" outlineLevel="1"/>
    <row r="306" hidden="1" outlineLevel="1"/>
    <row r="307" hidden="1" outlineLevel="1"/>
    <row r="308" hidden="1" outlineLevel="1"/>
    <row r="309" hidden="1" outlineLevel="1"/>
    <row r="310" hidden="1" outlineLevel="1"/>
    <row r="311" hidden="1" outlineLevel="1"/>
    <row r="312" hidden="1" outlineLevel="1"/>
    <row r="313" hidden="1" outlineLevel="1"/>
    <row r="314" hidden="1" outlineLevel="1"/>
    <row r="315" hidden="1" outlineLevel="1"/>
    <row r="316" hidden="1" outlineLevel="1"/>
    <row r="317" hidden="1" outlineLevel="1"/>
    <row r="318" hidden="1" outlineLevel="1"/>
    <row r="319" hidden="1" outlineLevel="1"/>
    <row r="320" hidden="1" outlineLevel="1"/>
    <row r="321" hidden="1" outlineLevel="1"/>
    <row r="322" hidden="1" outlineLevel="1"/>
    <row r="323" hidden="1" outlineLevel="1"/>
    <row r="324" hidden="1" outlineLevel="1"/>
    <row r="325" hidden="1" outlineLevel="1"/>
    <row r="326" hidden="1" outlineLevel="1"/>
    <row r="327" hidden="1" outlineLevel="1"/>
    <row r="328" hidden="1" outlineLevel="1"/>
    <row r="329" hidden="1" outlineLevel="1"/>
    <row r="330" hidden="1" outlineLevel="1"/>
    <row r="331" hidden="1" outlineLevel="1"/>
    <row r="332" hidden="1" outlineLevel="1"/>
    <row r="333" hidden="1" outlineLevel="1"/>
    <row r="334" hidden="1" outlineLevel="1"/>
    <row r="335" hidden="1" outlineLevel="1"/>
    <row r="336" hidden="1" outlineLevel="1"/>
    <row r="337" hidden="1" outlineLevel="1"/>
    <row r="338" hidden="1" outlineLevel="1"/>
    <row r="339" hidden="1" outlineLevel="1"/>
    <row r="340" hidden="1" outlineLevel="1"/>
    <row r="341" hidden="1" outlineLevel="1"/>
    <row r="342" hidden="1" outlineLevel="1"/>
    <row r="343" hidden="1" outlineLevel="1"/>
    <row r="344" hidden="1" outlineLevel="1"/>
    <row r="345" hidden="1" outlineLevel="1"/>
    <row r="346" hidden="1" outlineLevel="1"/>
    <row r="347" hidden="1" outlineLevel="1"/>
    <row r="348" hidden="1" outlineLevel="1"/>
    <row r="349" hidden="1" outlineLevel="1"/>
    <row r="350" hidden="1" outlineLevel="1"/>
    <row r="351" hidden="1" outlineLevel="1"/>
    <row r="352" hidden="1" outlineLevel="1"/>
    <row r="353" hidden="1" outlineLevel="1"/>
    <row r="354" hidden="1" outlineLevel="1"/>
    <row r="355" hidden="1" outlineLevel="1"/>
    <row r="356" hidden="1" outlineLevel="1"/>
    <row r="357" hidden="1" outlineLevel="1"/>
    <row r="358" hidden="1" outlineLevel="1"/>
    <row r="359" hidden="1" outlineLevel="1"/>
    <row r="360" hidden="1" outlineLevel="1"/>
    <row r="361" hidden="1" outlineLevel="1"/>
    <row r="362" hidden="1" outlineLevel="1"/>
    <row r="363" hidden="1" outlineLevel="1"/>
    <row r="364" hidden="1" outlineLevel="1"/>
    <row r="365" hidden="1" outlineLevel="1"/>
    <row r="366" hidden="1" outlineLevel="1"/>
    <row r="367" hidden="1" outlineLevel="1"/>
    <row r="368" hidden="1" outlineLevel="1"/>
    <row r="369" hidden="1" outlineLevel="1"/>
    <row r="370" hidden="1" outlineLevel="1"/>
    <row r="371" hidden="1" outlineLevel="1"/>
    <row r="372" hidden="1" outlineLevel="1"/>
    <row r="373" hidden="1" outlineLevel="1"/>
    <row r="374" hidden="1" outlineLevel="1"/>
    <row r="375" hidden="1" outlineLevel="1"/>
    <row r="376" hidden="1" outlineLevel="1"/>
    <row r="377" hidden="1" outlineLevel="1"/>
    <row r="378" hidden="1" outlineLevel="1"/>
    <row r="379" hidden="1" outlineLevel="1"/>
    <row r="380" hidden="1" outlineLevel="1"/>
    <row r="381" hidden="1" outlineLevel="1"/>
    <row r="382" hidden="1" outlineLevel="1"/>
    <row r="383" hidden="1" outlineLevel="1"/>
    <row r="384" hidden="1" outlineLevel="1"/>
    <row r="385" hidden="1" outlineLevel="1"/>
    <row r="386" hidden="1" outlineLevel="1"/>
    <row r="387" hidden="1" outlineLevel="1"/>
    <row r="388" hidden="1" outlineLevel="1"/>
    <row r="389" hidden="1" outlineLevel="1"/>
    <row r="390" hidden="1" outlineLevel="1"/>
    <row r="391" hidden="1" outlineLevel="1"/>
    <row r="392" hidden="1" outlineLevel="1"/>
    <row r="393" hidden="1" outlineLevel="1"/>
    <row r="394" hidden="1" outlineLevel="1"/>
    <row r="395" hidden="1" outlineLevel="1"/>
    <row r="396" hidden="1" outlineLevel="1"/>
    <row r="397" hidden="1" outlineLevel="1"/>
    <row r="398" hidden="1" outlineLevel="1"/>
    <row r="399" hidden="1" outlineLevel="1"/>
    <row r="400" hidden="1" outlineLevel="1"/>
    <row r="401" hidden="1" outlineLevel="1"/>
    <row r="402" hidden="1" outlineLevel="1"/>
    <row r="403" hidden="1" outlineLevel="1"/>
    <row r="404" hidden="1" outlineLevel="1"/>
    <row r="405" hidden="1" outlineLevel="1"/>
    <row r="406" hidden="1" outlineLevel="1"/>
    <row r="407" hidden="1" outlineLevel="1"/>
    <row r="408" hidden="1" outlineLevel="1"/>
    <row r="409" hidden="1" outlineLevel="1"/>
    <row r="410" hidden="1" outlineLevel="1"/>
    <row r="411" hidden="1" outlineLevel="1"/>
    <row r="412" hidden="1" outlineLevel="1"/>
    <row r="413" hidden="1" outlineLevel="1"/>
    <row r="414" hidden="1" outlineLevel="1"/>
    <row r="415" hidden="1" outlineLevel="1"/>
    <row r="416" hidden="1" outlineLevel="1"/>
    <row r="417" hidden="1" outlineLevel="1"/>
    <row r="418" hidden="1" outlineLevel="1"/>
    <row r="419" hidden="1" outlineLevel="1"/>
    <row r="420" hidden="1" outlineLevel="1"/>
    <row r="421" hidden="1" outlineLevel="1"/>
    <row r="422" hidden="1" outlineLevel="1"/>
    <row r="423" hidden="1" outlineLevel="1"/>
    <row r="424" hidden="1" outlineLevel="1"/>
    <row r="425" hidden="1" outlineLevel="1"/>
    <row r="426" hidden="1" outlineLevel="1"/>
    <row r="427" hidden="1" outlineLevel="1"/>
    <row r="428" hidden="1" outlineLevel="1"/>
    <row r="429" hidden="1" outlineLevel="1"/>
    <row r="430" hidden="1" outlineLevel="1"/>
    <row r="431" hidden="1" outlineLevel="1"/>
    <row r="432" hidden="1" outlineLevel="1"/>
    <row r="433" hidden="1" outlineLevel="1"/>
    <row r="434" hidden="1" outlineLevel="1"/>
    <row r="435" hidden="1" outlineLevel="1"/>
    <row r="436" hidden="1" outlineLevel="1"/>
    <row r="437" hidden="1" outlineLevel="1"/>
    <row r="438" hidden="1" outlineLevel="1"/>
    <row r="439" hidden="1" outlineLevel="1"/>
    <row r="440" hidden="1" outlineLevel="1"/>
    <row r="441" hidden="1" outlineLevel="1"/>
    <row r="442" hidden="1" outlineLevel="1"/>
    <row r="443" hidden="1" outlineLevel="1"/>
    <row r="444" hidden="1" outlineLevel="1"/>
    <row r="445" hidden="1" outlineLevel="1"/>
    <row r="446" hidden="1" outlineLevel="1"/>
    <row r="447" hidden="1" outlineLevel="1"/>
    <row r="448" hidden="1" outlineLevel="1"/>
    <row r="449" hidden="1" outlineLevel="1"/>
    <row r="450" hidden="1" outlineLevel="1"/>
    <row r="451" hidden="1" outlineLevel="1"/>
    <row r="452" hidden="1" outlineLevel="1"/>
    <row r="453" hidden="1" outlineLevel="1"/>
    <row r="454" hidden="1" outlineLevel="1"/>
    <row r="455" hidden="1" outlineLevel="1"/>
    <row r="456" hidden="1" outlineLevel="1"/>
    <row r="457" hidden="1" outlineLevel="1"/>
    <row r="458" hidden="1" outlineLevel="1"/>
    <row r="459" hidden="1" outlineLevel="1"/>
    <row r="460" hidden="1" outlineLevel="1"/>
    <row r="461" hidden="1" outlineLevel="1"/>
    <row r="462" hidden="1" outlineLevel="1"/>
    <row r="463" hidden="1" outlineLevel="1"/>
    <row r="464" hidden="1" outlineLevel="1"/>
    <row r="465" hidden="1" outlineLevel="1"/>
    <row r="466" hidden="1" outlineLevel="1"/>
    <row r="467" hidden="1" outlineLevel="1"/>
    <row r="468" hidden="1" outlineLevel="1"/>
    <row r="469" hidden="1" outlineLevel="1"/>
    <row r="470" hidden="1" outlineLevel="1"/>
    <row r="471" hidden="1" outlineLevel="1"/>
    <row r="472" hidden="1" outlineLevel="1"/>
    <row r="473" hidden="1" outlineLevel="1"/>
    <row r="474" hidden="1" outlineLevel="1"/>
    <row r="475" hidden="1" outlineLevel="1"/>
    <row r="476" hidden="1" outlineLevel="1"/>
    <row r="477" hidden="1" outlineLevel="1"/>
    <row r="478" hidden="1" outlineLevel="1"/>
    <row r="479" hidden="1" outlineLevel="1"/>
    <row r="480" hidden="1" outlineLevel="1"/>
    <row r="481" hidden="1" outlineLevel="1"/>
    <row r="482" hidden="1" outlineLevel="1"/>
    <row r="483" hidden="1" outlineLevel="1"/>
    <row r="484" hidden="1" outlineLevel="1"/>
    <row r="485" hidden="1" outlineLevel="1"/>
    <row r="486" hidden="1" outlineLevel="1"/>
    <row r="487" hidden="1" outlineLevel="1"/>
    <row r="488" hidden="1" outlineLevel="1"/>
    <row r="489" hidden="1" outlineLevel="1"/>
    <row r="490" hidden="1" outlineLevel="1"/>
    <row r="491" hidden="1" outlineLevel="1"/>
    <row r="492" hidden="1" outlineLevel="1"/>
    <row r="493" hidden="1" outlineLevel="1"/>
    <row r="494" hidden="1" outlineLevel="1"/>
    <row r="495" hidden="1" outlineLevel="1"/>
    <row r="496" hidden="1" outlineLevel="1"/>
    <row r="497" hidden="1" outlineLevel="1"/>
    <row r="498" hidden="1" outlineLevel="1"/>
    <row r="499" hidden="1" outlineLevel="1"/>
    <row r="500" hidden="1" outlineLevel="1"/>
    <row r="501" hidden="1" outlineLevel="1"/>
    <row r="502" hidden="1" outlineLevel="1"/>
    <row r="503" hidden="1" outlineLevel="1"/>
    <row r="504" hidden="1" outlineLevel="1"/>
    <row r="505" hidden="1" outlineLevel="1"/>
    <row r="506" hidden="1" outlineLevel="1"/>
    <row r="507" hidden="1" outlineLevel="1"/>
    <row r="508" hidden="1" outlineLevel="1"/>
    <row r="509" hidden="1" outlineLevel="1"/>
    <row r="510" hidden="1" outlineLevel="1"/>
    <row r="511" hidden="1" outlineLevel="1"/>
    <row r="512" hidden="1" outlineLevel="1"/>
    <row r="513" hidden="1" outlineLevel="1"/>
    <row r="514" hidden="1" outlineLevel="1"/>
    <row r="515" hidden="1" outlineLevel="1"/>
    <row r="516" hidden="1" outlineLevel="1"/>
    <row r="517" hidden="1" outlineLevel="1"/>
    <row r="518" hidden="1" outlineLevel="1"/>
    <row r="519" hidden="1" outlineLevel="1"/>
    <row r="520" hidden="1" outlineLevel="1"/>
    <row r="521" hidden="1" outlineLevel="1"/>
    <row r="522" hidden="1" outlineLevel="1"/>
    <row r="523" hidden="1" outlineLevel="1"/>
    <row r="524" hidden="1" outlineLevel="1"/>
    <row r="525" hidden="1" outlineLevel="1"/>
    <row r="526" hidden="1" outlineLevel="1"/>
    <row r="527" hidden="1" outlineLevel="1"/>
    <row r="528" hidden="1" outlineLevel="1"/>
    <row r="529" hidden="1" outlineLevel="1"/>
    <row r="530" hidden="1" outlineLevel="1"/>
    <row r="531" hidden="1" outlineLevel="1"/>
    <row r="532" hidden="1" outlineLevel="1"/>
    <row r="533" hidden="1" outlineLevel="1"/>
    <row r="534" hidden="1" outlineLevel="1"/>
    <row r="535" hidden="1" outlineLevel="1"/>
    <row r="536" hidden="1" outlineLevel="1"/>
    <row r="537" hidden="1" outlineLevel="1"/>
    <row r="538" hidden="1" outlineLevel="1"/>
    <row r="539" hidden="1" outlineLevel="1"/>
    <row r="540" hidden="1" outlineLevel="1"/>
    <row r="541" hidden="1" outlineLevel="1"/>
    <row r="542" hidden="1" outlineLevel="1"/>
    <row r="543" hidden="1" outlineLevel="1"/>
    <row r="544" hidden="1" outlineLevel="1"/>
    <row r="545" hidden="1" outlineLevel="1"/>
    <row r="546" hidden="1" outlineLevel="1"/>
    <row r="547" hidden="1" outlineLevel="1"/>
    <row r="548" hidden="1" outlineLevel="1"/>
    <row r="549" hidden="1" outlineLevel="1"/>
    <row r="550" hidden="1" outlineLevel="1"/>
    <row r="551" hidden="1" outlineLevel="1"/>
    <row r="552" hidden="1" outlineLevel="1"/>
    <row r="553" hidden="1" outlineLevel="1"/>
    <row r="554" hidden="1" outlineLevel="1"/>
    <row r="555" hidden="1" outlineLevel="1"/>
    <row r="556" hidden="1" outlineLevel="1"/>
    <row r="557" hidden="1" outlineLevel="1"/>
    <row r="558" hidden="1" outlineLevel="1"/>
    <row r="559" hidden="1" outlineLevel="1"/>
    <row r="560" hidden="1" outlineLevel="1"/>
    <row r="561" hidden="1" outlineLevel="1"/>
    <row r="562" hidden="1" outlineLevel="1"/>
    <row r="563" hidden="1" outlineLevel="1"/>
    <row r="564" hidden="1" outlineLevel="1"/>
    <row r="565" hidden="1" outlineLevel="1"/>
    <row r="566" hidden="1" outlineLevel="1"/>
    <row r="567" hidden="1" outlineLevel="1"/>
    <row r="568" hidden="1" outlineLevel="1"/>
    <row r="569" hidden="1" outlineLevel="1"/>
    <row r="570" hidden="1" outlineLevel="1"/>
    <row r="571" hidden="1" outlineLevel="1"/>
    <row r="572" hidden="1" outlineLevel="1"/>
    <row r="573" hidden="1" outlineLevel="1"/>
    <row r="574" hidden="1" outlineLevel="1"/>
    <row r="575" hidden="1" outlineLevel="1"/>
    <row r="576" hidden="1" outlineLevel="1"/>
    <row r="577" hidden="1" outlineLevel="1"/>
    <row r="578" hidden="1" outlineLevel="1"/>
    <row r="579" hidden="1" outlineLevel="1"/>
    <row r="580" hidden="1" outlineLevel="1"/>
    <row r="581" hidden="1" outlineLevel="1"/>
    <row r="582" hidden="1" outlineLevel="1"/>
    <row r="583" hidden="1" outlineLevel="1"/>
    <row r="584" hidden="1" outlineLevel="1"/>
    <row r="585" hidden="1" outlineLevel="1"/>
    <row r="586" hidden="1" outlineLevel="1"/>
    <row r="587" hidden="1" outlineLevel="1"/>
    <row r="588" hidden="1" outlineLevel="1"/>
    <row r="589" hidden="1" outlineLevel="1"/>
    <row r="590" hidden="1" outlineLevel="1"/>
    <row r="591" hidden="1" outlineLevel="1"/>
    <row r="592" hidden="1" outlineLevel="1"/>
    <row r="593" hidden="1" outlineLevel="1"/>
    <row r="594" hidden="1" outlineLevel="1"/>
    <row r="595" hidden="1" outlineLevel="1"/>
    <row r="596" hidden="1" outlineLevel="1"/>
    <row r="597" hidden="1" outlineLevel="1"/>
    <row r="598" hidden="1" outlineLevel="1"/>
    <row r="599" hidden="1" outlineLevel="1"/>
    <row r="600" hidden="1" outlineLevel="1"/>
    <row r="601" hidden="1" outlineLevel="1"/>
    <row r="602" hidden="1" outlineLevel="1"/>
    <row r="603" hidden="1" outlineLevel="1"/>
    <row r="604" hidden="1" outlineLevel="1"/>
    <row r="605" hidden="1" outlineLevel="1"/>
    <row r="606" hidden="1" outlineLevel="1"/>
    <row r="607" hidden="1" outlineLevel="1"/>
    <row r="608" hidden="1" outlineLevel="1"/>
    <row r="609" hidden="1" outlineLevel="1"/>
    <row r="610" hidden="1" outlineLevel="1"/>
    <row r="611" hidden="1" outlineLevel="1"/>
    <row r="612" hidden="1" outlineLevel="1"/>
    <row r="613" hidden="1" outlineLevel="1"/>
    <row r="614" hidden="1" outlineLevel="1"/>
    <row r="615" hidden="1" outlineLevel="1"/>
    <row r="616" hidden="1" outlineLevel="1"/>
    <row r="617" hidden="1" outlineLevel="1"/>
    <row r="618" hidden="1" outlineLevel="1"/>
    <row r="619" hidden="1" outlineLevel="1"/>
    <row r="620" hidden="1" outlineLevel="1"/>
    <row r="621" hidden="1" outlineLevel="1"/>
    <row r="622" hidden="1" outlineLevel="1"/>
    <row r="623" hidden="1" outlineLevel="1"/>
    <row r="624" hidden="1" outlineLevel="1"/>
    <row r="625" hidden="1" outlineLevel="1"/>
    <row r="626" hidden="1" outlineLevel="1"/>
    <row r="627" hidden="1" outlineLevel="1"/>
    <row r="628" hidden="1" outlineLevel="1"/>
    <row r="629" hidden="1" outlineLevel="1"/>
    <row r="630" hidden="1" outlineLevel="1"/>
    <row r="631" hidden="1" outlineLevel="1"/>
    <row r="632" hidden="1" outlineLevel="1"/>
    <row r="633" hidden="1" outlineLevel="1"/>
    <row r="634" hidden="1" outlineLevel="1"/>
    <row r="635" hidden="1" outlineLevel="1"/>
    <row r="636" hidden="1" outlineLevel="1"/>
    <row r="637" hidden="1" outlineLevel="1"/>
    <row r="638" hidden="1" outlineLevel="1"/>
    <row r="639" hidden="1" outlineLevel="1"/>
    <row r="640" hidden="1" outlineLevel="1"/>
    <row r="641" hidden="1" outlineLevel="1"/>
    <row r="642" hidden="1" outlineLevel="1"/>
    <row r="643" hidden="1" outlineLevel="1"/>
    <row r="644" hidden="1" outlineLevel="1"/>
    <row r="645" hidden="1" outlineLevel="1"/>
    <row r="646" hidden="1" outlineLevel="1"/>
    <row r="647" hidden="1" outlineLevel="1"/>
    <row r="648" hidden="1" outlineLevel="1"/>
    <row r="649" hidden="1" outlineLevel="1"/>
    <row r="650" hidden="1" outlineLevel="1"/>
    <row r="651" hidden="1" outlineLevel="1"/>
    <row r="652" hidden="1" outlineLevel="1"/>
    <row r="653" hidden="1" outlineLevel="1"/>
    <row r="654" hidden="1" outlineLevel="1"/>
    <row r="655" hidden="1" outlineLevel="1"/>
    <row r="656" hidden="1" outlineLevel="1"/>
    <row r="657" hidden="1" outlineLevel="1"/>
    <row r="658" hidden="1" outlineLevel="1"/>
    <row r="659" hidden="1" outlineLevel="1"/>
    <row r="660" hidden="1" outlineLevel="1"/>
    <row r="661" hidden="1" outlineLevel="1"/>
    <row r="662" hidden="1" outlineLevel="1"/>
    <row r="663" hidden="1" outlineLevel="1"/>
    <row r="664" hidden="1" outlineLevel="1"/>
    <row r="665" hidden="1" outlineLevel="1"/>
    <row r="666" hidden="1" outlineLevel="1"/>
    <row r="667" hidden="1" outlineLevel="1"/>
    <row r="668" hidden="1" outlineLevel="1"/>
    <row r="669" hidden="1" outlineLevel="1"/>
    <row r="670" hidden="1" outlineLevel="1"/>
    <row r="671" hidden="1" outlineLevel="1"/>
    <row r="672" hidden="1" outlineLevel="1"/>
    <row r="673" hidden="1" outlineLevel="1"/>
    <row r="674" hidden="1" outlineLevel="1"/>
    <row r="675" hidden="1" outlineLevel="1"/>
    <row r="676" hidden="1" outlineLevel="1"/>
    <row r="677" hidden="1" outlineLevel="1"/>
    <row r="678" hidden="1" outlineLevel="1"/>
    <row r="679" hidden="1" outlineLevel="1"/>
    <row r="680" hidden="1" outlineLevel="1"/>
    <row r="681" hidden="1" outlineLevel="1"/>
    <row r="682" hidden="1" outlineLevel="1"/>
    <row r="683" hidden="1" outlineLevel="1"/>
    <row r="684" hidden="1" outlineLevel="1"/>
    <row r="685" hidden="1" outlineLevel="1"/>
    <row r="686" hidden="1" outlineLevel="1"/>
    <row r="687" hidden="1" outlineLevel="1"/>
    <row r="688" hidden="1" outlineLevel="1"/>
    <row r="689" hidden="1" outlineLevel="1"/>
    <row r="690" hidden="1" outlineLevel="1"/>
    <row r="691" hidden="1" outlineLevel="1"/>
    <row r="692" hidden="1" outlineLevel="1"/>
    <row r="693" hidden="1" outlineLevel="1"/>
    <row r="694" hidden="1" outlineLevel="1"/>
    <row r="695" hidden="1" outlineLevel="1"/>
    <row r="696" hidden="1" outlineLevel="1"/>
    <row r="697" hidden="1" outlineLevel="1"/>
    <row r="698" hidden="1" outlineLevel="1"/>
    <row r="699" hidden="1" outlineLevel="1"/>
    <row r="700" hidden="1" outlineLevel="1"/>
    <row r="701" hidden="1" outlineLevel="1"/>
    <row r="702" hidden="1" outlineLevel="1"/>
    <row r="703" hidden="1" outlineLevel="1"/>
    <row r="704" hidden="1" outlineLevel="1"/>
    <row r="705" hidden="1" outlineLevel="1"/>
    <row r="706" hidden="1" outlineLevel="1"/>
    <row r="707" hidden="1" outlineLevel="1"/>
    <row r="708" hidden="1" outlineLevel="1"/>
    <row r="709" hidden="1" outlineLevel="1"/>
    <row r="710" hidden="1" outlineLevel="1"/>
    <row r="711" hidden="1" outlineLevel="1"/>
    <row r="712" hidden="1" outlineLevel="1"/>
    <row r="713" hidden="1" outlineLevel="1"/>
    <row r="714" hidden="1" outlineLevel="1"/>
    <row r="715" hidden="1" outlineLevel="1"/>
    <row r="716" hidden="1" outlineLevel="1"/>
    <row r="717" hidden="1" outlineLevel="1"/>
    <row r="718" hidden="1" outlineLevel="1"/>
    <row r="719" hidden="1" outlineLevel="1"/>
    <row r="720" hidden="1" outlineLevel="1"/>
    <row r="721" hidden="1" outlineLevel="1"/>
    <row r="722" hidden="1" outlineLevel="1"/>
    <row r="723" hidden="1" outlineLevel="1"/>
    <row r="724" hidden="1" outlineLevel="1"/>
    <row r="725" hidden="1" outlineLevel="1"/>
    <row r="726" hidden="1" outlineLevel="1"/>
    <row r="727" hidden="1" outlineLevel="1"/>
    <row r="728" hidden="1" outlineLevel="1"/>
    <row r="729" hidden="1" outlineLevel="1"/>
    <row r="730" hidden="1" outlineLevel="1"/>
    <row r="731" hidden="1" outlineLevel="1"/>
    <row r="732" hidden="1" outlineLevel="1"/>
    <row r="733" hidden="1" outlineLevel="1"/>
    <row r="734" hidden="1" outlineLevel="1"/>
    <row r="735" hidden="1" outlineLevel="1"/>
    <row r="736" hidden="1" outlineLevel="1"/>
    <row r="737" hidden="1" outlineLevel="1"/>
    <row r="738" hidden="1" outlineLevel="1"/>
    <row r="739" hidden="1" outlineLevel="1"/>
    <row r="740" hidden="1" outlineLevel="1"/>
    <row r="741" hidden="1" outlineLevel="1"/>
    <row r="742" hidden="1" outlineLevel="1"/>
    <row r="743" hidden="1" outlineLevel="1"/>
    <row r="744" hidden="1" outlineLevel="1"/>
    <row r="745" hidden="1" outlineLevel="1"/>
    <row r="746" hidden="1" outlineLevel="1"/>
    <row r="747" hidden="1" outlineLevel="1"/>
    <row r="748" hidden="1" outlineLevel="1"/>
    <row r="749" hidden="1" outlineLevel="1"/>
    <row r="750" hidden="1" outlineLevel="1"/>
    <row r="751" hidden="1" outlineLevel="1"/>
    <row r="752" hidden="1" outlineLevel="1"/>
    <row r="753" hidden="1" outlineLevel="1"/>
    <row r="754" hidden="1" outlineLevel="1"/>
    <row r="755" hidden="1" outlineLevel="1"/>
    <row r="756" hidden="1" outlineLevel="1"/>
    <row r="757" hidden="1" outlineLevel="1"/>
    <row r="758" hidden="1" outlineLevel="1"/>
    <row r="759" hidden="1" outlineLevel="1"/>
    <row r="760" hidden="1" outlineLevel="1"/>
    <row r="761" hidden="1" outlineLevel="1"/>
    <row r="762" hidden="1" outlineLevel="1"/>
    <row r="763" hidden="1" outlineLevel="1"/>
    <row r="764" hidden="1" outlineLevel="1"/>
    <row r="765" hidden="1" outlineLevel="1"/>
    <row r="766" hidden="1" outlineLevel="1"/>
    <row r="767" hidden="1" outlineLevel="1"/>
    <row r="768" hidden="1" outlineLevel="1"/>
    <row r="769" hidden="1" outlineLevel="1"/>
    <row r="770" hidden="1" outlineLevel="1"/>
    <row r="771" hidden="1" outlineLevel="1"/>
    <row r="772" hidden="1" outlineLevel="1"/>
    <row r="773" hidden="1" outlineLevel="1"/>
    <row r="774" hidden="1" outlineLevel="1"/>
    <row r="775" hidden="1" outlineLevel="1"/>
    <row r="776" hidden="1" outlineLevel="1"/>
    <row r="777" hidden="1" outlineLevel="1"/>
    <row r="778" hidden="1" outlineLevel="1"/>
    <row r="779" hidden="1" outlineLevel="1"/>
    <row r="780" hidden="1" outlineLevel="1"/>
    <row r="781" hidden="1" outlineLevel="1"/>
    <row r="782" hidden="1" outlineLevel="1"/>
    <row r="783" hidden="1" outlineLevel="1"/>
    <row r="784" hidden="1" outlineLevel="1"/>
    <row r="785" hidden="1" outlineLevel="1"/>
    <row r="786" hidden="1" outlineLevel="1"/>
    <row r="787" hidden="1" outlineLevel="1"/>
    <row r="788" hidden="1" outlineLevel="1"/>
    <row r="789" hidden="1" outlineLevel="1"/>
    <row r="790" hidden="1" outlineLevel="1"/>
    <row r="791" hidden="1" outlineLevel="1"/>
    <row r="792" hidden="1" outlineLevel="1"/>
    <row r="793" hidden="1" outlineLevel="1"/>
    <row r="794" hidden="1" outlineLevel="1"/>
    <row r="795" hidden="1" outlineLevel="1"/>
    <row r="796" hidden="1" outlineLevel="1"/>
    <row r="797" hidden="1" outlineLevel="1"/>
    <row r="798" hidden="1" outlineLevel="1"/>
    <row r="799" hidden="1" outlineLevel="1"/>
    <row r="800" hidden="1" outlineLevel="1"/>
    <row r="801" hidden="1" outlineLevel="1"/>
    <row r="802" hidden="1" outlineLevel="1"/>
    <row r="803" hidden="1" outlineLevel="1"/>
    <row r="804" hidden="1" outlineLevel="1"/>
    <row r="805" hidden="1" outlineLevel="1"/>
    <row r="806" hidden="1" outlineLevel="1"/>
    <row r="807" hidden="1" outlineLevel="1"/>
    <row r="808" hidden="1" outlineLevel="1"/>
    <row r="809" hidden="1" outlineLevel="1"/>
    <row r="810" hidden="1" outlineLevel="1"/>
    <row r="811" hidden="1" outlineLevel="1"/>
    <row r="812" hidden="1" outlineLevel="1"/>
    <row r="813" hidden="1" outlineLevel="1"/>
    <row r="814" hidden="1" outlineLevel="1"/>
    <row r="815" hidden="1" outlineLevel="1"/>
    <row r="816" hidden="1" outlineLevel="1"/>
    <row r="817" hidden="1" outlineLevel="1"/>
    <row r="818" hidden="1" outlineLevel="1"/>
    <row r="819" hidden="1" outlineLevel="1"/>
    <row r="820" hidden="1" outlineLevel="1"/>
    <row r="821" hidden="1" outlineLevel="1"/>
    <row r="822" hidden="1" outlineLevel="1"/>
    <row r="823" hidden="1" outlineLevel="1"/>
    <row r="824" hidden="1" outlineLevel="1"/>
    <row r="825" hidden="1" outlineLevel="1"/>
    <row r="826" hidden="1" outlineLevel="1"/>
    <row r="827" hidden="1" outlineLevel="1"/>
    <row r="828" hidden="1" outlineLevel="1"/>
    <row r="829" hidden="1" outlineLevel="1"/>
    <row r="830" hidden="1" outlineLevel="1"/>
    <row r="831" hidden="1" outlineLevel="1"/>
    <row r="832" hidden="1" outlineLevel="1"/>
    <row r="833" hidden="1" outlineLevel="1"/>
    <row r="834" hidden="1" outlineLevel="1"/>
    <row r="835" hidden="1" outlineLevel="1"/>
    <row r="836" hidden="1" outlineLevel="1"/>
    <row r="837" hidden="1" outlineLevel="1"/>
    <row r="838" hidden="1" outlineLevel="1"/>
    <row r="839" hidden="1" outlineLevel="1"/>
    <row r="840" hidden="1" outlineLevel="1"/>
    <row r="841" hidden="1" outlineLevel="1"/>
    <row r="842" hidden="1" outlineLevel="1"/>
    <row r="843" hidden="1" outlineLevel="1"/>
    <row r="844" hidden="1" outlineLevel="1"/>
    <row r="845" hidden="1" outlineLevel="1"/>
    <row r="846" hidden="1" outlineLevel="1"/>
    <row r="847" hidden="1" outlineLevel="1"/>
    <row r="848" hidden="1" outlineLevel="1"/>
    <row r="849" hidden="1" outlineLevel="1"/>
    <row r="850" hidden="1" outlineLevel="1"/>
    <row r="851" hidden="1" outlineLevel="1"/>
    <row r="852" hidden="1" outlineLevel="1"/>
    <row r="853" hidden="1" outlineLevel="1"/>
    <row r="854" hidden="1" outlineLevel="1"/>
    <row r="855" hidden="1" outlineLevel="1"/>
    <row r="856" hidden="1" outlineLevel="1"/>
    <row r="857" hidden="1" outlineLevel="1"/>
    <row r="858" hidden="1" outlineLevel="1"/>
    <row r="859" hidden="1" outlineLevel="1"/>
    <row r="860" hidden="1" outlineLevel="1"/>
    <row r="861" hidden="1" outlineLevel="1"/>
    <row r="862" hidden="1" outlineLevel="1"/>
    <row r="863" hidden="1" outlineLevel="1"/>
    <row r="864" hidden="1" outlineLevel="1"/>
    <row r="865" hidden="1" outlineLevel="1"/>
    <row r="866" hidden="1" outlineLevel="1"/>
    <row r="867" hidden="1" outlineLevel="1"/>
    <row r="868" hidden="1" outlineLevel="1"/>
    <row r="869" hidden="1" outlineLevel="1"/>
    <row r="870" hidden="1" outlineLevel="1"/>
    <row r="871" hidden="1" outlineLevel="1"/>
    <row r="872" hidden="1" outlineLevel="1"/>
    <row r="873" hidden="1" outlineLevel="1"/>
    <row r="874" hidden="1" outlineLevel="1"/>
    <row r="875" hidden="1" outlineLevel="1"/>
    <row r="876" hidden="1" outlineLevel="1"/>
    <row r="877" hidden="1" outlineLevel="1"/>
    <row r="878" hidden="1" outlineLevel="1"/>
    <row r="879" hidden="1" outlineLevel="1"/>
    <row r="880" hidden="1" outlineLevel="1"/>
    <row r="881" hidden="1" outlineLevel="1"/>
    <row r="882" hidden="1" outlineLevel="1"/>
    <row r="883" hidden="1" outlineLevel="1"/>
    <row r="884" hidden="1" outlineLevel="1"/>
    <row r="885" hidden="1" outlineLevel="1"/>
    <row r="886" hidden="1" outlineLevel="1"/>
    <row r="887" hidden="1" outlineLevel="1"/>
    <row r="888" hidden="1" outlineLevel="1"/>
    <row r="889" hidden="1" outlineLevel="1"/>
    <row r="890" hidden="1" outlineLevel="1"/>
    <row r="891" hidden="1" outlineLevel="1"/>
    <row r="892" hidden="1" outlineLevel="1"/>
    <row r="893" hidden="1" outlineLevel="1"/>
    <row r="894" hidden="1" outlineLevel="1"/>
    <row r="895" hidden="1" outlineLevel="1"/>
    <row r="896" hidden="1" outlineLevel="1"/>
    <row r="897" hidden="1" outlineLevel="1"/>
    <row r="898" hidden="1" outlineLevel="1"/>
    <row r="899" hidden="1" outlineLevel="1"/>
    <row r="900" hidden="1" outlineLevel="1"/>
    <row r="901" hidden="1" outlineLevel="1"/>
    <row r="902" hidden="1" outlineLevel="1"/>
    <row r="903" hidden="1" outlineLevel="1"/>
    <row r="904" hidden="1" outlineLevel="1"/>
    <row r="905" hidden="1" outlineLevel="1"/>
    <row r="906" hidden="1" outlineLevel="1"/>
    <row r="907" hidden="1" outlineLevel="1"/>
    <row r="908" hidden="1" outlineLevel="1"/>
    <row r="909" hidden="1" outlineLevel="1"/>
    <row r="910" hidden="1" outlineLevel="1"/>
    <row r="911" hidden="1" outlineLevel="1"/>
    <row r="912" hidden="1" outlineLevel="1"/>
    <row r="913" hidden="1" outlineLevel="1"/>
    <row r="914" hidden="1" outlineLevel="1"/>
    <row r="915" hidden="1" outlineLevel="1"/>
    <row r="916" hidden="1" outlineLevel="1"/>
    <row r="917" hidden="1" outlineLevel="1"/>
    <row r="918" hidden="1" outlineLevel="1"/>
    <row r="919" hidden="1" outlineLevel="1"/>
    <row r="920" hidden="1" outlineLevel="1"/>
    <row r="921" hidden="1" outlineLevel="1"/>
    <row r="922" hidden="1" outlineLevel="1"/>
    <row r="923" hidden="1" outlineLevel="1"/>
    <row r="924" hidden="1" outlineLevel="1"/>
    <row r="925" hidden="1" outlineLevel="1"/>
    <row r="926" hidden="1" outlineLevel="1"/>
    <row r="927" hidden="1" outlineLevel="1"/>
    <row r="928" hidden="1" outlineLevel="1"/>
    <row r="929" hidden="1" outlineLevel="1"/>
    <row r="930" hidden="1" outlineLevel="1"/>
    <row r="931" hidden="1" outlineLevel="1"/>
    <row r="932" hidden="1" outlineLevel="1"/>
    <row r="933" hidden="1" outlineLevel="1"/>
    <row r="934" hidden="1" outlineLevel="1"/>
    <row r="935" hidden="1" outlineLevel="1"/>
    <row r="936" hidden="1" outlineLevel="1"/>
    <row r="937" hidden="1" outlineLevel="1"/>
    <row r="938" hidden="1" outlineLevel="1"/>
    <row r="939" hidden="1" outlineLevel="1"/>
    <row r="940" hidden="1" outlineLevel="1"/>
    <row r="941" hidden="1" outlineLevel="1"/>
    <row r="942" hidden="1" outlineLevel="1"/>
    <row r="943" hidden="1" outlineLevel="1"/>
    <row r="944" hidden="1" outlineLevel="1"/>
    <row r="945" hidden="1" outlineLevel="1"/>
    <row r="946" hidden="1" outlineLevel="1"/>
    <row r="947" hidden="1" outlineLevel="1"/>
    <row r="948" hidden="1" outlineLevel="1"/>
    <row r="949" hidden="1" outlineLevel="1"/>
    <row r="950" hidden="1" outlineLevel="1"/>
    <row r="951" hidden="1" outlineLevel="1"/>
    <row r="952" hidden="1" outlineLevel="1"/>
    <row r="953" hidden="1" outlineLevel="1"/>
    <row r="954" hidden="1" outlineLevel="1"/>
    <row r="955" hidden="1" outlineLevel="1"/>
    <row r="956" hidden="1" outlineLevel="1"/>
    <row r="957" hidden="1" outlineLevel="1"/>
    <row r="958" hidden="1" outlineLevel="1"/>
    <row r="959" hidden="1" outlineLevel="1"/>
    <row r="960" hidden="1" outlineLevel="1"/>
    <row r="961" hidden="1" outlineLevel="1"/>
    <row r="962" hidden="1" outlineLevel="1"/>
    <row r="963" hidden="1" outlineLevel="1"/>
    <row r="964" hidden="1" outlineLevel="1"/>
    <row r="965" hidden="1" outlineLevel="1"/>
    <row r="966" hidden="1" outlineLevel="1"/>
    <row r="967" hidden="1" outlineLevel="1"/>
    <row r="968" hidden="1" outlineLevel="1"/>
    <row r="969" hidden="1" outlineLevel="1"/>
    <row r="970" hidden="1" outlineLevel="1"/>
    <row r="971" hidden="1" outlineLevel="1"/>
    <row r="972" hidden="1" outlineLevel="1"/>
    <row r="973" hidden="1" outlineLevel="1"/>
    <row r="974" hidden="1" outlineLevel="1"/>
    <row r="975" hidden="1" outlineLevel="1"/>
    <row r="976" hidden="1" outlineLevel="1"/>
    <row r="977" hidden="1" outlineLevel="1"/>
    <row r="978" hidden="1" outlineLevel="1"/>
    <row r="979" hidden="1" outlineLevel="1"/>
    <row r="980" hidden="1" outlineLevel="1"/>
    <row r="981" hidden="1" outlineLevel="1"/>
    <row r="982" hidden="1" outlineLevel="1"/>
    <row r="983" hidden="1" outlineLevel="1"/>
    <row r="984" hidden="1" outlineLevel="1"/>
    <row r="985" hidden="1" outlineLevel="1"/>
    <row r="986" hidden="1" outlineLevel="1"/>
    <row r="987" hidden="1" outlineLevel="1"/>
    <row r="988" hidden="1" outlineLevel="1"/>
    <row r="989" hidden="1" outlineLevel="1"/>
    <row r="990" hidden="1" outlineLevel="1"/>
    <row r="991" hidden="1" outlineLevel="1"/>
    <row r="992" hidden="1" outlineLevel="1"/>
    <row r="993" hidden="1" outlineLevel="1"/>
    <row r="994" hidden="1" outlineLevel="1"/>
    <row r="995" hidden="1" outlineLevel="1"/>
    <row r="996" hidden="1" outlineLevel="1"/>
    <row r="997" hidden="1" outlineLevel="1"/>
    <row r="998" hidden="1" outlineLevel="1"/>
    <row r="999" hidden="1" outlineLevel="1"/>
    <row r="1000" hidden="1" outlineLevel="1"/>
    <row r="1001" hidden="1" outlineLevel="1"/>
    <row r="1002" hidden="1" outlineLevel="1"/>
    <row r="1003" hidden="1" outlineLevel="1"/>
    <row r="1004" hidden="1" outlineLevel="1"/>
    <row r="1005" hidden="1" outlineLevel="1"/>
    <row r="1006" hidden="1" outlineLevel="1"/>
    <row r="1007" hidden="1" outlineLevel="1"/>
    <row r="1008" hidden="1" outlineLevel="1"/>
    <row r="1009" hidden="1" outlineLevel="1"/>
    <row r="1010" hidden="1" outlineLevel="1"/>
    <row r="1011" hidden="1" outlineLevel="1"/>
    <row r="1012" hidden="1" outlineLevel="1"/>
    <row r="1013" hidden="1" outlineLevel="1"/>
    <row r="1014" hidden="1" outlineLevel="1"/>
    <row r="1015" hidden="1" outlineLevel="1"/>
    <row r="1016" hidden="1" outlineLevel="1"/>
    <row r="1017" hidden="1" outlineLevel="1"/>
    <row r="1018" hidden="1" outlineLevel="1"/>
    <row r="1019" hidden="1" outlineLevel="1"/>
    <row r="1020" hidden="1" outlineLevel="1"/>
    <row r="1021" hidden="1" outlineLevel="1"/>
    <row r="1022" hidden="1" outlineLevel="1"/>
    <row r="1023" hidden="1" outlineLevel="1"/>
    <row r="1024" hidden="1" outlineLevel="1"/>
    <row r="1025" hidden="1" outlineLevel="1"/>
    <row r="1026" hidden="1" outlineLevel="1"/>
    <row r="1027" hidden="1" outlineLevel="1"/>
    <row r="1028" hidden="1" outlineLevel="1"/>
    <row r="1029" hidden="1" outlineLevel="1"/>
    <row r="1030" hidden="1" outlineLevel="1"/>
    <row r="1031" hidden="1" outlineLevel="1"/>
    <row r="1032" hidden="1" outlineLevel="1"/>
    <row r="1033" hidden="1" outlineLevel="1"/>
    <row r="1034" hidden="1" outlineLevel="1"/>
    <row r="1035" hidden="1" outlineLevel="1"/>
    <row r="1036" hidden="1" outlineLevel="1"/>
    <row r="1037" hidden="1" outlineLevel="1"/>
    <row r="1038" hidden="1" outlineLevel="1"/>
    <row r="1039" hidden="1" outlineLevel="1"/>
    <row r="1040" hidden="1" outlineLevel="1"/>
    <row r="1041" hidden="1" outlineLevel="1"/>
    <row r="1042" hidden="1" outlineLevel="1"/>
    <row r="1043" hidden="1" outlineLevel="1"/>
    <row r="1044" hidden="1" outlineLevel="1"/>
    <row r="1045" hidden="1" outlineLevel="1"/>
    <row r="1046" hidden="1" outlineLevel="1"/>
    <row r="1047" hidden="1" outlineLevel="1"/>
    <row r="1048" hidden="1" outlineLevel="1"/>
    <row r="1049" hidden="1" outlineLevel="1"/>
    <row r="1050" hidden="1" outlineLevel="1"/>
    <row r="1051" hidden="1" outlineLevel="1"/>
    <row r="1052" hidden="1" outlineLevel="1"/>
    <row r="1053" hidden="1" outlineLevel="1"/>
    <row r="1054" hidden="1" outlineLevel="1"/>
    <row r="1055" hidden="1" outlineLevel="1"/>
    <row r="1056" hidden="1" outlineLevel="1"/>
    <row r="1057" hidden="1" outlineLevel="1"/>
    <row r="1058" hidden="1" outlineLevel="1"/>
    <row r="1059" hidden="1" outlineLevel="1"/>
    <row r="1060" hidden="1" outlineLevel="1"/>
    <row r="1061" hidden="1" outlineLevel="1"/>
    <row r="1062" hidden="1" outlineLevel="1"/>
    <row r="1063" hidden="1" outlineLevel="1"/>
    <row r="1064" hidden="1" outlineLevel="1"/>
    <row r="1065" hidden="1" outlineLevel="1"/>
    <row r="1066" hidden="1" outlineLevel="1"/>
    <row r="1067" hidden="1" outlineLevel="1"/>
    <row r="1068" hidden="1" outlineLevel="1"/>
    <row r="1069" hidden="1" outlineLevel="1"/>
    <row r="1070" hidden="1" outlineLevel="1"/>
    <row r="1071" hidden="1" outlineLevel="1"/>
    <row r="1072" hidden="1" outlineLevel="1"/>
    <row r="1073" hidden="1" outlineLevel="1"/>
    <row r="1074" hidden="1" outlineLevel="1"/>
    <row r="1075" hidden="1" outlineLevel="1"/>
    <row r="1076" hidden="1" outlineLevel="1"/>
    <row r="1077" hidden="1" outlineLevel="1"/>
    <row r="1078" hidden="1" outlineLevel="1"/>
    <row r="1079" hidden="1" outlineLevel="1"/>
    <row r="1080" hidden="1" outlineLevel="1"/>
    <row r="1081" hidden="1" outlineLevel="1"/>
    <row r="1082" hidden="1" outlineLevel="1"/>
    <row r="1083" hidden="1" outlineLevel="1"/>
    <row r="1084" hidden="1" outlineLevel="1"/>
    <row r="1085" hidden="1" outlineLevel="1"/>
    <row r="1086" hidden="1" outlineLevel="1"/>
    <row r="1087" hidden="1" outlineLevel="1"/>
    <row r="1088" hidden="1" outlineLevel="1"/>
    <row r="1089" hidden="1" outlineLevel="1"/>
    <row r="1090" hidden="1" outlineLevel="1"/>
    <row r="1091" hidden="1" outlineLevel="1"/>
    <row r="1092" hidden="1" outlineLevel="1"/>
    <row r="1093" hidden="1" outlineLevel="1"/>
    <row r="1094" hidden="1" outlineLevel="1"/>
    <row r="1095" hidden="1" outlineLevel="1"/>
    <row r="1096" hidden="1" outlineLevel="1"/>
    <row r="1097" hidden="1" outlineLevel="1"/>
    <row r="1098" hidden="1" outlineLevel="1"/>
    <row r="1099" hidden="1" outlineLevel="1"/>
    <row r="1100" hidden="1" outlineLevel="1"/>
    <row r="1101" hidden="1" outlineLevel="1"/>
    <row r="1102" hidden="1" outlineLevel="1"/>
    <row r="1103" hidden="1" outlineLevel="1"/>
    <row r="1104" hidden="1" outlineLevel="1"/>
    <row r="1105" hidden="1" outlineLevel="1"/>
    <row r="1106" hidden="1" outlineLevel="1"/>
    <row r="1107" hidden="1" outlineLevel="1"/>
    <row r="1108" hidden="1" outlineLevel="1"/>
    <row r="1109" hidden="1" outlineLevel="1"/>
    <row r="1110" hidden="1" outlineLevel="1"/>
    <row r="1111" hidden="1" outlineLevel="1"/>
    <row r="1112" hidden="1" outlineLevel="1"/>
    <row r="1113" hidden="1" outlineLevel="1"/>
    <row r="1114" hidden="1" outlineLevel="1"/>
    <row r="1115" hidden="1" outlineLevel="1"/>
    <row r="1116" hidden="1" outlineLevel="1"/>
    <row r="1117" hidden="1" outlineLevel="1"/>
    <row r="1118" hidden="1" outlineLevel="1"/>
    <row r="1119" hidden="1" outlineLevel="1"/>
    <row r="1120" hidden="1" outlineLevel="1"/>
    <row r="1121" hidden="1" outlineLevel="1"/>
    <row r="1122" hidden="1" outlineLevel="1"/>
    <row r="1123" hidden="1" outlineLevel="1"/>
    <row r="1124" hidden="1" outlineLevel="1"/>
    <row r="1125" hidden="1" outlineLevel="1"/>
    <row r="1126" hidden="1" outlineLevel="1"/>
    <row r="1127" hidden="1" outlineLevel="1"/>
    <row r="1128" hidden="1" outlineLevel="1"/>
    <row r="1129" hidden="1" outlineLevel="1"/>
    <row r="1130" hidden="1" outlineLevel="1"/>
    <row r="1131" hidden="1" outlineLevel="1"/>
    <row r="1132" hidden="1" outlineLevel="1"/>
    <row r="1133" hidden="1" outlineLevel="1"/>
    <row r="1134" hidden="1" outlineLevel="1"/>
    <row r="1135" hidden="1" outlineLevel="1"/>
    <row r="1136" hidden="1" outlineLevel="1"/>
    <row r="1137" hidden="1" outlineLevel="1"/>
    <row r="1138" hidden="1" outlineLevel="1"/>
    <row r="1139" hidden="1" outlineLevel="1"/>
    <row r="1140" hidden="1" outlineLevel="1"/>
    <row r="1141" hidden="1" outlineLevel="1"/>
    <row r="1142" hidden="1" outlineLevel="1"/>
    <row r="1143" hidden="1" outlineLevel="1"/>
    <row r="1144" hidden="1" outlineLevel="1"/>
    <row r="1145" hidden="1" outlineLevel="1"/>
    <row r="1146" hidden="1" outlineLevel="1"/>
    <row r="1147" hidden="1" outlineLevel="1"/>
    <row r="1148" hidden="1" outlineLevel="1"/>
    <row r="1149" hidden="1" outlineLevel="1"/>
    <row r="1150" hidden="1" outlineLevel="1"/>
    <row r="1151" hidden="1" outlineLevel="1"/>
    <row r="1152" hidden="1" outlineLevel="1"/>
    <row r="1153" hidden="1" outlineLevel="1"/>
    <row r="1154" hidden="1" outlineLevel="1"/>
    <row r="1155" hidden="1" outlineLevel="1"/>
    <row r="1156" hidden="1" outlineLevel="1"/>
    <row r="1157" hidden="1" outlineLevel="1"/>
    <row r="1158" hidden="1" outlineLevel="1"/>
    <row r="1159" hidden="1" outlineLevel="1"/>
    <row r="1160" hidden="1" outlineLevel="1"/>
    <row r="1161" hidden="1" outlineLevel="1"/>
    <row r="1162" hidden="1" outlineLevel="1"/>
    <row r="1163" hidden="1" outlineLevel="1"/>
    <row r="1164" hidden="1" outlineLevel="1"/>
    <row r="1165" hidden="1" outlineLevel="1"/>
    <row r="1166" hidden="1" outlineLevel="1"/>
    <row r="1167" hidden="1" outlineLevel="1"/>
    <row r="1168" hidden="1" outlineLevel="1"/>
    <row r="1169" hidden="1" outlineLevel="1"/>
    <row r="1170" hidden="1" outlineLevel="1"/>
    <row r="1171" hidden="1" outlineLevel="1"/>
    <row r="1172" hidden="1" outlineLevel="1"/>
    <row r="1173" hidden="1" outlineLevel="1"/>
    <row r="1174" hidden="1" outlineLevel="1"/>
    <row r="1175" hidden="1" outlineLevel="1"/>
    <row r="1176" hidden="1" outlineLevel="1"/>
    <row r="1177" hidden="1" outlineLevel="1"/>
    <row r="1178" hidden="1" outlineLevel="1"/>
    <row r="1179" hidden="1" outlineLevel="1"/>
    <row r="1180" hidden="1" outlineLevel="1"/>
    <row r="1181" hidden="1" outlineLevel="1"/>
    <row r="1182" hidden="1" outlineLevel="1"/>
    <row r="1183" hidden="1" outlineLevel="1"/>
    <row r="1184" hidden="1" outlineLevel="1"/>
    <row r="1185" hidden="1" outlineLevel="1"/>
    <row r="1186" hidden="1" outlineLevel="1"/>
    <row r="1187" hidden="1" outlineLevel="1"/>
    <row r="1188" hidden="1" outlineLevel="1"/>
    <row r="1189" hidden="1" outlineLevel="1"/>
    <row r="1190" hidden="1" outlineLevel="1"/>
    <row r="1191" hidden="1" outlineLevel="1"/>
    <row r="1192" hidden="1" outlineLevel="1"/>
    <row r="1193" hidden="1" outlineLevel="1"/>
    <row r="1194" hidden="1" outlineLevel="1"/>
    <row r="1195" hidden="1" outlineLevel="1"/>
    <row r="1196" hidden="1" outlineLevel="1"/>
    <row r="1197" hidden="1" outlineLevel="1"/>
    <row r="1198" hidden="1" outlineLevel="1"/>
    <row r="1199" hidden="1" outlineLevel="1"/>
    <row r="1200" hidden="1" outlineLevel="1"/>
    <row r="1201" hidden="1" outlineLevel="1"/>
    <row r="1202" hidden="1" outlineLevel="1"/>
    <row r="1203" hidden="1" outlineLevel="1"/>
    <row r="1204" hidden="1" outlineLevel="1"/>
    <row r="1205" hidden="1" outlineLevel="1"/>
    <row r="1206" hidden="1" outlineLevel="1"/>
    <row r="1207" hidden="1" outlineLevel="1"/>
    <row r="1208" hidden="1" outlineLevel="1"/>
    <row r="1209" hidden="1" outlineLevel="1"/>
    <row r="1210" hidden="1" outlineLevel="1"/>
    <row r="1211" hidden="1" outlineLevel="1"/>
    <row r="1212" hidden="1" outlineLevel="1"/>
    <row r="1213" hidden="1" outlineLevel="1"/>
    <row r="1214" hidden="1" outlineLevel="1"/>
    <row r="1215" hidden="1" outlineLevel="1"/>
    <row r="1216" hidden="1" outlineLevel="1"/>
    <row r="1217" hidden="1" outlineLevel="1"/>
    <row r="1218" hidden="1" outlineLevel="1"/>
    <row r="1219" hidden="1" outlineLevel="1"/>
    <row r="1220" hidden="1" outlineLevel="1"/>
    <row r="1221" hidden="1" outlineLevel="1"/>
    <row r="1222" hidden="1" outlineLevel="1"/>
    <row r="1223" hidden="1" outlineLevel="1"/>
    <row r="1224" hidden="1" outlineLevel="1"/>
    <row r="1225" hidden="1" outlineLevel="1"/>
    <row r="1226" hidden="1" outlineLevel="1"/>
    <row r="1227" hidden="1" outlineLevel="1"/>
    <row r="1228" hidden="1" outlineLevel="1"/>
    <row r="1229" hidden="1" outlineLevel="1"/>
    <row r="1230" hidden="1" outlineLevel="1"/>
    <row r="1231" hidden="1" outlineLevel="1"/>
    <row r="1232" hidden="1" outlineLevel="1"/>
    <row r="1233" hidden="1" outlineLevel="1"/>
    <row r="1234" hidden="1" outlineLevel="1"/>
    <row r="1235" hidden="1" outlineLevel="1"/>
    <row r="1236" hidden="1" outlineLevel="1"/>
    <row r="1237" hidden="1" outlineLevel="1"/>
    <row r="1238" hidden="1" outlineLevel="1"/>
    <row r="1239" hidden="1" outlineLevel="1"/>
    <row r="1240" hidden="1" outlineLevel="1"/>
    <row r="1241" hidden="1" outlineLevel="1"/>
    <row r="1242" hidden="1" outlineLevel="1"/>
    <row r="1243" hidden="1" outlineLevel="1"/>
    <row r="1244" hidden="1" outlineLevel="1"/>
    <row r="1245" hidden="1" outlineLevel="1"/>
    <row r="1246" hidden="1" outlineLevel="1"/>
    <row r="1247" hidden="1" outlineLevel="1"/>
    <row r="1248" hidden="1" outlineLevel="1"/>
    <row r="1249" hidden="1" outlineLevel="1"/>
    <row r="1250" hidden="1" outlineLevel="1"/>
    <row r="1251" hidden="1" outlineLevel="1"/>
    <row r="1252" hidden="1" outlineLevel="1"/>
    <row r="1253" hidden="1" outlineLevel="1"/>
    <row r="1254" hidden="1" outlineLevel="1"/>
    <row r="1255" hidden="1" outlineLevel="1"/>
    <row r="1256" hidden="1" outlineLevel="1"/>
    <row r="1257" hidden="1" outlineLevel="1"/>
    <row r="1258" hidden="1" outlineLevel="1"/>
    <row r="1259" hidden="1" outlineLevel="1"/>
    <row r="1260" hidden="1" outlineLevel="1"/>
    <row r="1261" hidden="1" outlineLevel="1"/>
    <row r="1262" hidden="1" outlineLevel="1"/>
    <row r="1263" hidden="1" outlineLevel="1"/>
    <row r="1264" hidden="1" outlineLevel="1"/>
    <row r="1265" hidden="1" outlineLevel="1"/>
    <row r="1266" hidden="1" outlineLevel="1"/>
    <row r="1267" s="61" customFormat="1" hidden="1" outlineLevel="1"/>
    <row r="1268" s="62" customFormat="1" collapsed="1"/>
    <row r="1269" s="62" customFormat="1"/>
    <row r="1270" s="62" customFormat="1"/>
    <row r="1271" s="62" customFormat="1"/>
    <row r="1272" s="62" customFormat="1"/>
    <row r="1273" s="62" customFormat="1"/>
    <row r="1274" s="62" customFormat="1"/>
    <row r="1275" s="62" customFormat="1"/>
    <row r="1276" s="62" customFormat="1"/>
    <row r="1277" s="62" customFormat="1"/>
    <row r="1278" s="62" customFormat="1"/>
    <row r="1279" s="62" customFormat="1"/>
    <row r="1280" s="62" customFormat="1"/>
    <row r="1281" s="62" customFormat="1"/>
    <row r="1282" s="62" customFormat="1"/>
    <row r="1283" s="62" customFormat="1"/>
    <row r="1284" s="62" customFormat="1"/>
    <row r="1285" s="62" customFormat="1"/>
    <row r="1286" s="62" customFormat="1"/>
    <row r="1287" s="62" customFormat="1"/>
    <row r="1288" s="62" customFormat="1"/>
    <row r="1289" s="62" customFormat="1"/>
    <row r="1290" s="62" customFormat="1"/>
    <row r="1291" s="62" customFormat="1"/>
    <row r="1292" s="62" customFormat="1"/>
    <row r="1293" s="62" customFormat="1"/>
    <row r="1294" s="62" customFormat="1"/>
    <row r="1295" s="62" customFormat="1"/>
    <row r="1296" s="62" customFormat="1"/>
    <row r="1297" s="62" customFormat="1"/>
    <row r="1298" s="62" customFormat="1"/>
    <row r="1299" s="62" customFormat="1"/>
    <row r="1300" s="62" customFormat="1"/>
    <row r="1301" s="62" customFormat="1"/>
    <row r="1302" s="62" customFormat="1"/>
    <row r="1303" s="62" customFormat="1"/>
    <row r="1304" s="62" customFormat="1"/>
    <row r="1305" s="62" customFormat="1"/>
    <row r="1306" s="62" customFormat="1"/>
    <row r="1307" s="62" customFormat="1"/>
    <row r="1308" s="62" customFormat="1"/>
    <row r="1309" s="62" customFormat="1"/>
    <row r="1310" s="62" customFormat="1"/>
    <row r="1311" s="62" customFormat="1"/>
    <row r="1312" s="62" customFormat="1"/>
    <row r="1313" s="62" customFormat="1"/>
    <row r="1314" s="62" customFormat="1"/>
    <row r="1315" s="62" customFormat="1"/>
    <row r="1316" s="62" customFormat="1"/>
    <row r="1317" s="62" customFormat="1"/>
    <row r="1318" s="62" customFormat="1"/>
    <row r="1319" s="62" customFormat="1"/>
    <row r="1320" s="62" customFormat="1"/>
    <row r="1321" s="62" customFormat="1"/>
    <row r="1322" s="62" customFormat="1"/>
    <row r="1323" s="62" customFormat="1"/>
    <row r="1324" s="62" customFormat="1"/>
    <row r="1325" s="62" customFormat="1"/>
    <row r="1326" s="62" customFormat="1"/>
    <row r="1327" s="62" customFormat="1"/>
    <row r="1328" s="62" customFormat="1"/>
    <row r="1329" s="62" customFormat="1"/>
    <row r="1330" s="62" customFormat="1"/>
    <row r="1331" s="62" customFormat="1"/>
    <row r="1332" s="62" customFormat="1"/>
    <row r="1333" s="62" customFormat="1"/>
    <row r="1334" s="62" customFormat="1"/>
    <row r="1335" s="62" customFormat="1"/>
    <row r="1336" s="62" customFormat="1"/>
    <row r="1337" s="62" customFormat="1"/>
    <row r="1338" s="62" customFormat="1"/>
    <row r="1339" s="62" customFormat="1"/>
    <row r="1340" s="62" customFormat="1"/>
    <row r="1341" s="62" customFormat="1"/>
    <row r="1342" s="62" customFormat="1"/>
    <row r="1343" s="62" customFormat="1"/>
    <row r="1344" s="62" customFormat="1"/>
    <row r="1345" s="62" customFormat="1"/>
    <row r="1346" s="62" customFormat="1"/>
    <row r="1347" s="62" customFormat="1"/>
    <row r="1348" s="62" customFormat="1"/>
    <row r="1349" s="62" customFormat="1"/>
    <row r="1350" s="62" customFormat="1"/>
    <row r="1351" s="62" customFormat="1"/>
    <row r="1352" s="62" customFormat="1"/>
    <row r="1353" s="62" customFormat="1"/>
    <row r="1354" s="62" customFormat="1"/>
    <row r="1355" s="62" customFormat="1"/>
    <row r="1356" s="62" customFormat="1"/>
    <row r="1357" s="62" customFormat="1"/>
    <row r="1358" s="62" customFormat="1"/>
    <row r="1359" s="62" customFormat="1"/>
    <row r="1360" s="62" customFormat="1"/>
    <row r="1361" s="62" customFormat="1"/>
    <row r="1362" s="62" customFormat="1"/>
    <row r="1363" s="62" customFormat="1"/>
    <row r="1364" s="62" customFormat="1"/>
    <row r="1365" s="62" customFormat="1"/>
    <row r="1366" s="62" customFormat="1"/>
    <row r="1367" s="62" customFormat="1"/>
    <row r="1368" s="62" customFormat="1"/>
    <row r="1369" s="62" customFormat="1"/>
    <row r="1370" s="62" customFormat="1"/>
    <row r="1371" s="62" customFormat="1"/>
    <row r="1372" s="62" customFormat="1"/>
    <row r="1373" s="62" customFormat="1"/>
    <row r="1374" s="62" customFormat="1"/>
    <row r="1375" s="62" customFormat="1"/>
    <row r="1376" s="62" customFormat="1"/>
    <row r="1377" s="62" customFormat="1"/>
    <row r="1378" s="62" customFormat="1"/>
    <row r="1379" s="62" customFormat="1"/>
    <row r="1380" s="62" customFormat="1"/>
    <row r="1381" s="62" customFormat="1"/>
    <row r="1382" s="62" customFormat="1"/>
    <row r="1383" s="62" customFormat="1"/>
    <row r="1384" s="62" customFormat="1"/>
    <row r="1385" s="62" customFormat="1"/>
    <row r="1386" s="62" customFormat="1"/>
    <row r="1387" s="62" customFormat="1"/>
    <row r="1388" s="62" customFormat="1"/>
    <row r="1389" s="62" customFormat="1"/>
    <row r="1390" s="62" customFormat="1"/>
    <row r="1391" s="62" customFormat="1"/>
    <row r="1392" s="62" customFormat="1"/>
    <row r="1393" s="62" customFormat="1"/>
    <row r="1394" s="62" customFormat="1"/>
    <row r="1395" s="62" customFormat="1"/>
    <row r="1396" s="62" customFormat="1"/>
    <row r="1397" s="62" customFormat="1"/>
    <row r="1398" s="62" customFormat="1"/>
    <row r="1399" s="62" customFormat="1"/>
    <row r="1400" s="62" customFormat="1"/>
    <row r="1401" s="62" customFormat="1"/>
    <row r="1402" s="62" customFormat="1"/>
    <row r="1403" s="62" customFormat="1"/>
    <row r="1404" s="62" customFormat="1"/>
    <row r="1405" s="62" customFormat="1"/>
    <row r="1406" s="62" customFormat="1"/>
    <row r="1407" s="62" customFormat="1"/>
    <row r="1408" s="62" customFormat="1"/>
    <row r="1409" s="62" customFormat="1"/>
    <row r="1410" s="62" customFormat="1"/>
    <row r="1411" s="62" customFormat="1"/>
    <row r="1412" s="62" customFormat="1"/>
    <row r="1413" s="62" customFormat="1"/>
    <row r="1414" s="62" customFormat="1"/>
    <row r="1415" s="62" customFormat="1"/>
    <row r="1416" s="62" customFormat="1"/>
    <row r="1417" s="62" customFormat="1"/>
    <row r="1418" s="62" customFormat="1"/>
    <row r="1419" s="62" customFormat="1"/>
    <row r="1420" s="62" customFormat="1"/>
    <row r="1421" s="62" customFormat="1"/>
    <row r="1422" s="62" customFormat="1"/>
    <row r="1423" s="62" customFormat="1"/>
    <row r="1424" s="62" customFormat="1"/>
    <row r="1425" s="62" customFormat="1"/>
    <row r="1426" s="62" customFormat="1"/>
    <row r="1427" s="62" customFormat="1"/>
    <row r="1428" s="62" customFormat="1"/>
    <row r="1429" s="62" customFormat="1"/>
    <row r="1430" s="62" customFormat="1"/>
    <row r="1431" s="62" customFormat="1"/>
    <row r="1432" s="62" customFormat="1"/>
    <row r="1433" s="62" customFormat="1"/>
    <row r="1434" s="62" customFormat="1"/>
    <row r="1435" s="62" customFormat="1"/>
    <row r="1436" s="62" customFormat="1"/>
    <row r="1437" s="62" customFormat="1"/>
    <row r="1438" s="62" customFormat="1"/>
    <row r="1439" s="62" customFormat="1"/>
    <row r="1440" s="62" customFormat="1"/>
    <row r="1441" s="62" customFormat="1"/>
    <row r="1442" s="62" customFormat="1"/>
    <row r="1443" s="62" customFormat="1"/>
    <row r="1444" s="62" customFormat="1"/>
    <row r="1445" s="62" customFormat="1"/>
    <row r="1446" s="62" customFormat="1"/>
    <row r="1447" s="62" customFormat="1"/>
    <row r="1448" s="62" customFormat="1"/>
    <row r="1449" s="62" customFormat="1"/>
    <row r="1450" s="62" customFormat="1"/>
    <row r="1451" s="62" customFormat="1"/>
    <row r="1452" s="62" customFormat="1"/>
    <row r="1453" s="62" customFormat="1"/>
    <row r="1454" s="62" customFormat="1"/>
    <row r="1455" s="62" customFormat="1"/>
    <row r="1456" s="62" customFormat="1"/>
    <row r="1457" s="62" customFormat="1"/>
    <row r="1458" s="62" customFormat="1"/>
    <row r="1459" s="62" customFormat="1"/>
    <row r="1460" s="62" customFormat="1"/>
    <row r="1461" s="62" customFormat="1"/>
    <row r="1462" s="62" customFormat="1"/>
    <row r="1463" s="62" customFormat="1"/>
    <row r="1464" s="62" customFormat="1"/>
    <row r="1465" s="62" customFormat="1"/>
    <row r="1466" s="62" customFormat="1"/>
    <row r="1467" s="62" customFormat="1"/>
    <row r="1468" s="62" customFormat="1"/>
    <row r="1469" s="62" customFormat="1"/>
    <row r="1470" s="62" customFormat="1"/>
    <row r="1471" s="62" customFormat="1"/>
    <row r="1472" s="62" customFormat="1"/>
    <row r="1473" s="62" customFormat="1"/>
    <row r="1474" s="62" customFormat="1"/>
    <row r="1475" s="62" customFormat="1"/>
    <row r="1476" s="62" customFormat="1"/>
    <row r="1477" s="62" customFormat="1"/>
    <row r="1478" s="62" customFormat="1"/>
    <row r="1479" s="62" customFormat="1"/>
    <row r="1480" s="62" customFormat="1"/>
    <row r="1481" s="62" customFormat="1"/>
    <row r="1482" s="62" customFormat="1"/>
    <row r="1483" s="62" customFormat="1"/>
    <row r="1484" s="62" customFormat="1"/>
    <row r="1485" s="62" customFormat="1"/>
    <row r="1486" s="62" customFormat="1"/>
    <row r="1487" s="62" customFormat="1"/>
    <row r="1488" s="62" customFormat="1"/>
    <row r="1489" s="62" customFormat="1"/>
    <row r="1490" s="62" customFormat="1"/>
    <row r="1491" s="62" customFormat="1"/>
    <row r="1492" s="62" customFormat="1"/>
    <row r="1493" s="62" customFormat="1"/>
    <row r="1494" s="62" customFormat="1"/>
    <row r="1495" s="62" customFormat="1"/>
    <row r="1496" s="62" customFormat="1"/>
    <row r="1497" s="62" customFormat="1"/>
    <row r="1498" s="62" customFormat="1"/>
    <row r="1499" s="62" customFormat="1"/>
    <row r="1500" s="62" customFormat="1"/>
    <row r="1501" s="62" customFormat="1"/>
    <row r="1502" s="62" customFormat="1"/>
    <row r="1503" s="62" customFormat="1"/>
    <row r="1504" s="62" customFormat="1"/>
    <row r="1505" s="62" customFormat="1"/>
    <row r="1506" s="62" customFormat="1"/>
    <row r="1507" s="62" customFormat="1"/>
    <row r="1508" s="62" customFormat="1"/>
    <row r="1509" s="62" customFormat="1"/>
    <row r="1510" s="62" customFormat="1"/>
    <row r="1511" s="62" customFormat="1"/>
    <row r="1512" s="62" customFormat="1"/>
    <row r="1513" s="62" customFormat="1"/>
    <row r="1514" s="62" customFormat="1"/>
    <row r="1515" s="62" customFormat="1"/>
    <row r="1516" s="62" customFormat="1"/>
    <row r="1517" s="62" customFormat="1"/>
    <row r="1518" s="62" customFormat="1"/>
    <row r="1519" s="62" customFormat="1"/>
    <row r="1520" s="62" customFormat="1"/>
    <row r="1521" s="62" customFormat="1"/>
    <row r="1522" s="62" customFormat="1"/>
    <row r="1523" s="62" customFormat="1"/>
    <row r="1524" s="62" customFormat="1"/>
    <row r="1525" s="62" customFormat="1"/>
    <row r="1526" s="62" customFormat="1"/>
    <row r="1527" s="62" customFormat="1"/>
    <row r="1528" s="62" customFormat="1"/>
    <row r="1529" s="62" customFormat="1"/>
    <row r="1530" s="62" customFormat="1"/>
    <row r="1531" s="62" customFormat="1"/>
    <row r="1532" s="62" customFormat="1"/>
    <row r="1533" s="62" customFormat="1"/>
    <row r="1534" s="62" customFormat="1"/>
    <row r="1535" s="62" customFormat="1"/>
    <row r="1536" s="62" customFormat="1"/>
    <row r="1537" s="62" customFormat="1"/>
    <row r="1538" s="62" customFormat="1"/>
    <row r="1539" s="62" customFormat="1"/>
    <row r="1540" s="62" customFormat="1"/>
    <row r="1541" s="62" customFormat="1"/>
    <row r="1542" s="62" customFormat="1"/>
    <row r="1543" s="62" customFormat="1"/>
    <row r="1544" s="62" customFormat="1"/>
    <row r="1545" s="62" customFormat="1"/>
    <row r="1546" s="62" customFormat="1"/>
    <row r="1547" s="62" customFormat="1"/>
    <row r="1548" s="62" customFormat="1"/>
    <row r="1549" s="62" customFormat="1"/>
    <row r="1550" s="62" customFormat="1"/>
    <row r="1551" s="62" customFormat="1"/>
    <row r="1552" s="62" customFormat="1"/>
    <row r="1553" s="62" customFormat="1"/>
    <row r="1554" s="62" customFormat="1"/>
    <row r="1555" s="62" customFormat="1"/>
    <row r="1556" s="62" customFormat="1"/>
    <row r="1557" s="62" customFormat="1"/>
    <row r="1558" s="62" customFormat="1"/>
    <row r="1559" s="62" customFormat="1"/>
    <row r="1560" s="62" customFormat="1"/>
    <row r="1561" s="62" customFormat="1"/>
    <row r="1562" s="62" customFormat="1"/>
    <row r="1563" s="62" customFormat="1"/>
    <row r="1564" s="62" customFormat="1"/>
    <row r="1565" s="62" customFormat="1"/>
    <row r="1566" s="62" customFormat="1"/>
    <row r="1567" s="62" customFormat="1"/>
    <row r="1568" s="62" customFormat="1"/>
    <row r="1569" s="62" customFormat="1"/>
    <row r="1570" s="62" customFormat="1"/>
    <row r="1571" s="62" customFormat="1"/>
    <row r="1572" s="62" customFormat="1"/>
    <row r="1573" s="62" customFormat="1"/>
    <row r="1574" s="62" customFormat="1"/>
    <row r="1575" s="62" customFormat="1"/>
    <row r="1576" s="62" customFormat="1"/>
    <row r="1577" s="62" customFormat="1"/>
    <row r="1578" s="62" customFormat="1"/>
    <row r="1579" s="62" customFormat="1"/>
    <row r="1580" s="62" customFormat="1"/>
    <row r="1581" s="62" customFormat="1"/>
    <row r="1582" s="62" customFormat="1"/>
    <row r="1583" s="62" customFormat="1"/>
    <row r="1584" s="62" customFormat="1"/>
    <row r="1585" s="62" customFormat="1"/>
    <row r="1586" s="62" customFormat="1"/>
    <row r="1587" s="62" customFormat="1"/>
    <row r="1588" s="62" customFormat="1"/>
    <row r="1589" s="62" customFormat="1"/>
    <row r="1590" s="62" customFormat="1"/>
    <row r="1591" s="62" customFormat="1"/>
    <row r="1592" s="62" customFormat="1"/>
    <row r="1593" s="62" customFormat="1"/>
    <row r="1594" s="62" customFormat="1"/>
    <row r="1595" s="62" customFormat="1"/>
    <row r="1596" s="62" customFormat="1"/>
    <row r="1597" s="62" customFormat="1"/>
    <row r="1598" s="62" customFormat="1"/>
    <row r="1599" s="62" customFormat="1"/>
    <row r="1600" s="62" customFormat="1"/>
    <row r="1601" s="62" customFormat="1"/>
    <row r="1602" s="62" customFormat="1"/>
    <row r="1603" s="62" customFormat="1"/>
    <row r="1604" s="62" customFormat="1"/>
    <row r="1605" s="62" customFormat="1"/>
    <row r="1606" s="62" customFormat="1"/>
    <row r="1607" s="62" customFormat="1"/>
    <row r="1608" s="62" customFormat="1"/>
    <row r="1609" s="62" customFormat="1"/>
    <row r="1610" s="62" customFormat="1"/>
    <row r="1611" s="62" customFormat="1"/>
    <row r="1612" s="62" customFormat="1"/>
    <row r="1613" s="62" customFormat="1"/>
    <row r="1614" s="62" customFormat="1"/>
    <row r="1615" s="62" customFormat="1"/>
    <row r="1616" s="62" customFormat="1"/>
    <row r="1617" s="62" customFormat="1"/>
    <row r="1618" s="62" customFormat="1"/>
    <row r="1619" s="62" customFormat="1"/>
    <row r="1620" s="62" customFormat="1"/>
    <row r="1621" s="62" customFormat="1"/>
    <row r="1622" s="62" customFormat="1"/>
    <row r="1623" s="62" customFormat="1"/>
    <row r="1624" s="62" customFormat="1"/>
    <row r="1625" s="62" customFormat="1"/>
    <row r="1626" s="62" customFormat="1"/>
    <row r="1627" s="62" customFormat="1"/>
    <row r="1628" s="62" customFormat="1"/>
    <row r="1629" s="62" customFormat="1"/>
    <row r="1630" s="62" customFormat="1"/>
    <row r="1631" s="62" customFormat="1"/>
    <row r="1632" s="62" customFormat="1"/>
    <row r="1633" s="62" customFormat="1"/>
    <row r="1634" s="62" customFormat="1"/>
    <row r="1635" s="62" customFormat="1"/>
    <row r="1636" s="62" customFormat="1"/>
    <row r="1637" s="62" customFormat="1"/>
    <row r="1638" s="62" customFormat="1"/>
    <row r="1639" s="62" customFormat="1"/>
    <row r="1640" s="62" customFormat="1"/>
    <row r="1641" s="62" customFormat="1"/>
    <row r="1642" s="62" customFormat="1"/>
    <row r="1643" s="62" customFormat="1"/>
    <row r="1644" s="62" customFormat="1"/>
    <row r="1645" s="62" customFormat="1"/>
    <row r="1646" s="62" customFormat="1"/>
    <row r="1647" s="62" customFormat="1"/>
    <row r="1648" s="62" customFormat="1"/>
    <row r="1649" s="62" customFormat="1"/>
    <row r="1650" s="62" customFormat="1"/>
    <row r="1651" s="62" customFormat="1"/>
    <row r="1652" s="62" customFormat="1"/>
    <row r="1653" s="62" customFormat="1"/>
    <row r="1654" s="62" customFormat="1"/>
    <row r="1655" s="62" customFormat="1"/>
    <row r="1656" s="62" customFormat="1"/>
    <row r="1657" s="62" customFormat="1"/>
    <row r="1658" s="62" customFormat="1"/>
    <row r="1659" s="62" customFormat="1"/>
    <row r="1660" s="62" customFormat="1"/>
    <row r="1661" s="62" customFormat="1"/>
    <row r="1662" s="62" customFormat="1"/>
    <row r="1663" s="62" customFormat="1"/>
    <row r="1664" s="62" customFormat="1"/>
    <row r="1665" s="62" customFormat="1"/>
    <row r="1666" s="62" customFormat="1"/>
    <row r="1667" s="62" customFormat="1"/>
    <row r="1668" s="62" customFormat="1"/>
    <row r="1669" s="62" customFormat="1"/>
    <row r="1670" s="62" customFormat="1"/>
    <row r="1671" s="62" customFormat="1"/>
    <row r="1672" s="62" customFormat="1"/>
    <row r="1673" s="62" customFormat="1"/>
    <row r="1674" s="62" customFormat="1"/>
    <row r="1675" s="62" customFormat="1"/>
    <row r="1676" s="62" customFormat="1"/>
    <row r="1677" s="62" customFormat="1"/>
    <row r="1678" s="62" customFormat="1"/>
    <row r="1679" s="62" customFormat="1"/>
    <row r="1680" s="62" customFormat="1"/>
    <row r="1681" s="62" customFormat="1"/>
    <row r="1682" s="62" customFormat="1"/>
    <row r="1683" s="62" customFormat="1"/>
    <row r="1684" s="62" customFormat="1"/>
    <row r="1685" s="62" customFormat="1"/>
    <row r="1686" s="62" customFormat="1"/>
    <row r="1687" s="62" customFormat="1"/>
    <row r="1688" s="62" customFormat="1"/>
    <row r="1689" s="62" customFormat="1"/>
    <row r="1690" s="62" customFormat="1"/>
    <row r="1691" s="62" customFormat="1"/>
    <row r="1692" s="62" customFormat="1"/>
    <row r="1693" s="62" customFormat="1"/>
    <row r="1694" s="62" customFormat="1"/>
    <row r="1695" s="62" customFormat="1"/>
    <row r="1696" s="62" customFormat="1"/>
    <row r="1697" s="62" customFormat="1"/>
    <row r="1698" s="62" customFormat="1"/>
    <row r="1699" s="62" customFormat="1"/>
    <row r="1700" s="62" customFormat="1"/>
    <row r="1701" s="62" customFormat="1"/>
    <row r="1702" s="62" customFormat="1"/>
    <row r="1703" s="62" customFormat="1"/>
    <row r="1704" s="62" customFormat="1"/>
    <row r="1705" s="62" customFormat="1"/>
    <row r="1706" s="62" customFormat="1"/>
    <row r="1707" s="62" customFormat="1"/>
    <row r="1708" s="62" customFormat="1"/>
    <row r="1709" s="62" customFormat="1"/>
    <row r="1710" s="62" customFormat="1"/>
    <row r="1711" s="62" customFormat="1"/>
    <row r="1712" s="62" customFormat="1"/>
    <row r="1713" s="62" customFormat="1"/>
    <row r="1714" s="62" customFormat="1"/>
    <row r="1715" s="62" customFormat="1"/>
    <row r="1716" s="62" customFormat="1"/>
    <row r="1717" s="62" customFormat="1"/>
    <row r="1718" s="62" customFormat="1"/>
    <row r="1719" s="62" customFormat="1"/>
    <row r="1720" s="62" customFormat="1"/>
    <row r="1721" s="62" customFormat="1"/>
    <row r="1722" s="62" customFormat="1"/>
    <row r="1723" s="62" customFormat="1"/>
    <row r="1724" s="62" customFormat="1"/>
    <row r="1725" s="62" customFormat="1"/>
    <row r="1726" s="62" customFormat="1"/>
    <row r="1727" s="62" customFormat="1"/>
    <row r="1728" s="62" customFormat="1"/>
    <row r="1729" s="62" customFormat="1"/>
    <row r="1730" s="62" customFormat="1"/>
    <row r="1731" s="62" customFormat="1"/>
    <row r="1732" s="62" customFormat="1"/>
    <row r="1733" s="62" customFormat="1"/>
    <row r="1734" s="62" customFormat="1"/>
    <row r="1735" s="62" customFormat="1"/>
    <row r="1736" s="62" customFormat="1"/>
    <row r="1737" s="62" customFormat="1"/>
    <row r="1738" s="62" customFormat="1"/>
    <row r="1739" s="62" customFormat="1"/>
    <row r="1740" s="62" customFormat="1"/>
    <row r="1741" s="62" customFormat="1"/>
    <row r="1742" s="62" customFormat="1"/>
    <row r="1743" s="62" customFormat="1"/>
    <row r="1744" s="62" customFormat="1"/>
    <row r="1745" s="62" customFormat="1"/>
    <row r="1746" s="62" customFormat="1"/>
    <row r="1747" s="62" customFormat="1"/>
    <row r="1748" s="62" customFormat="1"/>
    <row r="1749" s="62" customFormat="1"/>
    <row r="1750" s="62" customFormat="1"/>
    <row r="1751" s="62" customFormat="1"/>
    <row r="1752" s="62" customFormat="1"/>
    <row r="1753" s="62" customFormat="1"/>
    <row r="1754" s="62" customFormat="1"/>
    <row r="1755" s="62" customFormat="1"/>
    <row r="1756" s="62" customFormat="1"/>
    <row r="1757" s="62" customFormat="1"/>
    <row r="1758" s="62" customFormat="1"/>
    <row r="1759" s="62" customFormat="1"/>
    <row r="1760" s="62" customFormat="1"/>
    <row r="1761" s="62" customFormat="1"/>
    <row r="1762" s="62" customFormat="1"/>
    <row r="1763" s="62" customFormat="1"/>
    <row r="1764" s="62" customFormat="1"/>
    <row r="1765" s="62" customFormat="1"/>
    <row r="1766" s="62" customFormat="1"/>
    <row r="1767" s="62" customFormat="1"/>
    <row r="1768" s="62" customFormat="1"/>
    <row r="1769" s="62" customFormat="1"/>
    <row r="1770" s="62" customFormat="1"/>
    <row r="1771" s="62" customFormat="1"/>
    <row r="1772" s="62" customFormat="1"/>
    <row r="1773" s="62" customFormat="1"/>
    <row r="1774" s="62" customFormat="1"/>
    <row r="1775" s="62" customFormat="1"/>
    <row r="1776" s="62" customFormat="1"/>
    <row r="1777" s="62" customFormat="1"/>
    <row r="1778" s="62" customFormat="1"/>
    <row r="1779" s="62" customFormat="1"/>
    <row r="1780" s="62" customFormat="1"/>
    <row r="1781" s="62" customFormat="1"/>
    <row r="1782" s="62" customFormat="1"/>
    <row r="1783" s="62" customFormat="1"/>
    <row r="1784" s="62" customFormat="1"/>
    <row r="1785" s="62" customFormat="1"/>
    <row r="1786" s="62" customFormat="1"/>
    <row r="1787" s="62" customFormat="1"/>
    <row r="1788" s="62" customFormat="1"/>
    <row r="1789" s="62" customFormat="1"/>
    <row r="1790" s="62" customFormat="1"/>
    <row r="1791" s="62" customFormat="1"/>
    <row r="1792" s="62" customFormat="1"/>
    <row r="1793" s="62" customFormat="1"/>
    <row r="1794" s="62" customFormat="1"/>
    <row r="1795" s="62" customFormat="1"/>
    <row r="1796" s="62" customFormat="1"/>
    <row r="1797" s="62" customFormat="1"/>
    <row r="1798" s="62" customFormat="1"/>
    <row r="1799" s="62" customFormat="1"/>
    <row r="1800" s="62" customFormat="1"/>
    <row r="1801" s="62" customFormat="1"/>
    <row r="1802" s="62" customFormat="1"/>
    <row r="1803" s="62" customFormat="1"/>
    <row r="1804" s="62" customFormat="1"/>
    <row r="1805" s="62" customFormat="1"/>
    <row r="1806" s="62" customFormat="1"/>
    <row r="1807" s="62" customFormat="1"/>
    <row r="1808" s="62" customFormat="1"/>
    <row r="1809" s="62" customFormat="1"/>
    <row r="1810" s="62" customFormat="1"/>
    <row r="1811" s="62" customFormat="1"/>
    <row r="1812" s="62" customFormat="1"/>
    <row r="1813" s="62" customFormat="1"/>
    <row r="1814" s="62" customFormat="1"/>
    <row r="1815" s="62" customFormat="1"/>
    <row r="1816" s="62" customFormat="1"/>
    <row r="1817" s="62" customFormat="1"/>
    <row r="1818" s="62" customFormat="1"/>
    <row r="1819" s="62" customFormat="1"/>
    <row r="1820" s="62" customFormat="1"/>
    <row r="1821" s="62" customFormat="1"/>
    <row r="1822" s="62" customFormat="1"/>
    <row r="1823" s="62" customFormat="1"/>
    <row r="1824" s="62" customFormat="1"/>
    <row r="1825" s="62" customFormat="1"/>
    <row r="1826" s="62" customFormat="1"/>
    <row r="1827" s="62" customFormat="1"/>
    <row r="1828" s="62" customFormat="1"/>
    <row r="1829" s="62" customFormat="1"/>
    <row r="1830" s="62" customFormat="1"/>
    <row r="1831" s="62" customFormat="1"/>
    <row r="1832" s="62" customFormat="1"/>
    <row r="1833" s="62" customFormat="1"/>
    <row r="1834" s="62" customFormat="1"/>
    <row r="1835" s="62" customFormat="1"/>
    <row r="1836" s="62" customFormat="1"/>
    <row r="1837" s="62" customFormat="1"/>
    <row r="1838" s="62" customFormat="1"/>
    <row r="1839" s="62" customFormat="1"/>
    <row r="1840" s="62" customFormat="1"/>
    <row r="1841" s="62" customFormat="1"/>
    <row r="1842" s="62" customFormat="1"/>
    <row r="1843" s="62" customFormat="1"/>
    <row r="1844" s="62" customFormat="1"/>
    <row r="1845" s="62" customFormat="1"/>
    <row r="1846" s="62" customFormat="1"/>
    <row r="1847" s="62" customFormat="1"/>
    <row r="1848" s="62" customFormat="1"/>
    <row r="1849" s="62" customFormat="1"/>
    <row r="1850" s="62" customFormat="1"/>
    <row r="1851" s="62" customFormat="1"/>
    <row r="1852" s="62" customFormat="1"/>
    <row r="1853" s="62" customFormat="1"/>
    <row r="1854" s="62" customFormat="1"/>
    <row r="1855" s="62" customFormat="1"/>
    <row r="1856" s="62" customFormat="1"/>
    <row r="1857" s="62" customFormat="1"/>
    <row r="1858" s="62" customFormat="1"/>
    <row r="1859" s="62" customFormat="1"/>
    <row r="1860" s="62" customFormat="1"/>
    <row r="1861" s="62" customFormat="1"/>
    <row r="1862" s="62" customFormat="1"/>
    <row r="1863" s="62" customFormat="1"/>
    <row r="1864" s="62" customFormat="1"/>
    <row r="1865" s="62" customFormat="1"/>
    <row r="1866" s="62" customFormat="1"/>
    <row r="1867" s="62" customFormat="1"/>
    <row r="1868" s="62" customFormat="1"/>
    <row r="1869" s="62" customFormat="1"/>
    <row r="1870" s="62" customFormat="1"/>
    <row r="1871" s="62" customFormat="1"/>
    <row r="1872" s="62" customFormat="1"/>
    <row r="1873" s="62" customFormat="1"/>
    <row r="1874" s="62" customFormat="1"/>
    <row r="1875" s="62" customFormat="1"/>
    <row r="1876" s="62" customFormat="1"/>
    <row r="1877" s="62" customFormat="1"/>
    <row r="1878" s="62" customFormat="1"/>
    <row r="1879" s="62" customFormat="1"/>
    <row r="1880" s="62" customFormat="1"/>
    <row r="1881" s="62" customFormat="1"/>
    <row r="1882" s="62" customFormat="1"/>
    <row r="1883" s="62" customFormat="1"/>
    <row r="1884" s="62" customFormat="1"/>
    <row r="1885" s="62" customFormat="1"/>
    <row r="1886" s="62" customFormat="1"/>
    <row r="1887" s="62" customFormat="1"/>
    <row r="1888" s="62" customFormat="1"/>
    <row r="1889" s="62" customFormat="1"/>
    <row r="1890" s="62" customFormat="1"/>
    <row r="1891" s="62" customFormat="1"/>
    <row r="1892" s="62" customFormat="1"/>
    <row r="1893" s="62" customFormat="1"/>
    <row r="1894" s="62" customFormat="1"/>
    <row r="1895" s="62" customFormat="1"/>
    <row r="1896" s="62" customFormat="1"/>
    <row r="1897" s="62" customFormat="1"/>
    <row r="1898" s="62" customFormat="1"/>
    <row r="1899" s="62" customFormat="1"/>
    <row r="1900" s="62" customFormat="1"/>
    <row r="1901" s="62" customFormat="1"/>
    <row r="1902" s="62" customFormat="1"/>
    <row r="1903" s="62" customFormat="1"/>
    <row r="1904" s="62" customFormat="1"/>
    <row r="1905" s="62" customFormat="1"/>
    <row r="1906" s="62" customFormat="1"/>
    <row r="1907" s="62" customFormat="1"/>
    <row r="1908" s="62" customFormat="1"/>
    <row r="1909" s="62" customFormat="1"/>
    <row r="1910" s="62" customFormat="1"/>
    <row r="1911" s="62" customFormat="1"/>
    <row r="1912" s="62" customFormat="1"/>
    <row r="1913" s="62" customFormat="1"/>
    <row r="1914" s="62" customFormat="1"/>
    <row r="1915" s="62" customFormat="1"/>
    <row r="1916" s="62" customFormat="1"/>
    <row r="1917" s="62" customFormat="1"/>
    <row r="1918" s="62" customFormat="1"/>
    <row r="1919" s="62" customFormat="1"/>
    <row r="1920" s="62" customFormat="1"/>
    <row r="1921" s="62" customFormat="1"/>
    <row r="1922" s="62" customFormat="1"/>
    <row r="1923" s="62" customFormat="1"/>
    <row r="1924" s="62" customFormat="1"/>
    <row r="1925" s="62" customFormat="1"/>
    <row r="1926" s="62" customFormat="1"/>
    <row r="1927" s="62" customFormat="1"/>
    <row r="1928" s="62" customFormat="1"/>
    <row r="1929" s="62" customFormat="1"/>
    <row r="1930" s="62" customFormat="1"/>
    <row r="1931" s="62" customFormat="1"/>
    <row r="1932" s="62" customFormat="1"/>
    <row r="1933" s="62" customFormat="1"/>
    <row r="1934" s="62" customFormat="1"/>
    <row r="1935" s="62" customFormat="1"/>
    <row r="1936" s="62" customFormat="1"/>
    <row r="1937" s="62" customFormat="1"/>
    <row r="1938" s="62" customFormat="1"/>
    <row r="1939" s="62" customFormat="1"/>
    <row r="1940" s="62" customFormat="1"/>
    <row r="1941" s="62" customFormat="1"/>
    <row r="1942" s="62" customFormat="1"/>
    <row r="1943" s="62" customFormat="1"/>
    <row r="1944" s="62" customFormat="1"/>
    <row r="1945" s="62" customFormat="1"/>
    <row r="1946" s="62" customFormat="1"/>
    <row r="1947" s="62" customFormat="1"/>
    <row r="1948" s="62" customFormat="1"/>
    <row r="1949" s="62" customFormat="1"/>
    <row r="1950" s="62" customFormat="1"/>
    <row r="1951" s="62" customFormat="1"/>
    <row r="1952" s="62" customFormat="1"/>
    <row r="1953" s="62" customFormat="1"/>
    <row r="1954" s="62" customFormat="1"/>
    <row r="1955" s="62" customFormat="1"/>
    <row r="1956" s="62" customFormat="1"/>
    <row r="1957" s="62" customFormat="1"/>
    <row r="1958" s="62" customFormat="1"/>
    <row r="1959" s="62" customFormat="1"/>
    <row r="1960" s="62" customFormat="1"/>
    <row r="1961" s="62" customFormat="1"/>
    <row r="1962" s="62" customFormat="1"/>
    <row r="1963" s="62" customFormat="1"/>
    <row r="1964" s="62" customFormat="1"/>
    <row r="1965" s="62" customFormat="1"/>
    <row r="1966" s="62" customFormat="1"/>
    <row r="1967" s="62" customFormat="1"/>
    <row r="1968" s="62" customFormat="1"/>
    <row r="1969" s="62" customFormat="1"/>
    <row r="1970" s="62" customFormat="1"/>
    <row r="1971" s="62" customFormat="1"/>
    <row r="1972" s="62" customFormat="1"/>
    <row r="1973" s="62" customFormat="1"/>
    <row r="1974" s="62" customFormat="1"/>
    <row r="1975" s="62" customFormat="1"/>
    <row r="1976" s="62" customFormat="1"/>
    <row r="1977" s="62" customFormat="1"/>
    <row r="1978" s="62" customFormat="1"/>
    <row r="1979" s="62" customFormat="1"/>
    <row r="1980" s="62" customFormat="1"/>
    <row r="1981" s="62" customFormat="1"/>
    <row r="1982" s="62" customFormat="1"/>
    <row r="1983" s="62" customFormat="1"/>
    <row r="1984" s="62" customFormat="1"/>
    <row r="1985" s="62" customFormat="1"/>
    <row r="1986" s="62" customFormat="1"/>
    <row r="1987" s="62" customFormat="1"/>
    <row r="1988" s="62" customFormat="1"/>
    <row r="1989" s="62" customFormat="1"/>
    <row r="1990" s="62" customFormat="1"/>
    <row r="1991" s="62" customFormat="1"/>
    <row r="1992" s="62" customFormat="1"/>
    <row r="1993" s="62" customFormat="1"/>
    <row r="1994" s="62" customFormat="1"/>
    <row r="1995" s="62" customFormat="1"/>
    <row r="1996" s="62" customFormat="1"/>
    <row r="1997" s="62" customFormat="1"/>
    <row r="1998" s="62" customFormat="1"/>
    <row r="1999" s="62" customFormat="1"/>
    <row r="2000" s="62" customFormat="1"/>
    <row r="2001" s="62" customFormat="1"/>
    <row r="2002" s="62" customFormat="1"/>
    <row r="2003" s="62" customFormat="1"/>
    <row r="2004" s="62" customFormat="1"/>
    <row r="2005" s="62" customFormat="1"/>
    <row r="2006" s="62" customFormat="1"/>
    <row r="2007" s="62" customFormat="1"/>
    <row r="2008" s="62" customFormat="1"/>
    <row r="2009" s="62" customFormat="1"/>
    <row r="2010" s="62" customFormat="1"/>
    <row r="2011" s="62" customFormat="1"/>
    <row r="2012" s="62" customFormat="1"/>
    <row r="2013" s="62" customFormat="1"/>
    <row r="2014" s="62" customFormat="1"/>
    <row r="2015" s="62" customFormat="1"/>
    <row r="2016" s="62" customFormat="1"/>
    <row r="2017" s="62" customFormat="1"/>
    <row r="2018" s="62" customFormat="1"/>
    <row r="2019" s="62" customFormat="1"/>
    <row r="2020" s="62" customFormat="1"/>
    <row r="2021" s="62" customFormat="1"/>
    <row r="2022" s="62" customFormat="1"/>
    <row r="2023" s="62" customFormat="1"/>
    <row r="2024" s="62" customFormat="1"/>
    <row r="2025" s="62" customFormat="1"/>
    <row r="2026" s="62" customFormat="1"/>
    <row r="2027" s="62" customFormat="1"/>
    <row r="2028" s="62" customFormat="1"/>
    <row r="2029" s="62" customFormat="1"/>
    <row r="2030" s="62" customFormat="1"/>
    <row r="2031" s="62" customFormat="1"/>
    <row r="2032" s="62" customFormat="1"/>
    <row r="2033" s="62" customFormat="1"/>
    <row r="2034" s="62" customFormat="1"/>
    <row r="2035" s="62" customFormat="1"/>
    <row r="2036" s="62" customFormat="1"/>
    <row r="2037" s="62" customFormat="1"/>
    <row r="2038" s="62" customFormat="1"/>
    <row r="2039" s="62" customFormat="1"/>
    <row r="2040" s="62" customFormat="1"/>
    <row r="2041" s="62" customFormat="1"/>
    <row r="2042" s="62" customFormat="1"/>
    <row r="2043" s="62" customFormat="1"/>
    <row r="2044" s="62" customFormat="1"/>
    <row r="2045" s="62" customFormat="1"/>
    <row r="2046" s="62" customFormat="1"/>
    <row r="2047" s="62" customFormat="1"/>
    <row r="2048" s="62" customFormat="1"/>
    <row r="2049" s="62" customFormat="1"/>
    <row r="2050" s="62" customFormat="1"/>
    <row r="2051" s="62" customFormat="1"/>
    <row r="2052" s="62" customFormat="1"/>
    <row r="2053" s="62" customFormat="1"/>
    <row r="2054" s="62" customFormat="1"/>
    <row r="2055" s="62" customFormat="1"/>
    <row r="2056" s="62" customFormat="1"/>
    <row r="2057" s="62" customFormat="1"/>
    <row r="2058" s="62" customFormat="1"/>
    <row r="2059" s="62" customFormat="1"/>
    <row r="2060" s="62" customFormat="1"/>
    <row r="2061" s="62" customFormat="1"/>
    <row r="2062" s="62" customFormat="1"/>
    <row r="2063" s="62" customFormat="1"/>
    <row r="2064" s="62" customFormat="1"/>
    <row r="2065" s="62" customFormat="1"/>
    <row r="2066" s="62" customFormat="1"/>
    <row r="2067" s="62" customFormat="1"/>
    <row r="2068" s="62" customFormat="1"/>
    <row r="2069" s="62" customFormat="1"/>
    <row r="2070" s="62" customFormat="1"/>
    <row r="2071" s="62" customFormat="1"/>
    <row r="2072" s="62" customFormat="1"/>
    <row r="2073" s="62" customFormat="1"/>
    <row r="2074" s="62" customFormat="1"/>
    <row r="2075" s="62" customFormat="1"/>
    <row r="2076" s="62" customFormat="1"/>
    <row r="2077" s="62" customFormat="1"/>
    <row r="2078" s="62" customFormat="1"/>
    <row r="2079" s="62" customFormat="1"/>
    <row r="2080" s="62" customFormat="1"/>
    <row r="2081" s="62" customFormat="1"/>
    <row r="2082" s="62" customFormat="1"/>
    <row r="2083" s="62" customFormat="1"/>
    <row r="2084" s="62" customFormat="1"/>
    <row r="2085" s="62" customFormat="1"/>
    <row r="2086" s="62" customFormat="1"/>
    <row r="2087" s="62" customFormat="1"/>
    <row r="2088" s="62" customFormat="1"/>
    <row r="2089" s="62" customFormat="1"/>
    <row r="2090" s="62" customFormat="1"/>
    <row r="2091" s="62" customFormat="1"/>
    <row r="2092" s="62" customFormat="1"/>
    <row r="2093" s="62" customFormat="1"/>
    <row r="2094" s="62" customFormat="1"/>
    <row r="2095" s="62" customFormat="1"/>
    <row r="2096" s="62" customFormat="1"/>
    <row r="2097" s="62" customFormat="1"/>
    <row r="2098" s="62" customFormat="1"/>
    <row r="2099" s="62" customFormat="1"/>
    <row r="2100" s="62" customFormat="1"/>
    <row r="2101" s="62" customFormat="1"/>
    <row r="2102" s="62" customFormat="1"/>
    <row r="2103" s="62" customFormat="1"/>
    <row r="2104" s="62" customFormat="1"/>
    <row r="2105" s="62" customFormat="1"/>
    <row r="2106" s="62" customFormat="1"/>
    <row r="2107" s="62" customFormat="1"/>
    <row r="2108" s="62" customFormat="1"/>
    <row r="2109" s="62" customFormat="1"/>
    <row r="2110" s="62" customFormat="1"/>
    <row r="2111" s="62" customFormat="1"/>
    <row r="2112" s="62" customFormat="1"/>
    <row r="2113" s="62" customFormat="1"/>
    <row r="2114" s="62" customFormat="1"/>
    <row r="2115" s="62" customFormat="1"/>
    <row r="2116" s="62" customFormat="1"/>
    <row r="2117" s="62" customFormat="1"/>
    <row r="2118" s="62" customFormat="1"/>
    <row r="2119" s="62" customFormat="1"/>
  </sheetData>
  <mergeCells count="32">
    <mergeCell ref="A1:A3"/>
    <mergeCell ref="B1:C2"/>
    <mergeCell ref="D1:D3"/>
    <mergeCell ref="E1:E3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  <mergeCell ref="AT1:AV1"/>
    <mergeCell ref="AW1:AY1"/>
    <mergeCell ref="AZ1:BB1"/>
    <mergeCell ref="AT31:BE31"/>
    <mergeCell ref="BF31:BQ31"/>
    <mergeCell ref="BC1:BE1"/>
    <mergeCell ref="BF1:BH1"/>
    <mergeCell ref="BI1:BK1"/>
    <mergeCell ref="BL1:BN1"/>
    <mergeCell ref="BO1:BQ1"/>
    <mergeCell ref="V32:AG32"/>
    <mergeCell ref="AH32:AS32"/>
    <mergeCell ref="J31:U31"/>
    <mergeCell ref="V31:AG31"/>
    <mergeCell ref="AH31:AS31"/>
  </mergeCells>
  <conditionalFormatting sqref="F13:R13">
    <cfRule type="cellIs" dxfId="100" priority="1" operator="lessThan">
      <formula>5</formula>
    </cfRule>
    <cfRule type="cellIs" dxfId="99" priority="2" operator="equal">
      <formula>5</formula>
    </cfRule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1"/>
  <sheetViews>
    <sheetView zoomScale="84" workbookViewId="0">
      <selection activeCell="G32" sqref="G32"/>
    </sheetView>
  </sheetViews>
  <sheetFormatPr defaultColWidth="9.140625" defaultRowHeight="12"/>
  <cols>
    <col min="1" max="1" width="38.7109375" style="63" customWidth="1"/>
    <col min="2" max="2" width="13.5703125" style="64" customWidth="1"/>
    <col min="3" max="27" width="12.7109375" style="63" customWidth="1"/>
    <col min="28" max="16384" width="9.140625" style="63"/>
  </cols>
  <sheetData>
    <row r="1" spans="1:28">
      <c r="A1" s="65"/>
      <c r="B1" s="66"/>
      <c r="C1" s="67" t="s">
        <v>65</v>
      </c>
      <c r="D1" s="67" t="s">
        <v>66</v>
      </c>
      <c r="E1" s="67" t="s">
        <v>67</v>
      </c>
      <c r="F1" s="67" t="s">
        <v>68</v>
      </c>
      <c r="G1" s="67" t="s">
        <v>69</v>
      </c>
      <c r="H1" s="67" t="s">
        <v>70</v>
      </c>
      <c r="I1" s="67" t="s">
        <v>71</v>
      </c>
      <c r="J1" s="67" t="s">
        <v>72</v>
      </c>
      <c r="K1" s="67" t="s">
        <v>73</v>
      </c>
      <c r="L1" s="67" t="s">
        <v>74</v>
      </c>
      <c r="M1" s="67" t="s">
        <v>75</v>
      </c>
      <c r="N1" s="67" t="s">
        <v>76</v>
      </c>
      <c r="O1" s="67" t="s">
        <v>77</v>
      </c>
      <c r="P1" s="67" t="s">
        <v>78</v>
      </c>
      <c r="Q1" s="67" t="s">
        <v>79</v>
      </c>
      <c r="R1" s="67" t="s">
        <v>80</v>
      </c>
      <c r="S1" s="67" t="s">
        <v>81</v>
      </c>
      <c r="T1" s="67" t="s">
        <v>82</v>
      </c>
      <c r="U1" s="67" t="s">
        <v>83</v>
      </c>
      <c r="V1" s="67" t="s">
        <v>84</v>
      </c>
      <c r="W1" s="67" t="s">
        <v>85</v>
      </c>
      <c r="X1" s="67" t="s">
        <v>86</v>
      </c>
      <c r="Y1" s="67" t="s">
        <v>87</v>
      </c>
      <c r="Z1" s="67" t="s">
        <v>88</v>
      </c>
      <c r="AA1" s="67" t="s">
        <v>89</v>
      </c>
    </row>
    <row r="2" spans="1:28">
      <c r="A2" s="68" t="s">
        <v>28</v>
      </c>
      <c r="B2" s="69"/>
      <c r="C2" s="70">
        <f>C3*C5*C6*C4</f>
        <v>0</v>
      </c>
      <c r="D2" s="70">
        <f t="shared" ref="D2:AA2" si="0">D3*D5*D6*D4</f>
        <v>0</v>
      </c>
      <c r="E2" s="70">
        <f t="shared" si="0"/>
        <v>0</v>
      </c>
      <c r="F2" s="70">
        <f t="shared" si="0"/>
        <v>0</v>
      </c>
      <c r="G2" s="70">
        <f t="shared" si="0"/>
        <v>0</v>
      </c>
      <c r="H2" s="70">
        <f t="shared" si="0"/>
        <v>0</v>
      </c>
      <c r="I2" s="70">
        <f>I3*I5*I6*I4</f>
        <v>0</v>
      </c>
      <c r="J2" s="70">
        <f t="shared" si="0"/>
        <v>0</v>
      </c>
      <c r="K2" s="70">
        <f t="shared" si="0"/>
        <v>0</v>
      </c>
      <c r="L2" s="70">
        <f t="shared" si="0"/>
        <v>0</v>
      </c>
      <c r="M2" s="70">
        <f t="shared" si="0"/>
        <v>0</v>
      </c>
      <c r="N2" s="70">
        <f t="shared" si="0"/>
        <v>0</v>
      </c>
      <c r="O2" s="70">
        <f t="shared" si="0"/>
        <v>0</v>
      </c>
      <c r="P2" s="70">
        <f t="shared" si="0"/>
        <v>0</v>
      </c>
      <c r="Q2" s="70">
        <f t="shared" si="0"/>
        <v>0</v>
      </c>
      <c r="R2" s="70">
        <f t="shared" si="0"/>
        <v>0</v>
      </c>
      <c r="S2" s="70">
        <f t="shared" si="0"/>
        <v>0</v>
      </c>
      <c r="T2" s="70">
        <f t="shared" si="0"/>
        <v>0</v>
      </c>
      <c r="U2" s="70">
        <f t="shared" si="0"/>
        <v>0</v>
      </c>
      <c r="V2" s="70">
        <f t="shared" si="0"/>
        <v>0</v>
      </c>
      <c r="W2" s="70">
        <f t="shared" si="0"/>
        <v>0</v>
      </c>
      <c r="X2" s="70">
        <f t="shared" si="0"/>
        <v>0</v>
      </c>
      <c r="Y2" s="70">
        <f t="shared" si="0"/>
        <v>0</v>
      </c>
      <c r="Z2" s="70">
        <f t="shared" si="0"/>
        <v>0</v>
      </c>
      <c r="AA2" s="70">
        <f t="shared" si="0"/>
        <v>0</v>
      </c>
    </row>
    <row r="3" spans="1:28">
      <c r="A3" s="71" t="s">
        <v>29</v>
      </c>
      <c r="B3" s="72">
        <f>SUM(список_МСА!B2:B34)</f>
        <v>1452.9099999999996</v>
      </c>
      <c r="C3" s="73">
        <f>SUM(список_МСА!$B2:$B8)</f>
        <v>351.02</v>
      </c>
      <c r="D3" s="73">
        <f>SUM(список_МСА!$B9:$B15)</f>
        <v>284.07000000000005</v>
      </c>
      <c r="E3" s="73">
        <f>SUM(список_МСА!$B16:$B23)</f>
        <v>319.20000000000005</v>
      </c>
      <c r="F3" s="73">
        <f>SUM(список_МСА!$B24:$B29)</f>
        <v>257.36</v>
      </c>
      <c r="G3" s="73">
        <f>SUM(список_МСА!$B30:$B33)</f>
        <v>198.92000000000002</v>
      </c>
      <c r="H3" s="73">
        <f>список_МСА!B34</f>
        <v>42.34</v>
      </c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28">
      <c r="A4" s="74" t="s">
        <v>90</v>
      </c>
      <c r="B4" s="75"/>
      <c r="C4" s="76">
        <v>0</v>
      </c>
      <c r="D4" s="76">
        <v>0</v>
      </c>
      <c r="E4" s="76">
        <v>0</v>
      </c>
      <c r="F4" s="76">
        <v>0</v>
      </c>
      <c r="G4" s="76">
        <v>0</v>
      </c>
      <c r="H4" s="76">
        <v>0</v>
      </c>
      <c r="I4" s="76">
        <v>1</v>
      </c>
      <c r="J4" s="76">
        <v>1</v>
      </c>
      <c r="K4" s="76">
        <v>1</v>
      </c>
      <c r="L4" s="76">
        <v>1</v>
      </c>
      <c r="M4" s="76">
        <v>1</v>
      </c>
      <c r="N4" s="76">
        <v>1</v>
      </c>
      <c r="O4" s="76">
        <v>1</v>
      </c>
      <c r="P4" s="76">
        <v>1</v>
      </c>
      <c r="Q4" s="76">
        <v>1</v>
      </c>
      <c r="R4" s="76">
        <v>1</v>
      </c>
      <c r="S4" s="76">
        <v>1</v>
      </c>
      <c r="T4" s="76">
        <v>1</v>
      </c>
      <c r="U4" s="76">
        <v>1</v>
      </c>
      <c r="V4" s="76">
        <v>1</v>
      </c>
      <c r="W4" s="76">
        <v>1</v>
      </c>
      <c r="X4" s="76">
        <v>1</v>
      </c>
      <c r="Y4" s="76">
        <v>1</v>
      </c>
      <c r="Z4" s="76">
        <v>1</v>
      </c>
      <c r="AA4" s="76">
        <v>1</v>
      </c>
    </row>
    <row r="5" spans="1:28">
      <c r="A5" s="71" t="s">
        <v>30</v>
      </c>
      <c r="B5" s="75"/>
      <c r="C5" s="73">
        <f>SUM(список_МСА!$L2:$L8)/C3/1000</f>
        <v>64.900732152014129</v>
      </c>
      <c r="D5" s="73">
        <f>SUM(список_МСА!$L9:$L15)/D3/1000</f>
        <v>66.128661949519469</v>
      </c>
      <c r="E5" s="73">
        <f>SUM(список_МСА!$L16:$L23)/E3/1000</f>
        <v>65.525416666666658</v>
      </c>
      <c r="F5" s="73">
        <f>SUM(список_МСА!$L24:$L29)/F3/1000</f>
        <v>64.491743083618275</v>
      </c>
      <c r="G5" s="73">
        <f>SUM(список_МСА!$L33:$L230)/G3/1000</f>
        <v>31.569299215765128</v>
      </c>
      <c r="H5" s="65">
        <f>список_МСА!H34/список_МСА!B34/1000</f>
        <v>63.29999999999999</v>
      </c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spans="1:28">
      <c r="A6" s="74" t="s">
        <v>90</v>
      </c>
      <c r="B6" s="75"/>
      <c r="C6" s="76">
        <v>1</v>
      </c>
      <c r="D6" s="76">
        <v>1</v>
      </c>
      <c r="E6" s="76">
        <v>1</v>
      </c>
      <c r="F6" s="76">
        <v>1</v>
      </c>
      <c r="G6" s="76">
        <v>1</v>
      </c>
      <c r="H6" s="76">
        <v>1</v>
      </c>
      <c r="I6" s="76">
        <v>1</v>
      </c>
      <c r="J6" s="76">
        <v>1</v>
      </c>
      <c r="K6" s="76">
        <v>1</v>
      </c>
      <c r="L6" s="76">
        <v>1</v>
      </c>
      <c r="M6" s="76">
        <v>1</v>
      </c>
      <c r="N6" s="76">
        <v>1</v>
      </c>
      <c r="O6" s="76">
        <v>1</v>
      </c>
      <c r="P6" s="76">
        <v>1</v>
      </c>
      <c r="Q6" s="76">
        <v>1</v>
      </c>
      <c r="R6" s="76">
        <v>1</v>
      </c>
      <c r="S6" s="76">
        <v>1</v>
      </c>
      <c r="T6" s="76">
        <v>1</v>
      </c>
      <c r="U6" s="76">
        <v>1</v>
      </c>
      <c r="V6" s="76">
        <v>1</v>
      </c>
      <c r="W6" s="76">
        <v>1</v>
      </c>
      <c r="X6" s="76">
        <v>1</v>
      </c>
      <c r="Y6" s="76">
        <v>1</v>
      </c>
      <c r="Z6" s="76">
        <v>1</v>
      </c>
      <c r="AA6" s="76">
        <v>1</v>
      </c>
    </row>
    <row r="7" spans="1:28" s="77" customFormat="1">
      <c r="A7" s="78" t="s">
        <v>31</v>
      </c>
      <c r="B7" s="79"/>
      <c r="C7" s="80" t="e">
        <f>C8*C10</f>
        <v>#REF!</v>
      </c>
      <c r="D7" s="80" t="e">
        <f t="shared" ref="D7:AA7" si="1">D8*D10</f>
        <v>#REF!</v>
      </c>
      <c r="E7" s="80" t="e">
        <f t="shared" si="1"/>
        <v>#REF!</v>
      </c>
      <c r="F7" s="80" t="e">
        <f t="shared" si="1"/>
        <v>#REF!</v>
      </c>
      <c r="G7" s="80" t="e">
        <f t="shared" si="1"/>
        <v>#REF!</v>
      </c>
      <c r="H7" s="80" t="e">
        <f t="shared" si="1"/>
        <v>#REF!</v>
      </c>
      <c r="I7" s="80" t="e">
        <f t="shared" si="1"/>
        <v>#REF!</v>
      </c>
      <c r="J7" s="80" t="e">
        <f t="shared" si="1"/>
        <v>#REF!</v>
      </c>
      <c r="K7" s="80" t="e">
        <f t="shared" si="1"/>
        <v>#REF!</v>
      </c>
      <c r="L7" s="80" t="e">
        <f t="shared" si="1"/>
        <v>#REF!</v>
      </c>
      <c r="M7" s="80" t="e">
        <f t="shared" si="1"/>
        <v>#REF!</v>
      </c>
      <c r="N7" s="80" t="e">
        <f t="shared" si="1"/>
        <v>#REF!</v>
      </c>
      <c r="O7" s="80" t="e">
        <f t="shared" si="1"/>
        <v>#REF!</v>
      </c>
      <c r="P7" s="80" t="e">
        <f t="shared" si="1"/>
        <v>#REF!</v>
      </c>
      <c r="Q7" s="80" t="e">
        <f t="shared" si="1"/>
        <v>#REF!</v>
      </c>
      <c r="R7" s="80" t="e">
        <f t="shared" si="1"/>
        <v>#REF!</v>
      </c>
      <c r="S7" s="80" t="e">
        <f t="shared" si="1"/>
        <v>#REF!</v>
      </c>
      <c r="T7" s="80" t="e">
        <f t="shared" si="1"/>
        <v>#REF!</v>
      </c>
      <c r="U7" s="80" t="e">
        <f t="shared" si="1"/>
        <v>#REF!</v>
      </c>
      <c r="V7" s="80" t="e">
        <f t="shared" si="1"/>
        <v>#REF!</v>
      </c>
      <c r="W7" s="80" t="e">
        <f t="shared" si="1"/>
        <v>#REF!</v>
      </c>
      <c r="X7" s="80" t="e">
        <f t="shared" si="1"/>
        <v>#REF!</v>
      </c>
      <c r="Y7" s="80" t="e">
        <f t="shared" si="1"/>
        <v>#REF!</v>
      </c>
      <c r="Z7" s="80" t="e">
        <f t="shared" si="1"/>
        <v>#REF!</v>
      </c>
      <c r="AA7" s="80" t="e">
        <f t="shared" si="1"/>
        <v>#REF!</v>
      </c>
    </row>
    <row r="8" spans="1:28">
      <c r="A8" s="71" t="s">
        <v>91</v>
      </c>
      <c r="B8" s="81">
        <v>18442.2</v>
      </c>
      <c r="C8" s="65" t="e">
        <f>#REF!*C9</f>
        <v>#REF!</v>
      </c>
      <c r="D8" s="82" t="e">
        <f>IF(($B$8-#REF!-SUM('1_вариант'!$C$8:C8)-SUM('1_вариант'!$C$3:C3))&gt;0,#REF!,0)*D9</f>
        <v>#REF!</v>
      </c>
      <c r="E8" s="82" t="e">
        <f>IF(($B$8-#REF!-SUM('1_вариант'!$C$8:D8)-SUM('1_вариант'!$C$3:D3))&gt;0,#REF!,0)*E9</f>
        <v>#REF!</v>
      </c>
      <c r="F8" s="82" t="e">
        <f>IF(($B$8-#REF!-SUM('1_вариант'!$C$8:E8)-SUM('1_вариант'!$C$3:E3))&gt;0,#REF!,0)*F9</f>
        <v>#REF!</v>
      </c>
      <c r="G8" s="82" t="e">
        <f>IF(($B$8-#REF!-SUM('1_вариант'!$C$8:F8)-SUM('1_вариант'!$C$3:F3))&gt;0,#REF!,0)*G9</f>
        <v>#REF!</v>
      </c>
      <c r="H8" s="82" t="e">
        <f>IF(($B$8-#REF!-SUM('1_вариант'!$C$8:G8)-SUM('1_вариант'!$C$3:G3))&gt;0,#REF!,0)*H9</f>
        <v>#REF!</v>
      </c>
      <c r="I8" s="82" t="e">
        <f>IF(($B$8-#REF!-SUM('1_вариант'!$C$8:H8)-SUM('1_вариант'!$C$3:H3))&gt;0,#REF!,0)*I9</f>
        <v>#REF!</v>
      </c>
      <c r="J8" s="82" t="e">
        <f>IF(($B$8-#REF!-SUM('1_вариант'!$C$8:I8)-SUM('1_вариант'!$C$3:I3))&gt;0,#REF!,0)*J9</f>
        <v>#REF!</v>
      </c>
      <c r="K8" s="82" t="e">
        <f>IF(($B$8-#REF!-SUM('1_вариант'!$C$8:J8)-SUM('1_вариант'!$C$3:J3))&gt;0,#REF!,0)*K9</f>
        <v>#REF!</v>
      </c>
      <c r="L8" s="82" t="e">
        <f>IF(($B$8-#REF!-SUM('1_вариант'!$C$8:K8)-SUM('1_вариант'!$C$3:K3))&gt;0,#REF!,0)*L9</f>
        <v>#REF!</v>
      </c>
      <c r="M8" s="82" t="e">
        <f>IF(($B$8-#REF!-SUM('1_вариант'!$C$8:L8)-SUM('1_вариант'!$C$3:L3))&gt;0,#REF!,0)*M9</f>
        <v>#REF!</v>
      </c>
      <c r="N8" s="82" t="e">
        <f>IF(($B$8-#REF!-SUM('1_вариант'!$C$8:M8)-SUM('1_вариант'!$C$3:M3))&gt;0,#REF!,0)*N9</f>
        <v>#REF!</v>
      </c>
      <c r="O8" s="82" t="e">
        <f>IF(($B$8-#REF!-SUM('1_вариант'!$C$8:N8)-SUM('1_вариант'!$C$3:N3))&gt;0,#REF!,0)*O9</f>
        <v>#REF!</v>
      </c>
      <c r="P8" s="82" t="e">
        <f>IF(($B$8-#REF!-SUM('1_вариант'!$C$8:O8)-SUM('1_вариант'!$C$3:O3))&gt;0,#REF!,0)*P9</f>
        <v>#REF!</v>
      </c>
      <c r="Q8" s="82" t="e">
        <f>IF(($B$8-#REF!-SUM('1_вариант'!$C$8:P8)-SUM('1_вариант'!$C$3:P3))&gt;0,#REF!,0)*Q9</f>
        <v>#REF!</v>
      </c>
      <c r="R8" s="83" t="e">
        <f>($B$8-#REF!-SUM($C$8:$Q$8,$C$3:$R$3))*R9</f>
        <v>#REF!</v>
      </c>
      <c r="S8" s="73" t="e">
        <f>($B$8-#REF!-SUM('1_вариант'!$C$8:R8)-SUM($C$3:R3))*S9</f>
        <v>#REF!</v>
      </c>
      <c r="T8" s="73" t="e">
        <f>($B$8-#REF!-SUM('1_вариант'!$C$8:S8)-SUM($C$3:S3))*T9</f>
        <v>#REF!</v>
      </c>
      <c r="U8" s="73" t="e">
        <f>($B$8-#REF!-SUM('1_вариант'!$C$8:T8)-SUM($C$3:T3))*U9</f>
        <v>#REF!</v>
      </c>
      <c r="V8" s="73" t="e">
        <f>($B$8-#REF!-SUM('1_вариант'!$C$8:U8)-SUM($C$3:U3))*V9</f>
        <v>#REF!</v>
      </c>
      <c r="W8" s="73" t="e">
        <f>($B$8-#REF!-SUM('1_вариант'!$C$8:V8)-SUM($C$3:V3))*W9</f>
        <v>#REF!</v>
      </c>
      <c r="X8" s="73" t="e">
        <f>($B$8-#REF!-SUM('1_вариант'!$C$8:W8)-SUM($C$3:W3))*X9</f>
        <v>#REF!</v>
      </c>
      <c r="Y8" s="73" t="e">
        <f>($B$8-#REF!-SUM('1_вариант'!$C$8:X8)-SUM($C$3:X3))*Y9</f>
        <v>#REF!</v>
      </c>
      <c r="Z8" s="73" t="e">
        <f>($B$8-#REF!-SUM('1_вариант'!$C$8:Y8)-SUM($C$3:Y3))*Z9</f>
        <v>#REF!</v>
      </c>
      <c r="AA8" s="73" t="e">
        <f>($B$8-#REF!-SUM('1_вариант'!$C$8:Z8)-SUM($C$3:Z3))*AA9</f>
        <v>#REF!</v>
      </c>
    </row>
    <row r="9" spans="1:28" s="84" customFormat="1" ht="11.25" customHeight="1">
      <c r="A9" s="74" t="s">
        <v>90</v>
      </c>
      <c r="B9" s="75"/>
      <c r="C9" s="76">
        <v>1</v>
      </c>
      <c r="D9" s="76">
        <v>1</v>
      </c>
      <c r="E9" s="76">
        <v>1</v>
      </c>
      <c r="F9" s="76">
        <v>1</v>
      </c>
      <c r="G9" s="76">
        <v>1</v>
      </c>
      <c r="H9" s="76">
        <v>1</v>
      </c>
      <c r="I9" s="76">
        <v>1</v>
      </c>
      <c r="J9" s="76">
        <v>1</v>
      </c>
      <c r="K9" s="76">
        <v>1</v>
      </c>
      <c r="L9" s="76">
        <v>1</v>
      </c>
      <c r="M9" s="76">
        <v>1</v>
      </c>
      <c r="N9" s="76">
        <v>1</v>
      </c>
      <c r="O9" s="76">
        <v>1</v>
      </c>
      <c r="P9" s="76">
        <v>1</v>
      </c>
      <c r="Q9" s="76">
        <v>1</v>
      </c>
      <c r="R9" s="76">
        <v>1</v>
      </c>
      <c r="S9" s="76">
        <v>1</v>
      </c>
      <c r="T9" s="76">
        <v>1</v>
      </c>
      <c r="U9" s="76">
        <v>1</v>
      </c>
      <c r="V9" s="76">
        <v>1</v>
      </c>
      <c r="W9" s="76">
        <v>1</v>
      </c>
      <c r="X9" s="76">
        <v>1</v>
      </c>
      <c r="Y9" s="76">
        <v>1</v>
      </c>
      <c r="Z9" s="76">
        <v>1</v>
      </c>
      <c r="AA9" s="76">
        <v>1</v>
      </c>
    </row>
    <row r="10" spans="1:28">
      <c r="A10" s="71" t="s">
        <v>92</v>
      </c>
      <c r="B10" s="75"/>
      <c r="C10" s="65" t="e">
        <f>#REF!*'1_вариант'!C11</f>
        <v>#REF!</v>
      </c>
      <c r="D10" s="65" t="e">
        <f>#REF!*'1_вариант'!D11</f>
        <v>#REF!</v>
      </c>
      <c r="E10" s="65" t="e">
        <f>#REF!*'1_вариант'!E11</f>
        <v>#REF!</v>
      </c>
      <c r="F10" s="65" t="e">
        <f>#REF!*'1_вариант'!F11</f>
        <v>#REF!</v>
      </c>
      <c r="G10" s="65" t="e">
        <f>#REF!*'1_вариант'!G11</f>
        <v>#REF!</v>
      </c>
      <c r="H10" s="65" t="e">
        <f>#REF!*'1_вариант'!H11</f>
        <v>#REF!</v>
      </c>
      <c r="I10" s="65" t="e">
        <f>#REF!*'1_вариант'!I11</f>
        <v>#REF!</v>
      </c>
      <c r="J10" s="65" t="e">
        <f>#REF!*'1_вариант'!J11</f>
        <v>#REF!</v>
      </c>
      <c r="K10" s="65" t="e">
        <f>#REF!*'1_вариант'!K11</f>
        <v>#REF!</v>
      </c>
      <c r="L10" s="65" t="e">
        <f>#REF!*'1_вариант'!L11</f>
        <v>#REF!</v>
      </c>
      <c r="M10" s="65" t="e">
        <f>#REF!*'1_вариант'!M11</f>
        <v>#REF!</v>
      </c>
      <c r="N10" s="65" t="e">
        <f>#REF!*'1_вариант'!N11</f>
        <v>#REF!</v>
      </c>
      <c r="O10" s="65" t="e">
        <f>#REF!*'1_вариант'!O11</f>
        <v>#REF!</v>
      </c>
      <c r="P10" s="65" t="e">
        <f>#REF!*'1_вариант'!P11</f>
        <v>#REF!</v>
      </c>
      <c r="Q10" s="65" t="e">
        <f>#REF!*'1_вариант'!Q11</f>
        <v>#REF!</v>
      </c>
      <c r="R10" s="65" t="e">
        <f>#REF!*'1_вариант'!R11</f>
        <v>#REF!</v>
      </c>
      <c r="S10" s="65" t="e">
        <f>#REF!*'1_вариант'!S11</f>
        <v>#REF!</v>
      </c>
      <c r="T10" s="65" t="e">
        <f>#REF!*'1_вариант'!T11</f>
        <v>#REF!</v>
      </c>
      <c r="U10" s="65" t="e">
        <f>#REF!*'1_вариант'!U11</f>
        <v>#REF!</v>
      </c>
      <c r="V10" s="65" t="e">
        <f>#REF!*'1_вариант'!V11</f>
        <v>#REF!</v>
      </c>
      <c r="W10" s="65" t="e">
        <f>#REF!*'1_вариант'!W11</f>
        <v>#REF!</v>
      </c>
      <c r="X10" s="65" t="e">
        <f>#REF!*'1_вариант'!X11</f>
        <v>#REF!</v>
      </c>
      <c r="Y10" s="65" t="e">
        <f>#REF!*'1_вариант'!Y11</f>
        <v>#REF!</v>
      </c>
      <c r="Z10" s="65" t="e">
        <f>#REF!*'1_вариант'!Z11</f>
        <v>#REF!</v>
      </c>
      <c r="AA10" s="65" t="e">
        <f>#REF!*'1_вариант'!AA11</f>
        <v>#REF!</v>
      </c>
    </row>
    <row r="11" spans="1:28" s="84" customFormat="1" ht="11.25" customHeight="1">
      <c r="A11" s="74" t="s">
        <v>90</v>
      </c>
      <c r="B11" s="75"/>
      <c r="C11" s="76">
        <v>1</v>
      </c>
      <c r="D11" s="76">
        <v>1</v>
      </c>
      <c r="E11" s="76">
        <v>1</v>
      </c>
      <c r="F11" s="76">
        <v>1</v>
      </c>
      <c r="G11" s="76">
        <v>1</v>
      </c>
      <c r="H11" s="76">
        <v>1</v>
      </c>
      <c r="I11" s="76">
        <v>1</v>
      </c>
      <c r="J11" s="76">
        <v>1</v>
      </c>
      <c r="K11" s="76">
        <v>1</v>
      </c>
      <c r="L11" s="76">
        <v>1</v>
      </c>
      <c r="M11" s="76">
        <v>1</v>
      </c>
      <c r="N11" s="76">
        <v>1</v>
      </c>
      <c r="O11" s="76">
        <v>1</v>
      </c>
      <c r="P11" s="76">
        <v>1</v>
      </c>
      <c r="Q11" s="76">
        <v>1</v>
      </c>
      <c r="R11" s="76">
        <v>1</v>
      </c>
      <c r="S11" s="76">
        <v>1</v>
      </c>
      <c r="T11" s="76">
        <v>1</v>
      </c>
      <c r="U11" s="76">
        <v>1</v>
      </c>
      <c r="V11" s="76">
        <v>1</v>
      </c>
      <c r="W11" s="76">
        <v>1</v>
      </c>
      <c r="X11" s="76">
        <v>1</v>
      </c>
      <c r="Y11" s="76">
        <v>1</v>
      </c>
      <c r="Z11" s="76">
        <v>1</v>
      </c>
      <c r="AA11" s="76">
        <v>1</v>
      </c>
      <c r="AB11" s="63"/>
    </row>
    <row r="12" spans="1:28">
      <c r="A12" s="85" t="s">
        <v>32</v>
      </c>
      <c r="B12" s="86"/>
      <c r="C12" s="87" t="e">
        <f>'стратегия 2 под 100 тыс (отриц)'!$H$10+C7</f>
        <v>#REF!</v>
      </c>
      <c r="D12" s="87" t="e">
        <f t="shared" ref="D12:O12" si="2">C12+D7</f>
        <v>#REF!</v>
      </c>
      <c r="E12" s="87" t="e">
        <f t="shared" si="2"/>
        <v>#REF!</v>
      </c>
      <c r="F12" s="87" t="e">
        <f t="shared" si="2"/>
        <v>#REF!</v>
      </c>
      <c r="G12" s="87" t="e">
        <f t="shared" si="2"/>
        <v>#REF!</v>
      </c>
      <c r="H12" s="87" t="e">
        <f t="shared" si="2"/>
        <v>#REF!</v>
      </c>
      <c r="I12" s="87" t="e">
        <f t="shared" si="2"/>
        <v>#REF!</v>
      </c>
      <c r="J12" s="87" t="e">
        <f t="shared" si="2"/>
        <v>#REF!</v>
      </c>
      <c r="K12" s="87" t="e">
        <f t="shared" si="2"/>
        <v>#REF!</v>
      </c>
      <c r="L12" s="87" t="e">
        <f t="shared" si="2"/>
        <v>#REF!</v>
      </c>
      <c r="M12" s="87" t="e">
        <f t="shared" si="2"/>
        <v>#REF!</v>
      </c>
      <c r="N12" s="87" t="e">
        <f t="shared" si="2"/>
        <v>#REF!</v>
      </c>
      <c r="O12" s="87" t="e">
        <f t="shared" si="2"/>
        <v>#REF!</v>
      </c>
      <c r="P12" s="87" t="e">
        <f t="shared" ref="P12:AA12" si="3">O12+P7</f>
        <v>#REF!</v>
      </c>
      <c r="Q12" s="87" t="e">
        <f t="shared" si="3"/>
        <v>#REF!</v>
      </c>
      <c r="R12" s="87" t="e">
        <f t="shared" si="3"/>
        <v>#REF!</v>
      </c>
      <c r="S12" s="87" t="e">
        <f t="shared" si="3"/>
        <v>#REF!</v>
      </c>
      <c r="T12" s="87" t="e">
        <f t="shared" si="3"/>
        <v>#REF!</v>
      </c>
      <c r="U12" s="87" t="e">
        <f t="shared" si="3"/>
        <v>#REF!</v>
      </c>
      <c r="V12" s="87" t="e">
        <f t="shared" si="3"/>
        <v>#REF!</v>
      </c>
      <c r="W12" s="87" t="e">
        <f t="shared" si="3"/>
        <v>#REF!</v>
      </c>
      <c r="X12" s="87" t="e">
        <f t="shared" si="3"/>
        <v>#REF!</v>
      </c>
      <c r="Y12" s="87" t="e">
        <f t="shared" si="3"/>
        <v>#REF!</v>
      </c>
      <c r="Z12" s="87" t="e">
        <f t="shared" si="3"/>
        <v>#REF!</v>
      </c>
      <c r="AA12" s="87" t="e">
        <f t="shared" si="3"/>
        <v>#REF!</v>
      </c>
    </row>
    <row r="13" spans="1:28" ht="15" customHeight="1">
      <c r="A13" s="88" t="s">
        <v>33</v>
      </c>
      <c r="B13" s="89"/>
      <c r="C13" s="73">
        <v>32000</v>
      </c>
      <c r="D13" s="73">
        <v>32000</v>
      </c>
      <c r="E13" s="73">
        <v>32000</v>
      </c>
      <c r="F13" s="73">
        <v>45000</v>
      </c>
      <c r="G13" s="73">
        <v>50000</v>
      </c>
      <c r="H13" s="73">
        <v>50000</v>
      </c>
      <c r="I13" s="73">
        <v>50000</v>
      </c>
      <c r="J13" s="73">
        <v>50000</v>
      </c>
      <c r="K13" s="73">
        <v>50000</v>
      </c>
      <c r="L13" s="73">
        <v>60000</v>
      </c>
      <c r="M13" s="73">
        <f>IF(756476.54-SUM('стратегия 2 под 100 тыс (отриц)'!$H$12,$C$13:L13)&gt;0,(756476.54-SUM('стратегия 2 под 100 тыс (отриц)'!$H$12,$C$13:L13)),0)</f>
        <v>12270.311033591628</v>
      </c>
      <c r="N13" s="73">
        <f>IF(756476.54-SUM('стратегия 2 под 100 тыс (отриц)'!$H$12,$C$13:M13)&gt;0,(756476.54-SUM('стратегия 2 под 100 тыс (отриц)'!$H$12,$C$13:M13)),0)/2</f>
        <v>0</v>
      </c>
      <c r="O13" s="73">
        <f>IF(756476.54-SUM('стратегия 2 под 100 тыс (отриц)'!$H$12,$C$13:N13)&gt;0,(756476.54-SUM('стратегия 2 под 100 тыс (отриц)'!$H$12,$C$13:N13)),0)/2</f>
        <v>0</v>
      </c>
      <c r="P13" s="73">
        <f>IF(756476.54-SUM('стратегия 2 под 100 тыс (отриц)'!$H$12,$C$13:O13)&gt;0,(756476.54-SUM('стратегия 2 под 100 тыс (отриц)'!$H$12,$C$13:O13)),0)/2</f>
        <v>0</v>
      </c>
      <c r="Q13" s="73">
        <f>IF(756476.54-SUM('стратегия 2 под 100 тыс (отриц)'!$H$12,$C$13:P13)&gt;0,(756476.54-SUM('стратегия 2 под 100 тыс (отриц)'!$H$12,$C$13:P13)),0)/2</f>
        <v>0</v>
      </c>
      <c r="R13" s="73">
        <f>IF(756476.54-SUM('стратегия 2 под 100 тыс (отриц)'!$H$12,$C$13:Q13)&gt;0,(756476.54-SUM('стратегия 2 под 100 тыс (отриц)'!$H$12,$C$13:Q13)),0)/2</f>
        <v>0</v>
      </c>
      <c r="S13" s="73">
        <f>IF(756476.54-SUM('стратегия 2 под 100 тыс (отриц)'!$H$12,$C$13:R13)&gt;0,(756476.54-SUM('стратегия 2 под 100 тыс (отриц)'!$H$12,$C$13:R13)),0)/2</f>
        <v>0</v>
      </c>
      <c r="T13" s="73">
        <f>IF(756476.54-SUM('стратегия 2 под 100 тыс (отриц)'!$H$12,$C$13:S13)&gt;0,(756476.54-SUM('стратегия 2 под 100 тыс (отриц)'!$H$12,$C$13:S13)),0)/2</f>
        <v>0</v>
      </c>
      <c r="U13" s="73">
        <f>IF(756476.54-SUM('стратегия 2 под 100 тыс (отриц)'!$H$12,$C$13:T13)&gt;0,(756476.54-SUM('стратегия 2 под 100 тыс (отриц)'!$H$12,$C$13:T13)),0)/2</f>
        <v>0</v>
      </c>
      <c r="V13" s="73">
        <f>IF(756476.54-SUM('стратегия 2 под 100 тыс (отриц)'!$H$12,$C$13:U13)&gt;0,(756476.54-SUM('стратегия 2 под 100 тыс (отриц)'!$H$12,$C$13:U13)),0)/2</f>
        <v>0</v>
      </c>
      <c r="W13" s="73">
        <f>IF(756476.54-SUM('стратегия 2 под 100 тыс (отриц)'!$H$12,$C$13:V13)&gt;0,(756476.54-SUM('стратегия 2 под 100 тыс (отриц)'!$H$12,$C$13:V13)),0)/2</f>
        <v>0</v>
      </c>
      <c r="X13" s="65"/>
      <c r="Y13" s="65"/>
      <c r="Z13" s="65"/>
      <c r="AA13" s="65"/>
    </row>
    <row r="14" spans="1:28" ht="15" customHeight="1">
      <c r="A14" s="88" t="s">
        <v>34</v>
      </c>
      <c r="B14" s="89"/>
      <c r="C14" s="90">
        <f>'стратегия 2 под 100 тыс (отриц)'!H12+C13</f>
        <v>325206.22896640847</v>
      </c>
      <c r="D14" s="73">
        <f>C14+D13</f>
        <v>357206.22896640847</v>
      </c>
      <c r="E14" s="73">
        <f t="shared" ref="E14:L14" si="4">D14+E13</f>
        <v>389206.22896640847</v>
      </c>
      <c r="F14" s="73">
        <f t="shared" si="4"/>
        <v>434206.22896640847</v>
      </c>
      <c r="G14" s="73">
        <f t="shared" si="4"/>
        <v>484206.22896640847</v>
      </c>
      <c r="H14" s="73">
        <f t="shared" si="4"/>
        <v>534206.22896640841</v>
      </c>
      <c r="I14" s="73">
        <f t="shared" si="4"/>
        <v>584206.22896640841</v>
      </c>
      <c r="J14" s="73">
        <f t="shared" si="4"/>
        <v>634206.22896640841</v>
      </c>
      <c r="K14" s="73">
        <f t="shared" si="4"/>
        <v>684206.22896640841</v>
      </c>
      <c r="L14" s="73">
        <f t="shared" si="4"/>
        <v>744206.22896640841</v>
      </c>
      <c r="M14" s="91">
        <f>L14+M13</f>
        <v>756476.54</v>
      </c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8" ht="15" customHeight="1">
      <c r="A15" s="92" t="s">
        <v>35</v>
      </c>
      <c r="B15" s="93"/>
      <c r="C15" s="94" t="e">
        <f>IF(C$12/C$14&gt;1.5,#REF!,IF(C$12/C$14&gt;1.4,#REF!,IF(C$12/C$14&gt;1.3,#REF!,IF(C$12/C$14&gt;1.2,#REF!,IF(C$12/C$14&gt;1.1,#REF!,IF(C$12/C$14&gt;1,#REF!,IF(C$12/C$14&lt;1,17.73)))))))</f>
        <v>#REF!</v>
      </c>
      <c r="D15" s="94" t="e">
        <f>IF(D$12/D$14&gt;1.5,#REF!,IF(D$12/D$14&gt;1.4,#REF!,IF(D$12/D$14&gt;1.3,#REF!,IF(D$12/D$14&gt;1.2,#REF!,IF(D$12/D$14&gt;1.1,#REF!,IF(D$12/D$14&gt;1,#REF!,IF(D$12/D$14&lt;1,17.73)))))))</f>
        <v>#REF!</v>
      </c>
      <c r="E15" s="94" t="e">
        <f>IF(E$12/E$14&gt;1.5,#REF!,IF(E$12/E$14&gt;1.4,#REF!,IF(E$12/E$14&gt;1.3,#REF!,IF(E$12/E$14&gt;1.2,#REF!,IF(E$12/E$14&gt;1.1,#REF!,IF(E$12/E$14&gt;1,#REF!,IF(E$12/E$14&lt;1,17.73)))))))</f>
        <v>#REF!</v>
      </c>
      <c r="F15" s="94" t="e">
        <f>IF(F$12/F$14&gt;1.5,#REF!,IF(F$12/F$14&gt;1.4,#REF!,IF(F$12/F$14&gt;1.3,#REF!,IF(F$12/F$14&gt;1.2,#REF!,IF(F$12/F$14&gt;1.1,#REF!,IF(F$12/F$14&gt;1,#REF!,IF(F$12/F$14&lt;1,17.73)))))))</f>
        <v>#REF!</v>
      </c>
      <c r="G15" s="94" t="e">
        <f>IF(G$12/G$14&gt;1.5,#REF!,IF(G$12/G$14&gt;1.4,#REF!,IF(G$12/G$14&gt;1.3,#REF!,IF(G$12/G$14&gt;1.2,#REF!,IF(G$12/G$14&gt;1.1,#REF!,IF(G$12/G$14&gt;1,#REF!,IF(G$12/G$14&lt;1,17.73)))))))</f>
        <v>#REF!</v>
      </c>
      <c r="H15" s="94" t="e">
        <f>IF(H$12/H$14&gt;1.5,#REF!,IF(H$12/H$14&gt;1.4,#REF!,IF(H$12/H$14&gt;1.3,#REF!,IF(H$12/H$14&gt;1.2,#REF!,IF(H$12/H$14&gt;1.1,#REF!,IF(H$12/H$14&gt;1,#REF!,IF(H$12/H$14&lt;1,17.73)))))))</f>
        <v>#REF!</v>
      </c>
      <c r="I15" s="94" t="e">
        <f>IF(I$12/I$14&gt;1.5,#REF!,IF(I$12/I$14&gt;1.4,#REF!,IF(I$12/I$14&gt;1.3,#REF!,IF(I$12/I$14&gt;1.2,#REF!,IF(I$12/I$14&gt;1.1,#REF!,IF(I$12/I$14&gt;1,#REF!,IF(I$12/I$14&lt;1,17.73)))))))</f>
        <v>#REF!</v>
      </c>
      <c r="J15" s="94" t="e">
        <f>IF(J$12/J$14&gt;1.5,#REF!,IF(J$12/J$14&gt;1.4,#REF!,IF(J$12/J$14&gt;1.3,#REF!,IF(J$12/J$14&gt;1.2,#REF!,IF(J$12/J$14&gt;1.1,#REF!,IF(J$12/J$14&gt;1,#REF!,IF(J$12/J$14&lt;1,17.73)))))))</f>
        <v>#REF!</v>
      </c>
      <c r="K15" s="94" t="e">
        <f>IF(K$12/K$14&gt;1.5,#REF!,IF(K$12/K$14&gt;1.4,#REF!,IF(K$12/K$14&gt;1.3,#REF!,IF(K$12/K$14&gt;1.2,#REF!,IF(K$12/K$14&gt;1.1,#REF!,IF(K$12/K$14&gt;1,#REF!,IF(K$12/K$14&lt;1,17.73)))))))</f>
        <v>#REF!</v>
      </c>
      <c r="L15" s="94" t="e">
        <f>IF(L$12/L$14&gt;1.5,#REF!,IF(L$12/L$14&gt;1.4,#REF!,IF(L$12/L$14&gt;1.3,#REF!,IF(L$12/L$14&gt;1.2,#REF!,IF(L$12/L$14&gt;1.1,#REF!,IF(L$12/L$14&gt;1,#REF!,IF(L$12/L$14&lt;1,17.73)))))))</f>
        <v>#REF!</v>
      </c>
      <c r="M15" s="94" t="e">
        <f>IF(M$12/M$14&gt;1.5,#REF!,IF(M$12/M$14&gt;1.4,#REF!,IF(M$12/M$14&gt;1.3,#REF!,IF(M$12/M$14&gt;1.2,#REF!,IF(M$12/M$14&gt;1.1,#REF!,IF(M$12/M$14&gt;1,#REF!,IF(M$12/M$14&lt;1,17.73)))))))</f>
        <v>#REF!</v>
      </c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</row>
    <row r="16" spans="1:28" ht="15" customHeight="1">
      <c r="A16" s="96" t="s">
        <v>93</v>
      </c>
      <c r="B16" s="97" t="e">
        <f>(AA12-#REF!/1000-#REF!/1000)/B8</f>
        <v>#REF!</v>
      </c>
      <c r="C16" s="98" t="e">
        <f>($AA$12-#REF!/1000-#REF!/1000)/'1_вариант'!$B$8</f>
        <v>#REF!</v>
      </c>
      <c r="D16" s="98" t="e">
        <f>($AA$12-#REF!/1000-#REF!/1000)/'1_вариант'!$B$8</f>
        <v>#REF!</v>
      </c>
      <c r="E16" s="98" t="e">
        <f>($AA$12-#REF!/1000-#REF!/1000)/'1_вариант'!$B$8</f>
        <v>#REF!</v>
      </c>
      <c r="F16" s="98" t="e">
        <f>($AA$12-#REF!/1000-#REF!/1000)/'1_вариант'!$B$8</f>
        <v>#REF!</v>
      </c>
      <c r="G16" s="98" t="e">
        <f>($AA$12-#REF!/1000-#REF!/1000)/'1_вариант'!$B$8</f>
        <v>#REF!</v>
      </c>
      <c r="H16" s="98" t="e">
        <f>($AA$12-#REF!/1000-#REF!/1000)/'1_вариант'!$B$8</f>
        <v>#REF!</v>
      </c>
      <c r="I16" s="98" t="e">
        <f>($AA$12-#REF!/1000-#REF!/1000)/'1_вариант'!$B$8</f>
        <v>#REF!</v>
      </c>
      <c r="J16" s="98" t="e">
        <f>($AA$12-#REF!/1000-#REF!/1000)/'1_вариант'!$B$8</f>
        <v>#REF!</v>
      </c>
      <c r="K16" s="98" t="e">
        <f>($AA$12-#REF!/1000-#REF!/1000)/'1_вариант'!$B$8</f>
        <v>#REF!</v>
      </c>
      <c r="L16" s="98" t="e">
        <f>($AA$12-#REF!/1000-#REF!/1000)/'1_вариант'!$B$8</f>
        <v>#REF!</v>
      </c>
      <c r="M16" s="98" t="e">
        <f>($AA$12-#REF!/1000-#REF!/1000)/'1_вариант'!$B$8</f>
        <v>#REF!</v>
      </c>
      <c r="N16" s="98" t="e">
        <f>($AA$12-#REF!/1000-#REF!/1000)/'1_вариант'!$B$8</f>
        <v>#REF!</v>
      </c>
      <c r="O16" s="98" t="e">
        <f>($AA$12-#REF!/1000-#REF!/1000)/'1_вариант'!$B$8</f>
        <v>#REF!</v>
      </c>
      <c r="P16" s="98" t="e">
        <f>($AA$12-#REF!/1000-#REF!/1000)/'1_вариант'!$B$8</f>
        <v>#REF!</v>
      </c>
      <c r="Q16" s="98" t="e">
        <f>($AA$12-#REF!/1000-#REF!/1000)/'1_вариант'!$B$8</f>
        <v>#REF!</v>
      </c>
      <c r="R16" s="98" t="e">
        <f>($AA$12-#REF!/1000-#REF!/1000)/'1_вариант'!$B$8</f>
        <v>#REF!</v>
      </c>
      <c r="S16" s="98" t="e">
        <f>($AA$12-#REF!/1000-#REF!/1000)/'1_вариант'!$B$8</f>
        <v>#REF!</v>
      </c>
      <c r="T16" s="98" t="e">
        <f>($AA$12-#REF!/1000-#REF!/1000)/'1_вариант'!$B$8</f>
        <v>#REF!</v>
      </c>
      <c r="U16" s="98" t="e">
        <f>($AA$12-#REF!/1000-#REF!/1000)/'1_вариант'!$B$8</f>
        <v>#REF!</v>
      </c>
      <c r="V16" s="98" t="e">
        <f>($AA$12-#REF!/1000-#REF!/1000)/'1_вариант'!$B$8</f>
        <v>#REF!</v>
      </c>
      <c r="W16" s="98" t="e">
        <f>($AA$12-#REF!/1000-#REF!/1000)/'1_вариант'!$B$8</f>
        <v>#REF!</v>
      </c>
      <c r="X16" s="98" t="e">
        <f>($AA$12-#REF!/1000-#REF!/1000)/'1_вариант'!$B$8</f>
        <v>#REF!</v>
      </c>
      <c r="Y16" s="98" t="e">
        <f>($AA$12-#REF!/1000-#REF!/1000)/'1_вариант'!$B$8</f>
        <v>#REF!</v>
      </c>
      <c r="Z16" s="98" t="e">
        <f>($AA$12-#REF!/1000-#REF!/1000)/'1_вариант'!$B$8</f>
        <v>#REF!</v>
      </c>
      <c r="AA16" s="98" t="e">
        <f>($AA$12-#REF!/1000-#REF!/1000)/'1_вариант'!$B$8</f>
        <v>#REF!</v>
      </c>
    </row>
    <row r="17" spans="1:27" ht="20.100000000000001" customHeight="1">
      <c r="A17" s="65" t="s">
        <v>43</v>
      </c>
      <c r="B17" s="66"/>
      <c r="C17" s="73"/>
      <c r="D17" s="73">
        <v>19000</v>
      </c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</row>
    <row r="18" spans="1:27" ht="20.100000000000001" customHeight="1">
      <c r="A18" s="65" t="s">
        <v>48</v>
      </c>
      <c r="B18" s="66"/>
      <c r="C18" s="73"/>
      <c r="D18" s="73">
        <v>17500</v>
      </c>
      <c r="E18" s="73"/>
      <c r="F18" s="73">
        <v>22000</v>
      </c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</row>
    <row r="19" spans="1:27" ht="20.100000000000001" customHeight="1">
      <c r="A19" s="65" t="s">
        <v>51</v>
      </c>
      <c r="B19" s="66"/>
      <c r="C19" s="73">
        <f>4442.9748+370.2479</f>
        <v>4813.2227000000003</v>
      </c>
      <c r="D19" s="73">
        <v>3000</v>
      </c>
      <c r="E19" s="73">
        <f>4442974.8/1000</f>
        <v>4442.9748</v>
      </c>
      <c r="F19" s="73"/>
      <c r="G19" s="73">
        <v>20000</v>
      </c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</row>
    <row r="20" spans="1:27" ht="20.100000000000001" customHeight="1">
      <c r="A20" s="65" t="s">
        <v>53</v>
      </c>
      <c r="B20" s="66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</row>
    <row r="21" spans="1:27" ht="21.75" customHeight="1">
      <c r="A21" s="99" t="s">
        <v>94</v>
      </c>
      <c r="B21" s="100"/>
      <c r="C21" s="101">
        <f>SUM(C17:C20)</f>
        <v>4813.2227000000003</v>
      </c>
      <c r="D21" s="101">
        <f t="shared" ref="D21:AA21" si="5">SUM(D17:D20)</f>
        <v>39500</v>
      </c>
      <c r="E21" s="101">
        <f t="shared" si="5"/>
        <v>4442.9748</v>
      </c>
      <c r="F21" s="101">
        <f t="shared" si="5"/>
        <v>22000</v>
      </c>
      <c r="G21" s="101">
        <f t="shared" si="5"/>
        <v>20000</v>
      </c>
      <c r="H21" s="101">
        <f t="shared" si="5"/>
        <v>0</v>
      </c>
      <c r="I21" s="101">
        <f t="shared" si="5"/>
        <v>0</v>
      </c>
      <c r="J21" s="101">
        <f t="shared" si="5"/>
        <v>0</v>
      </c>
      <c r="K21" s="101">
        <f t="shared" si="5"/>
        <v>0</v>
      </c>
      <c r="L21" s="101">
        <f t="shared" si="5"/>
        <v>0</v>
      </c>
      <c r="M21" s="101">
        <f t="shared" si="5"/>
        <v>0</v>
      </c>
      <c r="N21" s="101">
        <f t="shared" si="5"/>
        <v>0</v>
      </c>
      <c r="O21" s="101">
        <f t="shared" si="5"/>
        <v>0</v>
      </c>
      <c r="P21" s="101">
        <f t="shared" si="5"/>
        <v>0</v>
      </c>
      <c r="Q21" s="101">
        <f t="shared" si="5"/>
        <v>0</v>
      </c>
      <c r="R21" s="101">
        <f t="shared" si="5"/>
        <v>0</v>
      </c>
      <c r="S21" s="101">
        <f t="shared" si="5"/>
        <v>0</v>
      </c>
      <c r="T21" s="101">
        <f t="shared" si="5"/>
        <v>0</v>
      </c>
      <c r="U21" s="101">
        <f t="shared" si="5"/>
        <v>0</v>
      </c>
      <c r="V21" s="101">
        <f t="shared" si="5"/>
        <v>0</v>
      </c>
      <c r="W21" s="101">
        <f t="shared" si="5"/>
        <v>0</v>
      </c>
      <c r="X21" s="101">
        <f t="shared" si="5"/>
        <v>0</v>
      </c>
      <c r="Y21" s="101">
        <f t="shared" si="5"/>
        <v>0</v>
      </c>
      <c r="Z21" s="101">
        <f t="shared" si="5"/>
        <v>0</v>
      </c>
      <c r="AA21" s="101">
        <f t="shared" si="5"/>
        <v>0</v>
      </c>
    </row>
    <row r="22" spans="1:27" ht="15" customHeight="1">
      <c r="A22" s="65" t="s">
        <v>95</v>
      </c>
      <c r="B22" s="102" t="s">
        <v>96</v>
      </c>
      <c r="C22" s="73"/>
      <c r="D22" s="73">
        <f>C22+D2-D21</f>
        <v>-39500</v>
      </c>
      <c r="E22" s="73">
        <f>D22+E2-E21</f>
        <v>-43942.974799999996</v>
      </c>
      <c r="F22" s="73">
        <f>E22+F2-F21</f>
        <v>-65942.974799999996</v>
      </c>
      <c r="G22" s="73">
        <f t="shared" ref="G22:I22" si="6">F22+G2-G21</f>
        <v>-85942.974799999996</v>
      </c>
      <c r="H22" s="73">
        <f t="shared" si="6"/>
        <v>-85942.974799999996</v>
      </c>
      <c r="I22" s="73">
        <f t="shared" si="6"/>
        <v>-85942.974799999996</v>
      </c>
      <c r="J22" s="73">
        <f t="shared" ref="J22:AA22" si="7">I22+J2-J21</f>
        <v>-85942.974799999996</v>
      </c>
      <c r="K22" s="73">
        <f t="shared" si="7"/>
        <v>-85942.974799999996</v>
      </c>
      <c r="L22" s="73">
        <f t="shared" si="7"/>
        <v>-85942.974799999996</v>
      </c>
      <c r="M22" s="73">
        <f t="shared" si="7"/>
        <v>-85942.974799999996</v>
      </c>
      <c r="N22" s="73">
        <f t="shared" si="7"/>
        <v>-85942.974799999996</v>
      </c>
      <c r="O22" s="73">
        <f t="shared" si="7"/>
        <v>-85942.974799999996</v>
      </c>
      <c r="P22" s="73">
        <f t="shared" si="7"/>
        <v>-85942.974799999996</v>
      </c>
      <c r="Q22" s="73">
        <f t="shared" si="7"/>
        <v>-85942.974799999996</v>
      </c>
      <c r="R22" s="73">
        <f t="shared" si="7"/>
        <v>-85942.974799999996</v>
      </c>
      <c r="S22" s="73">
        <f t="shared" si="7"/>
        <v>-85942.974799999996</v>
      </c>
      <c r="T22" s="73">
        <f t="shared" si="7"/>
        <v>-85942.974799999996</v>
      </c>
      <c r="U22" s="73">
        <f t="shared" si="7"/>
        <v>-85942.974799999996</v>
      </c>
      <c r="V22" s="73">
        <f t="shared" si="7"/>
        <v>-85942.974799999996</v>
      </c>
      <c r="W22" s="73">
        <f t="shared" si="7"/>
        <v>-85942.974799999996</v>
      </c>
      <c r="X22" s="73">
        <f t="shared" si="7"/>
        <v>-85942.974799999996</v>
      </c>
      <c r="Y22" s="73">
        <f t="shared" si="7"/>
        <v>-85942.974799999996</v>
      </c>
      <c r="Z22" s="73">
        <f t="shared" si="7"/>
        <v>-85942.974799999996</v>
      </c>
      <c r="AA22" s="73">
        <f t="shared" si="7"/>
        <v>-85942.974799999996</v>
      </c>
    </row>
    <row r="23" spans="1:27" ht="15" customHeight="1">
      <c r="A23" s="65" t="s">
        <v>97</v>
      </c>
      <c r="B23" s="102" t="s">
        <v>98</v>
      </c>
      <c r="C23" s="73">
        <f>C19</f>
        <v>4813.2227000000003</v>
      </c>
      <c r="D23" s="73">
        <f>IF(D22&lt;0,-D22,0)</f>
        <v>39500</v>
      </c>
      <c r="E23" s="73">
        <f>IF(E22&lt;0,-E22,0)</f>
        <v>43942.974799999996</v>
      </c>
      <c r="F23" s="73">
        <f t="shared" ref="F23:AA23" si="8">IF(F22&lt;0,-F22,0)</f>
        <v>65942.974799999996</v>
      </c>
      <c r="G23" s="73">
        <f t="shared" si="8"/>
        <v>85942.974799999996</v>
      </c>
      <c r="H23" s="73">
        <f t="shared" si="8"/>
        <v>85942.974799999996</v>
      </c>
      <c r="I23" s="73">
        <f t="shared" si="8"/>
        <v>85942.974799999996</v>
      </c>
      <c r="J23" s="73">
        <f t="shared" si="8"/>
        <v>85942.974799999996</v>
      </c>
      <c r="K23" s="73">
        <f t="shared" si="8"/>
        <v>85942.974799999996</v>
      </c>
      <c r="L23" s="73">
        <f t="shared" si="8"/>
        <v>85942.974799999996</v>
      </c>
      <c r="M23" s="73">
        <f t="shared" si="8"/>
        <v>85942.974799999996</v>
      </c>
      <c r="N23" s="73">
        <f t="shared" si="8"/>
        <v>85942.974799999996</v>
      </c>
      <c r="O23" s="73">
        <f t="shared" si="8"/>
        <v>85942.974799999996</v>
      </c>
      <c r="P23" s="73">
        <f t="shared" si="8"/>
        <v>85942.974799999996</v>
      </c>
      <c r="Q23" s="73">
        <f t="shared" si="8"/>
        <v>85942.974799999996</v>
      </c>
      <c r="R23" s="73">
        <f t="shared" si="8"/>
        <v>85942.974799999996</v>
      </c>
      <c r="S23" s="73">
        <f t="shared" si="8"/>
        <v>85942.974799999996</v>
      </c>
      <c r="T23" s="73">
        <f t="shared" si="8"/>
        <v>85942.974799999996</v>
      </c>
      <c r="U23" s="73">
        <f t="shared" si="8"/>
        <v>85942.974799999996</v>
      </c>
      <c r="V23" s="73">
        <f t="shared" si="8"/>
        <v>85942.974799999996</v>
      </c>
      <c r="W23" s="73">
        <f t="shared" si="8"/>
        <v>85942.974799999996</v>
      </c>
      <c r="X23" s="73">
        <f t="shared" si="8"/>
        <v>85942.974799999996</v>
      </c>
      <c r="Y23" s="73">
        <f t="shared" si="8"/>
        <v>85942.974799999996</v>
      </c>
      <c r="Z23" s="73">
        <f t="shared" si="8"/>
        <v>85942.974799999996</v>
      </c>
      <c r="AA23" s="73">
        <f t="shared" si="8"/>
        <v>85942.974799999996</v>
      </c>
    </row>
    <row r="24" spans="1:27" ht="16.5" customHeight="1">
      <c r="A24" s="92" t="s">
        <v>99</v>
      </c>
      <c r="B24" s="93"/>
      <c r="C24" s="94" t="e">
        <f>IF(C$12/(C$14+C21)&gt;1.5,#REF!,IF(C$12/(C$14+C21)&gt;1.4,#REF!,IF(C$12/(C$14+C21)&gt;1.3,#REF!,IF(C$12/(C$14+C21)&gt;1.2,#REF!,IF(C$12/(C$14+C21)&gt;1.1,#REF!,IF(C$12/(C$14+C21)&gt;1,#REF!,IF(C$12/(C$14+C21)&lt;1,17.73)))))))</f>
        <v>#REF!</v>
      </c>
      <c r="D24" s="94" t="e">
        <f>IF(D$12/(D$14+D21)&gt;1.5,#REF!,IF(D$12/(D$14+D21)&gt;1.4,#REF!,IF(D$12/(D$14+D21)&gt;1.3,#REF!,IF(D$12/(D$14+D21)&gt;1.2,#REF!,IF(D$12/(D$14+D21)&gt;1.1,#REF!,IF(D$12/(D$14+D21)&gt;1,#REF!,IF(D$12/(D$14+D21)&lt;1,17.73)))))))</f>
        <v>#REF!</v>
      </c>
      <c r="E24" s="94" t="e">
        <f>IF(E$12/(E$14+E21)&gt;1.5,#REF!,IF(E$12/(E$14+E21)&gt;1.4,#REF!,IF(E$12/(E$14+E21)&gt;1.3,#REF!,IF(E$12/(E$14+E21)&gt;1.2,#REF!,IF(E$12/(E$14+E21)&gt;1.1,#REF!,IF(E$12/(E$14+E21)&gt;1,#REF!,IF(E$12/(E$14+E21)&lt;1,17.73)))))))</f>
        <v>#REF!</v>
      </c>
      <c r="F24" s="94" t="e">
        <f>IF(F$12/(F$14+F21)&gt;1.5,#REF!,IF(F$12/(F$14+F21)&gt;1.4,#REF!,IF(F$12/(F$14+F21)&gt;1.3,#REF!,IF(F$12/(F$14+F21)&gt;1.2,#REF!,IF(F$12/(F$14+F21)&gt;1.1,#REF!,IF(F$12/(F$14+F21)&gt;1,#REF!,IF(F$12/(F$14+F21)&lt;1,17.73)))))))</f>
        <v>#REF!</v>
      </c>
      <c r="G24" s="94" t="e">
        <f>IF(G$12/(G$14+G21)&gt;1.5,#REF!,IF(G$12/(G$14+G21)&gt;1.4,#REF!,IF(G$12/(G$14+G21)&gt;1.3,#REF!,IF(G$12/(G$14+G21)&gt;1.2,#REF!,IF(G$12/(G$14+G21)&gt;1.1,#REF!,IF(G$12/(G$14+G21)&gt;1,#REF!,IF(G$12/(G$14+G21)&lt;1,17.73)))))))</f>
        <v>#REF!</v>
      </c>
      <c r="H24" s="94" t="e">
        <f>IF(H$12/(H$14+H21)&gt;1.5,#REF!,IF(H$12/(H$14+H21)&gt;1.4,#REF!,IF(H$12/(H$14+H21)&gt;1.3,#REF!,IF(H$12/(H$14+H21)&gt;1.2,#REF!,IF(H$12/(H$14+H21)&gt;1.1,#REF!,IF(H$12/(H$14+H21)&gt;1,#REF!,IF(H$12/(H$14+H21)&lt;1,17.73)))))))</f>
        <v>#REF!</v>
      </c>
      <c r="I24" s="94" t="e">
        <f>IF(I$12/(I$14+I21)&gt;1.5,#REF!,IF(I$12/(I$14+I21)&gt;1.4,#REF!,IF(I$12/(I$14+I21)&gt;1.3,#REF!,IF(I$12/(I$14+I21)&gt;1.2,#REF!,IF(I$12/(I$14+I21)&gt;1.1,#REF!,IF(I$12/(I$14+I21)&gt;1,#REF!,IF(I$12/(I$14+I21)&lt;1,17.73)))))))</f>
        <v>#REF!</v>
      </c>
      <c r="J24" s="94" t="e">
        <f>IF(J$12/(J$14+J21)&gt;1.5,#REF!,IF(J$12/(J$14+J21)&gt;1.4,#REF!,IF(J$12/(J$14+J21)&gt;1.3,#REF!,IF(J$12/(J$14+J21)&gt;1.2,#REF!,IF(J$12/(J$14+J21)&gt;1.1,#REF!,IF(J$12/(J$14+J21)&gt;1,#REF!,IF(J$12/(J$14+J21)&lt;1,17.73)))))))</f>
        <v>#REF!</v>
      </c>
      <c r="K24" s="94" t="e">
        <f>IF(K$12/(K$14+K21)&gt;1.5,#REF!,IF(K$12/(K$14+K21)&gt;1.4,#REF!,IF(K$12/(K$14+K21)&gt;1.3,#REF!,IF(K$12/(K$14+K21)&gt;1.2,#REF!,IF(K$12/(K$14+K21)&gt;1.1,#REF!,IF(K$12/(K$14+K21)&gt;1,#REF!,IF(K$12/(K$14+K21)&lt;1,17.73)))))))</f>
        <v>#REF!</v>
      </c>
      <c r="L24" s="94" t="e">
        <f>IF(L$12/(L$14+L21)&gt;1.5,#REF!,IF(L$12/(L$14+L21)&gt;1.4,#REF!,IF(L$12/(L$14+L21)&gt;1.3,#REF!,IF(L$12/(L$14+L21)&gt;1.2,#REF!,IF(L$12/(L$14+L21)&gt;1.1,#REF!,IF(L$12/(L$14+L21)&gt;1,#REF!,IF(L$12/(L$14+L21)&lt;1,17.73)))))))</f>
        <v>#REF!</v>
      </c>
      <c r="M24" s="94" t="e">
        <f>IF(M$12/(M$14+M21)&gt;1.5,#REF!,IF(M$12/(M$14+M21)&gt;1.4,#REF!,IF(M$12/(M$14+M21)&gt;1.3,#REF!,IF(M$12/(M$14+M21)&gt;1.2,#REF!,IF(M$12/(M$14+M21)&gt;1.1,#REF!,IF(M$12/(M$14+M21)&gt;1,#REF!,IF(M$12/(M$14+M21)&lt;1,17.73)))))))</f>
        <v>#REF!</v>
      </c>
      <c r="N24" s="94"/>
      <c r="O24" s="94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1:27">
      <c r="A25" s="65"/>
      <c r="B25" s="66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>
      <c r="A26" s="65"/>
      <c r="B26" s="66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>
      <c r="A27" s="65"/>
      <c r="B27" s="66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27">
      <c r="A28" s="65"/>
      <c r="B28" s="66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27">
      <c r="A29" s="65"/>
      <c r="B29" s="66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 spans="1:27">
      <c r="A30" s="65"/>
      <c r="B30" s="66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27">
      <c r="A31" s="65"/>
      <c r="B31" s="66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</sheetData>
  <conditionalFormatting sqref="C15:M15">
    <cfRule type="cellIs" dxfId="98" priority="8" operator="greaterThan">
      <formula>5</formula>
    </cfRule>
  </conditionalFormatting>
  <conditionalFormatting sqref="C24:O24">
    <cfRule type="cellIs" dxfId="97" priority="1" operator="greaterThan">
      <formula>5</formula>
    </cfRule>
  </conditionalFormatting>
  <conditionalFormatting sqref="C22:AA22">
    <cfRule type="cellIs" dxfId="96" priority="6" operator="lessThan">
      <formula>0</formula>
    </cfRule>
  </conditionalFormatting>
  <dataValidations count="1">
    <dataValidation type="list" allowBlank="1" showInputMessage="1" showErrorMessage="1" sqref="C6:AA6 C11:AB11" xr:uid="{00000000-0002-0000-0100-000000000000}">
      <formula1>$A$2:$A$21</formula1>
    </dataValidation>
  </dataValidations>
  <pageMargins left="0.7" right="0.7" top="0.75" bottom="0.75" header="0.3" footer="0.3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#REF!</xm:f>
          </x14:formula1>
          <xm:sqref>C9:AA9 C4:AA4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"/>
  <sheetViews>
    <sheetView workbookViewId="0">
      <selection activeCell="B2" sqref="B2:B34"/>
    </sheetView>
  </sheetViews>
  <sheetFormatPr defaultRowHeight="15"/>
  <cols>
    <col min="1" max="1" width="7.85546875" customWidth="1"/>
    <col min="2" max="2" width="7.5703125" customWidth="1"/>
    <col min="3" max="3" width="14.140625" customWidth="1"/>
    <col min="4" max="4" width="6.28515625" customWidth="1"/>
    <col min="5" max="5" width="7.140625" customWidth="1"/>
    <col min="6" max="6" width="4.28515625" bestFit="1" customWidth="1"/>
    <col min="7" max="7" width="27.28515625" bestFit="1" customWidth="1"/>
    <col min="8" max="8" width="11.28515625" bestFit="1" customWidth="1"/>
    <col min="9" max="9" width="9.85546875" bestFit="1" customWidth="1"/>
    <col min="10" max="10" width="4.42578125" bestFit="1" customWidth="1"/>
    <col min="11" max="11" width="1.7109375" bestFit="1" customWidth="1"/>
    <col min="12" max="12" width="11.28515625" bestFit="1" customWidth="1"/>
    <col min="14" max="14" width="14.140625" bestFit="1" customWidth="1"/>
    <col min="15" max="16" width="9.85546875" bestFit="1" customWidth="1"/>
    <col min="17" max="17" width="22.5703125" bestFit="1" customWidth="1"/>
    <col min="18" max="18" width="2" bestFit="1" customWidth="1"/>
  </cols>
  <sheetData>
    <row r="1" spans="1:18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</row>
    <row r="2" spans="1:18">
      <c r="A2" s="103">
        <v>14</v>
      </c>
      <c r="B2" s="104">
        <v>47.42</v>
      </c>
      <c r="C2" s="104">
        <v>64000</v>
      </c>
      <c r="D2" s="105">
        <v>42</v>
      </c>
      <c r="E2" s="105">
        <v>2</v>
      </c>
      <c r="F2" s="105" t="s">
        <v>106</v>
      </c>
      <c r="G2" s="105" t="s">
        <v>107</v>
      </c>
      <c r="H2" s="104">
        <v>3034880</v>
      </c>
      <c r="I2" s="106">
        <v>44764</v>
      </c>
      <c r="J2" s="107">
        <v>0</v>
      </c>
      <c r="K2" s="105" t="s">
        <v>108</v>
      </c>
      <c r="L2" s="104">
        <v>3034880</v>
      </c>
      <c r="M2" s="104">
        <v>64000</v>
      </c>
      <c r="N2" s="105" t="s">
        <v>109</v>
      </c>
      <c r="O2" s="106">
        <v>44764</v>
      </c>
      <c r="P2" s="106">
        <v>44769</v>
      </c>
      <c r="Q2" s="105" t="s">
        <v>110</v>
      </c>
      <c r="R2" s="105">
        <v>1</v>
      </c>
    </row>
    <row r="3" spans="1:18">
      <c r="A3" s="103">
        <v>17</v>
      </c>
      <c r="B3" s="104">
        <v>59.61</v>
      </c>
      <c r="C3" s="104">
        <v>67700</v>
      </c>
      <c r="D3" s="105">
        <v>43</v>
      </c>
      <c r="E3" s="105">
        <v>2</v>
      </c>
      <c r="F3" s="105" t="s">
        <v>111</v>
      </c>
      <c r="G3" s="105" t="s">
        <v>107</v>
      </c>
      <c r="H3" s="104">
        <v>4035597</v>
      </c>
      <c r="I3" s="106">
        <v>44767</v>
      </c>
      <c r="J3" s="107">
        <v>0</v>
      </c>
      <c r="K3" s="105" t="s">
        <v>108</v>
      </c>
      <c r="L3" s="104">
        <v>4035597</v>
      </c>
      <c r="M3" s="104">
        <v>67700</v>
      </c>
      <c r="N3" s="105" t="s">
        <v>112</v>
      </c>
      <c r="O3" s="106">
        <v>44767</v>
      </c>
      <c r="P3" s="106">
        <v>44769</v>
      </c>
      <c r="Q3" s="105" t="s">
        <v>113</v>
      </c>
      <c r="R3" s="105">
        <v>1</v>
      </c>
    </row>
    <row r="4" spans="1:18">
      <c r="A4" s="103">
        <v>21</v>
      </c>
      <c r="B4" s="104">
        <v>47.42</v>
      </c>
      <c r="C4" s="104">
        <v>64000</v>
      </c>
      <c r="D4" s="105">
        <v>44</v>
      </c>
      <c r="E4" s="105">
        <v>2</v>
      </c>
      <c r="F4" s="105" t="s">
        <v>106</v>
      </c>
      <c r="G4" s="105" t="s">
        <v>107</v>
      </c>
      <c r="H4" s="104">
        <v>3034880</v>
      </c>
      <c r="I4" s="106">
        <v>44767</v>
      </c>
      <c r="J4" s="107">
        <v>0</v>
      </c>
      <c r="K4" s="105" t="s">
        <v>108</v>
      </c>
      <c r="L4" s="104">
        <v>3034880</v>
      </c>
      <c r="M4" s="104">
        <v>64000</v>
      </c>
      <c r="N4" s="105" t="s">
        <v>114</v>
      </c>
      <c r="O4" s="106">
        <v>44767</v>
      </c>
      <c r="P4" s="106">
        <v>44769</v>
      </c>
      <c r="Q4" s="105" t="s">
        <v>110</v>
      </c>
      <c r="R4" s="105">
        <v>1</v>
      </c>
    </row>
    <row r="5" spans="1:18">
      <c r="A5" s="103">
        <v>28</v>
      </c>
      <c r="B5" s="104">
        <v>47.32</v>
      </c>
      <c r="C5" s="104">
        <v>63300</v>
      </c>
      <c r="D5" s="105">
        <v>48</v>
      </c>
      <c r="E5" s="105">
        <v>2</v>
      </c>
      <c r="F5" s="105" t="s">
        <v>106</v>
      </c>
      <c r="G5" s="105" t="s">
        <v>107</v>
      </c>
      <c r="H5" s="104">
        <v>3001686</v>
      </c>
      <c r="I5" s="106">
        <v>44767</v>
      </c>
      <c r="J5" s="107">
        <v>0</v>
      </c>
      <c r="K5" s="105" t="s">
        <v>108</v>
      </c>
      <c r="L5" s="104">
        <v>3001686</v>
      </c>
      <c r="M5" s="104">
        <v>63433.770076077766</v>
      </c>
      <c r="N5" s="105" t="s">
        <v>115</v>
      </c>
      <c r="O5" s="106">
        <v>44767</v>
      </c>
      <c r="P5" s="106">
        <v>44769</v>
      </c>
      <c r="Q5" s="105" t="s">
        <v>116</v>
      </c>
      <c r="R5" s="105">
        <v>1</v>
      </c>
    </row>
    <row r="6" spans="1:18">
      <c r="A6" s="103">
        <v>31</v>
      </c>
      <c r="B6" s="104">
        <v>59.61</v>
      </c>
      <c r="C6" s="104">
        <v>67000</v>
      </c>
      <c r="D6" s="105">
        <v>47</v>
      </c>
      <c r="E6" s="105">
        <v>2</v>
      </c>
      <c r="F6" s="105" t="s">
        <v>111</v>
      </c>
      <c r="G6" s="108" t="s">
        <v>107</v>
      </c>
      <c r="H6" s="104">
        <v>3993870</v>
      </c>
      <c r="I6" s="109">
        <v>44767</v>
      </c>
      <c r="J6" s="107">
        <v>0</v>
      </c>
      <c r="K6" s="105" t="s">
        <v>108</v>
      </c>
      <c r="L6" s="104">
        <v>3993870</v>
      </c>
      <c r="M6" s="104">
        <v>67000</v>
      </c>
      <c r="N6" s="105" t="s">
        <v>117</v>
      </c>
      <c r="O6" s="106">
        <v>44767</v>
      </c>
      <c r="P6" s="106">
        <v>44769</v>
      </c>
      <c r="Q6" s="105" t="s">
        <v>118</v>
      </c>
      <c r="R6" s="105">
        <v>1</v>
      </c>
    </row>
    <row r="7" spans="1:18">
      <c r="A7" s="103">
        <v>32</v>
      </c>
      <c r="B7" s="104">
        <v>42.32</v>
      </c>
      <c r="C7" s="104">
        <v>63300</v>
      </c>
      <c r="D7" s="105">
        <v>49</v>
      </c>
      <c r="E7" s="105">
        <v>2</v>
      </c>
      <c r="F7" s="105" t="s">
        <v>106</v>
      </c>
      <c r="G7" s="108" t="s">
        <v>107</v>
      </c>
      <c r="H7" s="104">
        <v>2678856</v>
      </c>
      <c r="I7" s="106">
        <v>44767</v>
      </c>
      <c r="J7" s="107">
        <v>0</v>
      </c>
      <c r="K7" s="105" t="s">
        <v>108</v>
      </c>
      <c r="L7" s="104">
        <v>2678856</v>
      </c>
      <c r="M7" s="104">
        <v>63300</v>
      </c>
      <c r="N7" s="105" t="s">
        <v>119</v>
      </c>
      <c r="O7" s="106">
        <v>44767</v>
      </c>
      <c r="P7" s="106">
        <v>44769</v>
      </c>
      <c r="Q7" s="105" t="s">
        <v>120</v>
      </c>
      <c r="R7" s="105">
        <v>1</v>
      </c>
    </row>
    <row r="8" spans="1:18">
      <c r="A8" s="103">
        <v>42</v>
      </c>
      <c r="B8" s="104">
        <v>47.32</v>
      </c>
      <c r="C8" s="104">
        <v>63300</v>
      </c>
      <c r="D8" s="105">
        <v>50</v>
      </c>
      <c r="E8" s="105">
        <v>2</v>
      </c>
      <c r="F8" s="105" t="s">
        <v>106</v>
      </c>
      <c r="G8" s="105" t="s">
        <v>107</v>
      </c>
      <c r="H8" s="104">
        <v>3001686</v>
      </c>
      <c r="I8" s="106">
        <v>44767</v>
      </c>
      <c r="J8" s="107">
        <v>0</v>
      </c>
      <c r="K8" s="105" t="s">
        <v>108</v>
      </c>
      <c r="L8" s="104">
        <v>3001686</v>
      </c>
      <c r="M8" s="104">
        <v>63300</v>
      </c>
      <c r="N8" s="105" t="s">
        <v>121</v>
      </c>
      <c r="O8" s="106">
        <v>44767</v>
      </c>
      <c r="P8" s="106">
        <v>44769</v>
      </c>
      <c r="Q8" s="105" t="s">
        <v>116</v>
      </c>
      <c r="R8" s="105">
        <v>1</v>
      </c>
    </row>
    <row r="9" spans="1:18">
      <c r="A9" s="103">
        <v>45</v>
      </c>
      <c r="B9" s="104">
        <v>59.61</v>
      </c>
      <c r="C9" s="104">
        <v>67000</v>
      </c>
      <c r="D9" s="105">
        <v>51</v>
      </c>
      <c r="E9" s="105">
        <v>2</v>
      </c>
      <c r="F9" s="105" t="s">
        <v>111</v>
      </c>
      <c r="G9" s="105" t="s">
        <v>107</v>
      </c>
      <c r="H9" s="104">
        <v>3993870</v>
      </c>
      <c r="I9" s="106">
        <v>44767</v>
      </c>
      <c r="J9" s="107">
        <v>0</v>
      </c>
      <c r="K9" s="105" t="s">
        <v>108</v>
      </c>
      <c r="L9" s="104">
        <v>3993870</v>
      </c>
      <c r="M9" s="104">
        <v>67000</v>
      </c>
      <c r="N9" s="105" t="s">
        <v>122</v>
      </c>
      <c r="O9" s="106">
        <v>44767</v>
      </c>
      <c r="P9" s="106">
        <v>44769</v>
      </c>
      <c r="Q9" s="105" t="s">
        <v>118</v>
      </c>
      <c r="R9" s="105">
        <v>1</v>
      </c>
    </row>
    <row r="10" spans="1:18">
      <c r="A10" s="103">
        <v>79</v>
      </c>
      <c r="B10" s="104">
        <v>40.17</v>
      </c>
      <c r="C10" s="104">
        <v>64000</v>
      </c>
      <c r="D10" s="105">
        <v>52</v>
      </c>
      <c r="E10" s="105">
        <v>2</v>
      </c>
      <c r="F10" s="105" t="s">
        <v>106</v>
      </c>
      <c r="G10" s="105" t="s">
        <v>107</v>
      </c>
      <c r="H10" s="104">
        <v>2570880</v>
      </c>
      <c r="I10" s="106">
        <v>44767</v>
      </c>
      <c r="J10" s="107">
        <v>0</v>
      </c>
      <c r="K10" s="105" t="s">
        <v>108</v>
      </c>
      <c r="L10" s="104">
        <v>2570880</v>
      </c>
      <c r="M10" s="104">
        <v>64000</v>
      </c>
      <c r="N10" s="105" t="s">
        <v>123</v>
      </c>
      <c r="O10" s="106">
        <v>44767</v>
      </c>
      <c r="P10" s="106">
        <v>44769</v>
      </c>
      <c r="Q10" s="105" t="s">
        <v>124</v>
      </c>
      <c r="R10" s="105">
        <v>1</v>
      </c>
    </row>
    <row r="11" spans="1:18">
      <c r="A11" s="103">
        <v>85</v>
      </c>
      <c r="B11" s="104">
        <v>36.03</v>
      </c>
      <c r="C11" s="104">
        <v>67500</v>
      </c>
      <c r="D11" s="105">
        <v>53</v>
      </c>
      <c r="E11" s="105">
        <v>1</v>
      </c>
      <c r="F11" s="105" t="s">
        <v>125</v>
      </c>
      <c r="G11" s="105" t="s">
        <v>107</v>
      </c>
      <c r="H11" s="104">
        <v>2432025</v>
      </c>
      <c r="I11" s="106">
        <v>44767</v>
      </c>
      <c r="J11" s="107">
        <v>0</v>
      </c>
      <c r="K11" s="105" t="s">
        <v>108</v>
      </c>
      <c r="L11" s="104">
        <v>2432025</v>
      </c>
      <c r="M11" s="104">
        <v>67500</v>
      </c>
      <c r="N11" s="105" t="s">
        <v>126</v>
      </c>
      <c r="O11" s="106">
        <v>44767</v>
      </c>
      <c r="P11" s="106">
        <v>44769</v>
      </c>
      <c r="Q11" s="105" t="s">
        <v>127</v>
      </c>
      <c r="R11" s="105">
        <v>1</v>
      </c>
    </row>
    <row r="12" spans="1:18">
      <c r="A12" s="103">
        <v>93</v>
      </c>
      <c r="B12" s="104">
        <v>36.03</v>
      </c>
      <c r="C12" s="104">
        <v>67500</v>
      </c>
      <c r="D12" s="105">
        <v>54</v>
      </c>
      <c r="E12" s="105">
        <v>1</v>
      </c>
      <c r="F12" s="105" t="s">
        <v>125</v>
      </c>
      <c r="G12" s="105" t="s">
        <v>107</v>
      </c>
      <c r="H12" s="104">
        <v>2432025</v>
      </c>
      <c r="I12" s="106">
        <v>44767</v>
      </c>
      <c r="J12" s="107">
        <v>0</v>
      </c>
      <c r="K12" s="105" t="s">
        <v>108</v>
      </c>
      <c r="L12" s="104">
        <v>2432025</v>
      </c>
      <c r="M12" s="104">
        <v>67500</v>
      </c>
      <c r="N12" s="105" t="s">
        <v>128</v>
      </c>
      <c r="O12" s="106">
        <v>44767</v>
      </c>
      <c r="P12" s="106">
        <v>44769</v>
      </c>
      <c r="Q12" s="105" t="s">
        <v>129</v>
      </c>
      <c r="R12" s="105">
        <v>1</v>
      </c>
    </row>
    <row r="13" spans="1:18">
      <c r="A13" s="103">
        <v>101</v>
      </c>
      <c r="B13" s="104">
        <v>36.03</v>
      </c>
      <c r="C13" s="104">
        <v>66800</v>
      </c>
      <c r="D13" s="105">
        <v>56</v>
      </c>
      <c r="E13" s="105">
        <v>2</v>
      </c>
      <c r="F13" s="105" t="s">
        <v>106</v>
      </c>
      <c r="G13" s="105" t="s">
        <v>107</v>
      </c>
      <c r="H13" s="104">
        <v>2406804</v>
      </c>
      <c r="I13" s="106">
        <v>44767</v>
      </c>
      <c r="J13" s="107">
        <v>0</v>
      </c>
      <c r="K13" s="105" t="s">
        <v>108</v>
      </c>
      <c r="L13" s="104">
        <v>2406804</v>
      </c>
      <c r="M13" s="104">
        <v>66800</v>
      </c>
      <c r="N13" s="105" t="s">
        <v>130</v>
      </c>
      <c r="O13" s="106">
        <v>44767</v>
      </c>
      <c r="P13" s="106">
        <v>44774</v>
      </c>
      <c r="Q13" s="105" t="s">
        <v>131</v>
      </c>
      <c r="R13" s="105">
        <v>1</v>
      </c>
    </row>
    <row r="14" spans="1:18">
      <c r="A14" s="103">
        <v>111</v>
      </c>
      <c r="B14" s="104">
        <v>40.17</v>
      </c>
      <c r="C14" s="104">
        <v>63300</v>
      </c>
      <c r="D14" s="105">
        <v>57</v>
      </c>
      <c r="E14" s="105">
        <v>2</v>
      </c>
      <c r="F14" s="105" t="s">
        <v>106</v>
      </c>
      <c r="G14" s="105" t="s">
        <v>107</v>
      </c>
      <c r="H14" s="104">
        <v>2542761</v>
      </c>
      <c r="I14" s="106">
        <v>44767</v>
      </c>
      <c r="J14" s="107">
        <v>0</v>
      </c>
      <c r="K14" s="105" t="s">
        <v>108</v>
      </c>
      <c r="L14" s="104">
        <v>2542761</v>
      </c>
      <c r="M14" s="104">
        <v>63300</v>
      </c>
      <c r="N14" s="105" t="s">
        <v>132</v>
      </c>
      <c r="O14" s="106">
        <v>44767</v>
      </c>
      <c r="P14" s="106">
        <v>44769</v>
      </c>
      <c r="Q14" s="105" t="s">
        <v>133</v>
      </c>
      <c r="R14" s="105">
        <v>1</v>
      </c>
    </row>
    <row r="15" spans="1:18">
      <c r="A15" s="103">
        <v>117</v>
      </c>
      <c r="B15" s="104">
        <v>36.03</v>
      </c>
      <c r="C15" s="104">
        <v>66800</v>
      </c>
      <c r="D15" s="105">
        <v>58</v>
      </c>
      <c r="E15" s="105">
        <v>1</v>
      </c>
      <c r="F15" s="105" t="s">
        <v>125</v>
      </c>
      <c r="G15" s="108" t="s">
        <v>107</v>
      </c>
      <c r="H15" s="104">
        <v>2406804</v>
      </c>
      <c r="I15" s="106">
        <v>44767</v>
      </c>
      <c r="J15" s="107">
        <v>0</v>
      </c>
      <c r="K15" s="105" t="s">
        <v>108</v>
      </c>
      <c r="L15" s="104">
        <v>2406804</v>
      </c>
      <c r="M15" s="104">
        <v>66800</v>
      </c>
      <c r="N15" s="105" t="s">
        <v>134</v>
      </c>
      <c r="O15" s="106">
        <v>44767</v>
      </c>
      <c r="P15" s="106">
        <v>44769</v>
      </c>
      <c r="Q15" s="105" t="s">
        <v>135</v>
      </c>
      <c r="R15" s="105">
        <v>1</v>
      </c>
    </row>
    <row r="16" spans="1:18">
      <c r="A16" s="103">
        <v>148</v>
      </c>
      <c r="B16" s="104">
        <v>38.99</v>
      </c>
      <c r="C16" s="104">
        <v>64000</v>
      </c>
      <c r="D16" s="105">
        <v>59</v>
      </c>
      <c r="E16" s="105">
        <v>2</v>
      </c>
      <c r="F16" s="105" t="s">
        <v>106</v>
      </c>
      <c r="G16" s="105" t="s">
        <v>107</v>
      </c>
      <c r="H16" s="104">
        <v>2495360</v>
      </c>
      <c r="I16" s="106">
        <v>44767</v>
      </c>
      <c r="J16" s="107">
        <v>0</v>
      </c>
      <c r="K16" s="105" t="s">
        <v>108</v>
      </c>
      <c r="L16" s="104">
        <v>2495360</v>
      </c>
      <c r="M16" s="104">
        <v>64000</v>
      </c>
      <c r="N16" s="105" t="s">
        <v>136</v>
      </c>
      <c r="O16" s="106">
        <v>44767</v>
      </c>
      <c r="P16" s="106">
        <v>44769</v>
      </c>
      <c r="Q16" s="105" t="s">
        <v>137</v>
      </c>
      <c r="R16" s="105">
        <v>1</v>
      </c>
    </row>
    <row r="17" spans="1:18">
      <c r="A17" s="103">
        <v>149</v>
      </c>
      <c r="B17" s="104">
        <v>40.81</v>
      </c>
      <c r="C17" s="104">
        <v>67500</v>
      </c>
      <c r="D17" s="105">
        <v>60</v>
      </c>
      <c r="E17" s="105">
        <v>1</v>
      </c>
      <c r="F17" s="105" t="s">
        <v>125</v>
      </c>
      <c r="G17" s="105" t="s">
        <v>107</v>
      </c>
      <c r="H17" s="104">
        <v>2754675</v>
      </c>
      <c r="I17" s="106">
        <v>44767</v>
      </c>
      <c r="J17" s="107">
        <v>0</v>
      </c>
      <c r="K17" s="105" t="s">
        <v>108</v>
      </c>
      <c r="L17" s="104">
        <v>2754675</v>
      </c>
      <c r="M17" s="104">
        <v>67500</v>
      </c>
      <c r="N17" s="105" t="s">
        <v>138</v>
      </c>
      <c r="O17" s="106">
        <v>44767</v>
      </c>
      <c r="P17" s="106">
        <v>44769</v>
      </c>
      <c r="Q17" s="105" t="s">
        <v>139</v>
      </c>
      <c r="R17" s="105">
        <v>1</v>
      </c>
    </row>
    <row r="18" spans="1:18">
      <c r="A18" s="103">
        <v>152</v>
      </c>
      <c r="B18" s="104">
        <v>38.99</v>
      </c>
      <c r="C18" s="104">
        <v>63300</v>
      </c>
      <c r="D18" s="105">
        <v>61</v>
      </c>
      <c r="E18" s="105">
        <v>2</v>
      </c>
      <c r="F18" s="105" t="s">
        <v>106</v>
      </c>
      <c r="G18" s="105" t="s">
        <v>107</v>
      </c>
      <c r="H18" s="104">
        <v>2468067</v>
      </c>
      <c r="I18" s="106">
        <v>44767</v>
      </c>
      <c r="J18" s="107">
        <v>0</v>
      </c>
      <c r="K18" s="105" t="s">
        <v>108</v>
      </c>
      <c r="L18" s="104">
        <v>2468067</v>
      </c>
      <c r="M18" s="104">
        <v>63300</v>
      </c>
      <c r="N18" s="105" t="s">
        <v>140</v>
      </c>
      <c r="O18" s="106">
        <v>44767</v>
      </c>
      <c r="P18" s="106">
        <v>44769</v>
      </c>
      <c r="Q18" s="105" t="s">
        <v>141</v>
      </c>
      <c r="R18" s="105">
        <v>1</v>
      </c>
    </row>
    <row r="19" spans="1:18">
      <c r="A19" s="103">
        <v>153</v>
      </c>
      <c r="B19" s="104">
        <v>40.81</v>
      </c>
      <c r="C19" s="104">
        <v>66800</v>
      </c>
      <c r="D19" s="105">
        <v>62</v>
      </c>
      <c r="E19" s="105">
        <v>1</v>
      </c>
      <c r="F19" s="105" t="s">
        <v>125</v>
      </c>
      <c r="G19" s="105" t="s">
        <v>107</v>
      </c>
      <c r="H19" s="104">
        <v>2726108</v>
      </c>
      <c r="I19" s="106">
        <v>44767</v>
      </c>
      <c r="J19" s="107">
        <v>0</v>
      </c>
      <c r="K19" s="105" t="s">
        <v>108</v>
      </c>
      <c r="L19" s="104">
        <v>2726108</v>
      </c>
      <c r="M19" s="104">
        <v>66800</v>
      </c>
      <c r="N19" s="105" t="s">
        <v>142</v>
      </c>
      <c r="O19" s="106">
        <v>44767</v>
      </c>
      <c r="P19" s="106">
        <v>44769</v>
      </c>
      <c r="Q19" s="105" t="s">
        <v>143</v>
      </c>
      <c r="R19" s="105">
        <v>1</v>
      </c>
    </row>
    <row r="20" spans="1:18">
      <c r="A20" s="103">
        <v>161</v>
      </c>
      <c r="B20" s="104">
        <v>40.81</v>
      </c>
      <c r="C20" s="104">
        <v>66800</v>
      </c>
      <c r="D20" s="105">
        <v>63</v>
      </c>
      <c r="E20" s="105">
        <v>1</v>
      </c>
      <c r="F20" s="105" t="s">
        <v>125</v>
      </c>
      <c r="G20" s="105" t="s">
        <v>107</v>
      </c>
      <c r="H20" s="104">
        <v>2726108</v>
      </c>
      <c r="I20" s="106">
        <v>44767</v>
      </c>
      <c r="J20" s="107">
        <v>0</v>
      </c>
      <c r="K20" s="105" t="s">
        <v>108</v>
      </c>
      <c r="L20" s="104">
        <v>2726108</v>
      </c>
      <c r="M20" s="104">
        <v>66800</v>
      </c>
      <c r="N20" s="105" t="s">
        <v>144</v>
      </c>
      <c r="O20" s="106">
        <v>44767</v>
      </c>
      <c r="P20" s="106">
        <v>44769</v>
      </c>
      <c r="Q20" s="105" t="s">
        <v>143</v>
      </c>
      <c r="R20" s="105">
        <v>1</v>
      </c>
    </row>
    <row r="21" spans="1:18">
      <c r="A21" s="103">
        <v>181</v>
      </c>
      <c r="B21" s="104">
        <v>38.99</v>
      </c>
      <c r="C21" s="104">
        <v>64000</v>
      </c>
      <c r="D21" s="105">
        <v>64</v>
      </c>
      <c r="E21" s="105">
        <v>2</v>
      </c>
      <c r="F21" s="105" t="s">
        <v>106</v>
      </c>
      <c r="G21" s="105" t="s">
        <v>107</v>
      </c>
      <c r="H21" s="104">
        <v>2495360</v>
      </c>
      <c r="I21" s="106">
        <v>44767</v>
      </c>
      <c r="J21" s="107">
        <v>0</v>
      </c>
      <c r="K21" s="105" t="s">
        <v>108</v>
      </c>
      <c r="L21" s="104">
        <v>2495360</v>
      </c>
      <c r="M21" s="104">
        <v>64000</v>
      </c>
      <c r="N21" s="105" t="s">
        <v>145</v>
      </c>
      <c r="O21" s="106">
        <v>44767</v>
      </c>
      <c r="P21" s="106">
        <v>44769</v>
      </c>
      <c r="Q21" s="105" t="s">
        <v>137</v>
      </c>
      <c r="R21" s="105">
        <v>1</v>
      </c>
    </row>
    <row r="22" spans="1:18">
      <c r="A22" s="103">
        <v>184</v>
      </c>
      <c r="B22" s="104">
        <v>40.81</v>
      </c>
      <c r="C22" s="104">
        <v>67500</v>
      </c>
      <c r="D22" s="105">
        <v>65</v>
      </c>
      <c r="E22" s="105">
        <v>1</v>
      </c>
      <c r="F22" s="105" t="s">
        <v>125</v>
      </c>
      <c r="G22" s="105" t="s">
        <v>107</v>
      </c>
      <c r="H22" s="104">
        <v>2754675</v>
      </c>
      <c r="I22" s="106">
        <v>44767</v>
      </c>
      <c r="J22" s="107">
        <v>0</v>
      </c>
      <c r="K22" s="105" t="s">
        <v>108</v>
      </c>
      <c r="L22" s="104">
        <v>2754675</v>
      </c>
      <c r="M22" s="104">
        <v>67500</v>
      </c>
      <c r="N22" s="105" t="s">
        <v>146</v>
      </c>
      <c r="O22" s="106">
        <v>44767</v>
      </c>
      <c r="P22" s="106">
        <v>44769</v>
      </c>
      <c r="Q22" s="105" t="s">
        <v>139</v>
      </c>
      <c r="R22" s="105">
        <v>1</v>
      </c>
    </row>
    <row r="23" spans="1:18">
      <c r="A23" s="103">
        <v>185</v>
      </c>
      <c r="B23" s="104">
        <v>38.99</v>
      </c>
      <c r="C23" s="104">
        <v>64000</v>
      </c>
      <c r="D23" s="105">
        <v>66</v>
      </c>
      <c r="E23" s="105">
        <v>2</v>
      </c>
      <c r="F23" s="105" t="s">
        <v>106</v>
      </c>
      <c r="G23" s="105" t="s">
        <v>107</v>
      </c>
      <c r="H23" s="104">
        <v>2495360</v>
      </c>
      <c r="I23" s="106">
        <v>44767</v>
      </c>
      <c r="J23" s="107">
        <v>0</v>
      </c>
      <c r="K23" s="105" t="s">
        <v>108</v>
      </c>
      <c r="L23" s="104">
        <v>2495360</v>
      </c>
      <c r="M23" s="104">
        <v>64000</v>
      </c>
      <c r="N23" s="105" t="s">
        <v>147</v>
      </c>
      <c r="O23" s="106">
        <v>44767</v>
      </c>
      <c r="P23" s="106">
        <v>44769</v>
      </c>
      <c r="Q23" s="105" t="s">
        <v>137</v>
      </c>
      <c r="R23" s="105">
        <v>1</v>
      </c>
    </row>
    <row r="24" spans="1:18">
      <c r="A24" s="103">
        <v>188</v>
      </c>
      <c r="B24" s="104">
        <v>40.81</v>
      </c>
      <c r="C24" s="104">
        <v>66800</v>
      </c>
      <c r="D24" s="105">
        <v>67</v>
      </c>
      <c r="E24" s="105">
        <v>1</v>
      </c>
      <c r="F24" s="105" t="s">
        <v>125</v>
      </c>
      <c r="G24" s="105" t="s">
        <v>107</v>
      </c>
      <c r="H24" s="104">
        <v>2726108</v>
      </c>
      <c r="I24" s="106">
        <v>44767</v>
      </c>
      <c r="J24" s="107">
        <v>0</v>
      </c>
      <c r="K24" s="105" t="s">
        <v>108</v>
      </c>
      <c r="L24" s="104">
        <v>2726108</v>
      </c>
      <c r="M24" s="104">
        <v>66800</v>
      </c>
      <c r="N24" s="105" t="s">
        <v>148</v>
      </c>
      <c r="O24" s="106">
        <v>44767</v>
      </c>
      <c r="P24" s="106">
        <v>44769</v>
      </c>
      <c r="Q24" s="105" t="s">
        <v>143</v>
      </c>
      <c r="R24" s="105">
        <v>1</v>
      </c>
    </row>
    <row r="25" spans="1:18">
      <c r="A25" s="103">
        <v>189</v>
      </c>
      <c r="B25" s="104">
        <v>38.99</v>
      </c>
      <c r="C25" s="104">
        <v>63300</v>
      </c>
      <c r="D25" s="105">
        <v>68</v>
      </c>
      <c r="E25" s="105">
        <v>2</v>
      </c>
      <c r="F25" s="105" t="s">
        <v>106</v>
      </c>
      <c r="G25" s="105" t="s">
        <v>107</v>
      </c>
      <c r="H25" s="104">
        <v>2468067</v>
      </c>
      <c r="I25" s="106">
        <v>44767</v>
      </c>
      <c r="J25" s="107">
        <v>0</v>
      </c>
      <c r="K25" s="105" t="s">
        <v>108</v>
      </c>
      <c r="L25" s="104">
        <v>2468067</v>
      </c>
      <c r="M25" s="104">
        <v>63300</v>
      </c>
      <c r="N25" s="105" t="s">
        <v>149</v>
      </c>
      <c r="O25" s="106">
        <v>44767</v>
      </c>
      <c r="P25" s="106">
        <v>44769</v>
      </c>
      <c r="Q25" s="105" t="s">
        <v>141</v>
      </c>
      <c r="R25" s="105">
        <v>1</v>
      </c>
    </row>
    <row r="26" spans="1:18">
      <c r="A26" s="103">
        <v>196</v>
      </c>
      <c r="B26" s="104">
        <v>40.81</v>
      </c>
      <c r="C26" s="104">
        <v>66800</v>
      </c>
      <c r="D26" s="105">
        <v>69</v>
      </c>
      <c r="E26" s="105">
        <v>1</v>
      </c>
      <c r="F26" s="105" t="s">
        <v>125</v>
      </c>
      <c r="G26" s="105" t="s">
        <v>107</v>
      </c>
      <c r="H26" s="104">
        <v>2726108</v>
      </c>
      <c r="I26" s="106">
        <v>44767</v>
      </c>
      <c r="J26" s="107">
        <v>0</v>
      </c>
      <c r="K26" s="105" t="s">
        <v>108</v>
      </c>
      <c r="L26" s="104">
        <v>2726108</v>
      </c>
      <c r="M26" s="104">
        <v>66800</v>
      </c>
      <c r="N26" s="105" t="s">
        <v>150</v>
      </c>
      <c r="O26" s="106">
        <v>44767</v>
      </c>
      <c r="P26" s="106">
        <v>44769</v>
      </c>
      <c r="Q26" s="105" t="s">
        <v>143</v>
      </c>
      <c r="R26" s="105">
        <v>1</v>
      </c>
    </row>
    <row r="27" spans="1:18">
      <c r="A27" s="103">
        <v>225</v>
      </c>
      <c r="B27" s="104">
        <v>37.29</v>
      </c>
      <c r="C27" s="104">
        <v>67500</v>
      </c>
      <c r="D27" s="105">
        <v>70</v>
      </c>
      <c r="E27" s="105">
        <v>1</v>
      </c>
      <c r="F27" s="105" t="s">
        <v>125</v>
      </c>
      <c r="G27" s="105" t="s">
        <v>107</v>
      </c>
      <c r="H27" s="104">
        <v>2517075</v>
      </c>
      <c r="I27" s="106">
        <v>44767</v>
      </c>
      <c r="J27" s="107">
        <v>0</v>
      </c>
      <c r="K27" s="105" t="s">
        <v>108</v>
      </c>
      <c r="L27" s="104">
        <v>2517075</v>
      </c>
      <c r="M27" s="104">
        <v>67500</v>
      </c>
      <c r="N27" s="105" t="s">
        <v>151</v>
      </c>
      <c r="O27" s="106">
        <v>44767</v>
      </c>
      <c r="P27" s="106">
        <v>44769</v>
      </c>
      <c r="Q27" s="105" t="s">
        <v>152</v>
      </c>
      <c r="R27" s="105">
        <v>1</v>
      </c>
    </row>
    <row r="28" spans="1:18">
      <c r="A28" s="103">
        <v>234</v>
      </c>
      <c r="B28" s="104">
        <v>37.29</v>
      </c>
      <c r="C28" s="104">
        <v>67500</v>
      </c>
      <c r="D28" s="105">
        <v>71</v>
      </c>
      <c r="E28" s="105">
        <v>1</v>
      </c>
      <c r="F28" s="105" t="s">
        <v>125</v>
      </c>
      <c r="G28" s="105" t="s">
        <v>107</v>
      </c>
      <c r="H28" s="104">
        <v>2517075</v>
      </c>
      <c r="I28" s="106">
        <v>44767</v>
      </c>
      <c r="J28" s="107">
        <v>0</v>
      </c>
      <c r="K28" s="105" t="s">
        <v>108</v>
      </c>
      <c r="L28" s="104">
        <v>2517075</v>
      </c>
      <c r="M28" s="104">
        <v>67500</v>
      </c>
      <c r="N28" s="105" t="s">
        <v>153</v>
      </c>
      <c r="O28" s="106">
        <v>44767</v>
      </c>
      <c r="P28" s="106">
        <v>44769</v>
      </c>
      <c r="Q28" s="105" t="s">
        <v>152</v>
      </c>
      <c r="R28" s="105">
        <v>1</v>
      </c>
    </row>
    <row r="29" spans="1:18">
      <c r="A29" s="103">
        <v>240</v>
      </c>
      <c r="B29" s="104">
        <v>62.17</v>
      </c>
      <c r="C29" s="104">
        <v>58600</v>
      </c>
      <c r="D29" s="105">
        <v>72</v>
      </c>
      <c r="E29" s="105">
        <v>3</v>
      </c>
      <c r="F29" s="105" t="s">
        <v>154</v>
      </c>
      <c r="G29" s="105" t="s">
        <v>107</v>
      </c>
      <c r="H29" s="104">
        <v>3643162</v>
      </c>
      <c r="I29" s="106">
        <v>44767</v>
      </c>
      <c r="J29" s="107">
        <v>0</v>
      </c>
      <c r="K29" s="105" t="s">
        <v>108</v>
      </c>
      <c r="L29" s="104">
        <v>3643162</v>
      </c>
      <c r="M29" s="104">
        <v>58600</v>
      </c>
      <c r="N29" s="105" t="s">
        <v>155</v>
      </c>
      <c r="O29" s="106">
        <v>44767</v>
      </c>
      <c r="P29" s="106">
        <v>44769</v>
      </c>
      <c r="Q29" s="105" t="s">
        <v>156</v>
      </c>
      <c r="R29" s="105">
        <v>1</v>
      </c>
    </row>
    <row r="30" spans="1:18">
      <c r="A30" s="103">
        <v>243</v>
      </c>
      <c r="B30" s="104">
        <v>37.29</v>
      </c>
      <c r="C30" s="104">
        <v>66800</v>
      </c>
      <c r="D30" s="105">
        <v>73</v>
      </c>
      <c r="E30" s="105">
        <v>1</v>
      </c>
      <c r="F30" s="105" t="s">
        <v>125</v>
      </c>
      <c r="G30" s="105" t="s">
        <v>107</v>
      </c>
      <c r="H30" s="104">
        <v>2490972</v>
      </c>
      <c r="I30" s="106">
        <v>44767</v>
      </c>
      <c r="J30" s="107">
        <v>0</v>
      </c>
      <c r="K30" s="105" t="s">
        <v>108</v>
      </c>
      <c r="L30" s="104">
        <v>2490972</v>
      </c>
      <c r="M30" s="104">
        <v>66800</v>
      </c>
      <c r="N30" s="105" t="s">
        <v>157</v>
      </c>
      <c r="O30" s="106">
        <v>44767</v>
      </c>
      <c r="P30" s="106">
        <v>44769</v>
      </c>
      <c r="Q30" s="105" t="s">
        <v>158</v>
      </c>
      <c r="R30" s="105">
        <v>1</v>
      </c>
    </row>
    <row r="31" spans="1:18">
      <c r="A31" s="103">
        <v>249</v>
      </c>
      <c r="B31" s="104">
        <v>62.17</v>
      </c>
      <c r="C31" s="104">
        <v>57900</v>
      </c>
      <c r="D31" s="105">
        <v>74</v>
      </c>
      <c r="E31" s="105">
        <v>3</v>
      </c>
      <c r="F31" s="105" t="s">
        <v>154</v>
      </c>
      <c r="G31" s="105" t="s">
        <v>107</v>
      </c>
      <c r="H31" s="104">
        <v>3599643</v>
      </c>
      <c r="I31" s="106">
        <v>44767</v>
      </c>
      <c r="J31" s="107">
        <v>0</v>
      </c>
      <c r="K31" s="105" t="s">
        <v>108</v>
      </c>
      <c r="L31" s="104">
        <v>3599643</v>
      </c>
      <c r="M31" s="104">
        <v>57900</v>
      </c>
      <c r="N31" s="105" t="s">
        <v>159</v>
      </c>
      <c r="O31" s="106">
        <v>44767</v>
      </c>
      <c r="P31" s="106">
        <v>44769</v>
      </c>
      <c r="Q31" s="105" t="s">
        <v>160</v>
      </c>
      <c r="R31" s="105">
        <v>1</v>
      </c>
    </row>
    <row r="32" spans="1:18">
      <c r="A32" s="103">
        <v>261</v>
      </c>
      <c r="B32" s="104">
        <v>37.29</v>
      </c>
      <c r="C32" s="104">
        <v>66800</v>
      </c>
      <c r="D32" s="105">
        <v>75</v>
      </c>
      <c r="E32" s="105">
        <v>1</v>
      </c>
      <c r="F32" s="105" t="s">
        <v>125</v>
      </c>
      <c r="G32" s="105" t="s">
        <v>107</v>
      </c>
      <c r="H32" s="104">
        <v>2490972</v>
      </c>
      <c r="I32" s="106">
        <v>44767</v>
      </c>
      <c r="J32" s="107">
        <v>0</v>
      </c>
      <c r="K32" s="105" t="s">
        <v>108</v>
      </c>
      <c r="L32" s="104">
        <v>2490972</v>
      </c>
      <c r="M32" s="104">
        <v>66800</v>
      </c>
      <c r="N32" s="105" t="s">
        <v>161</v>
      </c>
      <c r="O32" s="106">
        <v>44767</v>
      </c>
      <c r="P32" s="106">
        <v>44769</v>
      </c>
      <c r="Q32" s="105" t="s">
        <v>158</v>
      </c>
      <c r="R32" s="105">
        <v>1</v>
      </c>
    </row>
    <row r="33" spans="1:18">
      <c r="A33" s="103">
        <v>267</v>
      </c>
      <c r="B33" s="104">
        <v>62.17</v>
      </c>
      <c r="C33" s="104">
        <v>57900</v>
      </c>
      <c r="D33" s="105">
        <v>76</v>
      </c>
      <c r="E33" s="105">
        <v>3</v>
      </c>
      <c r="F33" s="105" t="s">
        <v>154</v>
      </c>
      <c r="G33" s="105" t="s">
        <v>107</v>
      </c>
      <c r="H33" s="104">
        <v>3599643</v>
      </c>
      <c r="I33" s="106">
        <v>44767</v>
      </c>
      <c r="J33" s="107">
        <v>0</v>
      </c>
      <c r="K33" s="105" t="s">
        <v>108</v>
      </c>
      <c r="L33" s="104">
        <v>3599643</v>
      </c>
      <c r="M33" s="104">
        <v>57900</v>
      </c>
      <c r="N33" s="105" t="s">
        <v>162</v>
      </c>
      <c r="O33" s="106">
        <v>44767</v>
      </c>
      <c r="P33" s="106">
        <v>44769</v>
      </c>
      <c r="Q33" s="105" t="s">
        <v>160</v>
      </c>
      <c r="R33" s="105">
        <v>1</v>
      </c>
    </row>
    <row r="34" spans="1:18">
      <c r="A34" s="103">
        <v>316</v>
      </c>
      <c r="B34" s="104">
        <v>42.34</v>
      </c>
      <c r="C34" s="104">
        <v>63300</v>
      </c>
      <c r="D34" s="105">
        <v>46</v>
      </c>
      <c r="E34" s="105">
        <v>2</v>
      </c>
      <c r="F34" s="105" t="s">
        <v>106</v>
      </c>
      <c r="G34" s="105" t="s">
        <v>107</v>
      </c>
      <c r="H34" s="104">
        <v>2680122</v>
      </c>
      <c r="I34" s="106">
        <v>44767</v>
      </c>
      <c r="J34" s="107">
        <v>0</v>
      </c>
      <c r="K34" s="105" t="s">
        <v>108</v>
      </c>
      <c r="L34" s="104">
        <v>2680122</v>
      </c>
      <c r="M34" s="104">
        <v>63300</v>
      </c>
      <c r="N34" s="105" t="s">
        <v>163</v>
      </c>
      <c r="O34" s="106">
        <v>44767</v>
      </c>
      <c r="P34" s="106">
        <v>44769</v>
      </c>
      <c r="Q34" s="105" t="s">
        <v>164</v>
      </c>
      <c r="R34" s="105">
        <v>1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  <pageSetUpPr fitToPage="1"/>
  </sheetPr>
  <dimension ref="A1:CJ100"/>
  <sheetViews>
    <sheetView tabSelected="1" zoomScale="55" zoomScaleNormal="55" workbookViewId="0">
      <pane xSplit="6" ySplit="5" topLeftCell="BD81" activePane="bottomRight" state="frozen"/>
      <selection pane="topRight" activeCell="G1" sqref="G1"/>
      <selection pane="bottomLeft" activeCell="A6" sqref="A6"/>
      <selection pane="bottomRight" activeCell="BD89" sqref="BD89"/>
    </sheetView>
  </sheetViews>
  <sheetFormatPr defaultColWidth="9.140625" defaultRowHeight="19.5" outlineLevelCol="1"/>
  <cols>
    <col min="1" max="1" width="6.85546875" style="111" customWidth="1"/>
    <col min="2" max="2" width="24.7109375" style="111" customWidth="1"/>
    <col min="3" max="3" width="28.7109375" style="111" customWidth="1"/>
    <col min="4" max="4" width="19.42578125" style="111" customWidth="1"/>
    <col min="5" max="5" width="25.28515625" style="111" customWidth="1"/>
    <col min="6" max="6" width="18.140625" style="111" customWidth="1" collapsed="1"/>
    <col min="7" max="9" width="21.28515625" style="110" hidden="1" customWidth="1" outlineLevel="1"/>
    <col min="10" max="10" width="21.28515625" style="111" hidden="1" customWidth="1"/>
    <col min="11" max="22" width="21.28515625" style="110" hidden="1" customWidth="1" outlineLevel="1"/>
    <col min="23" max="23" width="24.140625" style="112" hidden="1" customWidth="1"/>
    <col min="24" max="35" width="21.28515625" style="110" customWidth="1" outlineLevel="1"/>
    <col min="36" max="36" width="21.28515625" style="111" customWidth="1"/>
    <col min="37" max="44" width="26.5703125" style="110" customWidth="1" outlineLevel="1"/>
    <col min="45" max="48" width="29.42578125" style="110" customWidth="1" outlineLevel="1"/>
    <col min="49" max="49" width="21.28515625" style="111" customWidth="1"/>
    <col min="50" max="61" width="29.42578125" style="110" customWidth="1" outlineLevel="1"/>
    <col min="62" max="62" width="21.28515625" style="111" customWidth="1"/>
    <col min="63" max="71" width="29.42578125" style="110" customWidth="1" outlineLevel="1"/>
    <col min="72" max="74" width="26.5703125" style="110" customWidth="1" outlineLevel="1"/>
    <col min="75" max="75" width="21.28515625" style="111" customWidth="1"/>
    <col min="76" max="84" width="26.5703125" style="110" bestFit="1" customWidth="1" outlineLevel="1"/>
    <col min="85" max="87" width="29.42578125" style="110" bestFit="1" customWidth="1" outlineLevel="1"/>
    <col min="88" max="88" width="21.28515625" style="111" customWidth="1"/>
    <col min="89" max="16384" width="9.140625" style="110"/>
  </cols>
  <sheetData>
    <row r="1" spans="1:88" ht="13.9" customHeight="1">
      <c r="A1" s="302" t="s">
        <v>165</v>
      </c>
      <c r="B1" s="303"/>
      <c r="C1" s="303"/>
      <c r="D1" s="303"/>
      <c r="E1" s="303"/>
      <c r="F1" s="303"/>
      <c r="G1" s="303"/>
      <c r="H1" s="303"/>
      <c r="I1" s="303"/>
      <c r="J1" s="30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220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4"/>
      <c r="AX1" s="113"/>
      <c r="AY1" s="113"/>
      <c r="AZ1" s="113"/>
      <c r="BA1" s="113"/>
      <c r="BB1" s="113"/>
      <c r="BC1" s="113"/>
      <c r="BD1" s="113"/>
      <c r="BE1" s="113"/>
      <c r="BF1" s="113"/>
      <c r="BG1" s="113"/>
      <c r="BH1" s="113"/>
      <c r="BI1" s="113"/>
      <c r="BJ1" s="114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4"/>
      <c r="BX1" s="113"/>
      <c r="BY1" s="113"/>
      <c r="BZ1" s="113"/>
      <c r="CA1" s="113"/>
      <c r="CB1" s="113"/>
      <c r="CC1" s="113"/>
      <c r="CD1" s="113"/>
      <c r="CE1" s="113"/>
      <c r="CF1" s="113"/>
      <c r="CG1" s="113"/>
      <c r="CH1" s="113"/>
      <c r="CI1" s="113"/>
      <c r="CJ1" s="114"/>
    </row>
    <row r="2" spans="1:88" ht="13.9" customHeight="1">
      <c r="A2" s="304"/>
      <c r="B2" s="305"/>
      <c r="C2" s="305"/>
      <c r="D2" s="305"/>
      <c r="E2" s="305"/>
      <c r="F2" s="305"/>
      <c r="G2" s="305"/>
      <c r="H2" s="305"/>
      <c r="I2" s="305"/>
      <c r="J2" s="30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6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6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115"/>
      <c r="BW2" s="116"/>
      <c r="BX2" s="115"/>
      <c r="BY2" s="115"/>
      <c r="BZ2" s="115"/>
      <c r="CA2" s="115"/>
      <c r="CB2" s="115"/>
      <c r="CC2" s="115"/>
      <c r="CD2" s="115"/>
      <c r="CE2" s="115"/>
      <c r="CF2" s="115"/>
      <c r="CG2" s="115"/>
      <c r="CH2" s="115"/>
      <c r="CI2" s="115"/>
      <c r="CJ2" s="116"/>
    </row>
    <row r="3" spans="1:88" s="117" customFormat="1" ht="23.45" customHeight="1">
      <c r="A3" s="306" t="s">
        <v>166</v>
      </c>
      <c r="B3" s="306" t="s">
        <v>0</v>
      </c>
      <c r="C3" s="306" t="s">
        <v>167</v>
      </c>
      <c r="D3" s="306" t="s">
        <v>168</v>
      </c>
      <c r="E3" s="306" t="s">
        <v>169</v>
      </c>
      <c r="F3" s="306" t="s">
        <v>3</v>
      </c>
      <c r="G3" s="118">
        <v>45200</v>
      </c>
      <c r="H3" s="118">
        <v>45231</v>
      </c>
      <c r="I3" s="118">
        <v>45261</v>
      </c>
      <c r="J3" s="119">
        <v>2023</v>
      </c>
      <c r="K3" s="118">
        <v>45292</v>
      </c>
      <c r="L3" s="118">
        <v>45323</v>
      </c>
      <c r="M3" s="118">
        <v>45352</v>
      </c>
      <c r="N3" s="118">
        <v>45383</v>
      </c>
      <c r="O3" s="118">
        <v>45413</v>
      </c>
      <c r="P3" s="118">
        <v>45444</v>
      </c>
      <c r="Q3" s="118">
        <v>45474</v>
      </c>
      <c r="R3" s="118">
        <v>45505</v>
      </c>
      <c r="S3" s="118">
        <v>45536</v>
      </c>
      <c r="T3" s="118">
        <v>45566</v>
      </c>
      <c r="U3" s="118">
        <v>45597</v>
      </c>
      <c r="V3" s="118">
        <v>45627</v>
      </c>
      <c r="W3" s="119">
        <v>2024</v>
      </c>
      <c r="X3" s="118">
        <v>45658</v>
      </c>
      <c r="Y3" s="118">
        <v>45689</v>
      </c>
      <c r="Z3" s="118">
        <v>45717</v>
      </c>
      <c r="AA3" s="118">
        <v>45748</v>
      </c>
      <c r="AB3" s="118">
        <v>45778</v>
      </c>
      <c r="AC3" s="118">
        <v>45809</v>
      </c>
      <c r="AD3" s="118">
        <v>45839</v>
      </c>
      <c r="AE3" s="118">
        <v>45870</v>
      </c>
      <c r="AF3" s="118">
        <v>45901</v>
      </c>
      <c r="AG3" s="118">
        <v>45931</v>
      </c>
      <c r="AH3" s="118">
        <v>45962</v>
      </c>
      <c r="AI3" s="118">
        <v>45992</v>
      </c>
      <c r="AJ3" s="119">
        <v>2025</v>
      </c>
      <c r="AK3" s="118">
        <v>46023</v>
      </c>
      <c r="AL3" s="118">
        <v>46054</v>
      </c>
      <c r="AM3" s="118">
        <v>46082</v>
      </c>
      <c r="AN3" s="118">
        <v>46113</v>
      </c>
      <c r="AO3" s="118">
        <v>46143</v>
      </c>
      <c r="AP3" s="118">
        <v>46174</v>
      </c>
      <c r="AQ3" s="118">
        <v>46204</v>
      </c>
      <c r="AR3" s="118">
        <v>46235</v>
      </c>
      <c r="AS3" s="118">
        <v>46266</v>
      </c>
      <c r="AT3" s="118">
        <v>46296</v>
      </c>
      <c r="AU3" s="118">
        <v>46327</v>
      </c>
      <c r="AV3" s="118">
        <v>46357</v>
      </c>
      <c r="AW3" s="119">
        <v>2026</v>
      </c>
      <c r="AX3" s="118">
        <v>46388</v>
      </c>
      <c r="AY3" s="118">
        <v>46419</v>
      </c>
      <c r="AZ3" s="118">
        <v>46447</v>
      </c>
      <c r="BA3" s="118">
        <v>46478</v>
      </c>
      <c r="BB3" s="118">
        <v>46508</v>
      </c>
      <c r="BC3" s="118">
        <v>46539</v>
      </c>
      <c r="BD3" s="118">
        <v>46569</v>
      </c>
      <c r="BE3" s="118">
        <v>46600</v>
      </c>
      <c r="BF3" s="118">
        <v>46631</v>
      </c>
      <c r="BG3" s="118">
        <v>46661</v>
      </c>
      <c r="BH3" s="118">
        <v>46692</v>
      </c>
      <c r="BI3" s="118">
        <v>46722</v>
      </c>
      <c r="BJ3" s="119">
        <v>2027</v>
      </c>
      <c r="BK3" s="118">
        <v>46753</v>
      </c>
      <c r="BL3" s="118">
        <v>46784</v>
      </c>
      <c r="BM3" s="118">
        <v>46813</v>
      </c>
      <c r="BN3" s="118">
        <v>46844</v>
      </c>
      <c r="BO3" s="118">
        <v>46874</v>
      </c>
      <c r="BP3" s="118">
        <v>46905</v>
      </c>
      <c r="BQ3" s="118">
        <v>46935</v>
      </c>
      <c r="BR3" s="118">
        <v>46966</v>
      </c>
      <c r="BS3" s="118">
        <v>46997</v>
      </c>
      <c r="BT3" s="118">
        <v>47027</v>
      </c>
      <c r="BU3" s="118">
        <v>47058</v>
      </c>
      <c r="BV3" s="118">
        <v>47088</v>
      </c>
      <c r="BW3" s="119">
        <v>2028</v>
      </c>
      <c r="BX3" s="118">
        <v>47119</v>
      </c>
      <c r="BY3" s="118">
        <v>47150</v>
      </c>
      <c r="BZ3" s="118">
        <v>47178</v>
      </c>
      <c r="CA3" s="118">
        <v>47209</v>
      </c>
      <c r="CB3" s="118">
        <v>47239</v>
      </c>
      <c r="CC3" s="118">
        <v>47270</v>
      </c>
      <c r="CD3" s="118">
        <v>47300</v>
      </c>
      <c r="CE3" s="118">
        <v>47331</v>
      </c>
      <c r="CF3" s="118">
        <v>47362</v>
      </c>
      <c r="CG3" s="118">
        <v>47392</v>
      </c>
      <c r="CH3" s="118">
        <v>47423</v>
      </c>
      <c r="CI3" s="118">
        <v>47453</v>
      </c>
      <c r="CJ3" s="119">
        <v>2029</v>
      </c>
    </row>
    <row r="4" spans="1:88" s="117" customFormat="1" ht="27.6" customHeight="1">
      <c r="A4" s="306"/>
      <c r="B4" s="306"/>
      <c r="C4" s="306"/>
      <c r="D4" s="306"/>
      <c r="E4" s="306"/>
      <c r="F4" s="306"/>
      <c r="G4" s="298" t="s">
        <v>170</v>
      </c>
      <c r="H4" s="298"/>
      <c r="I4" s="298"/>
      <c r="J4" s="307">
        <f>J6+25629+1062</f>
        <v>45188</v>
      </c>
      <c r="K4" s="298" t="s">
        <v>170</v>
      </c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307">
        <f>J4+W6</f>
        <v>55406</v>
      </c>
      <c r="X4" s="298" t="s">
        <v>170</v>
      </c>
      <c r="Y4" s="298"/>
      <c r="Z4" s="298"/>
      <c r="AA4" s="298"/>
      <c r="AB4" s="298"/>
      <c r="AC4" s="298"/>
      <c r="AD4" s="298"/>
      <c r="AE4" s="298"/>
      <c r="AF4" s="298"/>
      <c r="AG4" s="298"/>
      <c r="AH4" s="298"/>
      <c r="AI4" s="298"/>
      <c r="AJ4" s="120">
        <f>W4+AJ6</f>
        <v>83537</v>
      </c>
      <c r="AK4" s="298" t="s">
        <v>170</v>
      </c>
      <c r="AL4" s="298"/>
      <c r="AM4" s="298"/>
      <c r="AN4" s="298"/>
      <c r="AO4" s="298"/>
      <c r="AP4" s="298"/>
      <c r="AQ4" s="298"/>
      <c r="AR4" s="298"/>
      <c r="AS4" s="298"/>
      <c r="AT4" s="298"/>
      <c r="AU4" s="298"/>
      <c r="AV4" s="298"/>
      <c r="AW4" s="120">
        <f>AJ4+AW6</f>
        <v>121008.23999999999</v>
      </c>
      <c r="AX4" s="298" t="s">
        <v>170</v>
      </c>
      <c r="AY4" s="298"/>
      <c r="AZ4" s="298"/>
      <c r="BA4" s="298"/>
      <c r="BB4" s="298"/>
      <c r="BC4" s="298"/>
      <c r="BD4" s="298"/>
      <c r="BE4" s="298"/>
      <c r="BF4" s="298"/>
      <c r="BG4" s="298"/>
      <c r="BH4" s="298"/>
      <c r="BI4" s="298"/>
      <c r="BJ4" s="120">
        <f>AW4+BJ6</f>
        <v>171358.69999999998</v>
      </c>
      <c r="BK4" s="298" t="s">
        <v>170</v>
      </c>
      <c r="BL4" s="298"/>
      <c r="BM4" s="298"/>
      <c r="BN4" s="298"/>
      <c r="BO4" s="298"/>
      <c r="BP4" s="298"/>
      <c r="BQ4" s="298"/>
      <c r="BR4" s="298"/>
      <c r="BS4" s="298"/>
      <c r="BT4" s="298"/>
      <c r="BU4" s="298"/>
      <c r="BV4" s="298"/>
      <c r="BW4" s="120">
        <f>BJ4+BW6</f>
        <v>286260.68</v>
      </c>
      <c r="BX4" s="298" t="s">
        <v>170</v>
      </c>
      <c r="BY4" s="298"/>
      <c r="BZ4" s="298"/>
      <c r="CA4" s="298"/>
      <c r="CB4" s="298"/>
      <c r="CC4" s="298"/>
      <c r="CD4" s="298"/>
      <c r="CE4" s="298"/>
      <c r="CF4" s="298"/>
      <c r="CG4" s="298"/>
      <c r="CH4" s="298"/>
      <c r="CI4" s="298"/>
      <c r="CJ4" s="120">
        <f>BW4+CJ6</f>
        <v>351481.4</v>
      </c>
    </row>
    <row r="5" spans="1:88" s="117" customFormat="1" ht="27" customHeight="1">
      <c r="A5" s="306"/>
      <c r="B5" s="306"/>
      <c r="C5" s="306"/>
      <c r="D5" s="306"/>
      <c r="E5" s="306"/>
      <c r="F5" s="306"/>
      <c r="G5" s="298"/>
      <c r="H5" s="298"/>
      <c r="I5" s="298"/>
      <c r="J5" s="307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307"/>
      <c r="X5" s="298"/>
      <c r="Y5" s="298"/>
      <c r="Z5" s="298"/>
      <c r="AA5" s="298"/>
      <c r="AB5" s="298"/>
      <c r="AC5" s="298"/>
      <c r="AD5" s="298"/>
      <c r="AE5" s="298"/>
      <c r="AF5" s="298"/>
      <c r="AG5" s="298"/>
      <c r="AH5" s="298"/>
      <c r="AI5" s="298"/>
      <c r="AJ5" s="120"/>
      <c r="AK5" s="299"/>
      <c r="AL5" s="300"/>
      <c r="AM5" s="300"/>
      <c r="AN5" s="300"/>
      <c r="AO5" s="300"/>
      <c r="AP5" s="300"/>
      <c r="AQ5" s="300"/>
      <c r="AR5" s="300"/>
      <c r="AS5" s="300"/>
      <c r="AT5" s="300"/>
      <c r="AU5" s="300"/>
      <c r="AV5" s="301"/>
      <c r="AW5" s="120"/>
      <c r="AX5" s="299"/>
      <c r="AY5" s="300"/>
      <c r="AZ5" s="300"/>
      <c r="BA5" s="300"/>
      <c r="BB5" s="300"/>
      <c r="BC5" s="300"/>
      <c r="BD5" s="300"/>
      <c r="BE5" s="300"/>
      <c r="BF5" s="300"/>
      <c r="BG5" s="300"/>
      <c r="BH5" s="300"/>
      <c r="BI5" s="301"/>
      <c r="BJ5" s="120"/>
      <c r="BK5" s="299"/>
      <c r="BL5" s="300"/>
      <c r="BM5" s="300"/>
      <c r="BN5" s="300"/>
      <c r="BO5" s="300"/>
      <c r="BP5" s="300"/>
      <c r="BQ5" s="300"/>
      <c r="BR5" s="300"/>
      <c r="BS5" s="300"/>
      <c r="BT5" s="300"/>
      <c r="BU5" s="300"/>
      <c r="BV5" s="301"/>
      <c r="BW5" s="120"/>
      <c r="BX5" s="299"/>
      <c r="BY5" s="300"/>
      <c r="BZ5" s="300"/>
      <c r="CA5" s="300"/>
      <c r="CB5" s="300"/>
      <c r="CC5" s="300"/>
      <c r="CD5" s="300"/>
      <c r="CE5" s="300"/>
      <c r="CF5" s="300"/>
      <c r="CG5" s="300"/>
      <c r="CH5" s="300"/>
      <c r="CI5" s="301"/>
      <c r="CJ5" s="120"/>
    </row>
    <row r="6" spans="1:88" s="117" customFormat="1" ht="39.6" customHeight="1">
      <c r="A6" s="306"/>
      <c r="B6" s="306"/>
      <c r="C6" s="306"/>
      <c r="D6" s="306"/>
      <c r="E6" s="306"/>
      <c r="F6" s="306"/>
      <c r="G6" s="298" t="s">
        <v>171</v>
      </c>
      <c r="H6" s="298"/>
      <c r="I6" s="298"/>
      <c r="J6" s="120">
        <f>J7+J9</f>
        <v>18497</v>
      </c>
      <c r="K6" s="298" t="s">
        <v>172</v>
      </c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121">
        <f xml:space="preserve"> SUM(W7:W86)</f>
        <v>10218</v>
      </c>
      <c r="X6" s="298" t="s">
        <v>173</v>
      </c>
      <c r="Y6" s="298"/>
      <c r="Z6" s="298"/>
      <c r="AA6" s="298"/>
      <c r="AB6" s="298"/>
      <c r="AC6" s="298"/>
      <c r="AD6" s="298"/>
      <c r="AE6" s="298"/>
      <c r="AF6" s="298"/>
      <c r="AG6" s="298"/>
      <c r="AH6" s="298"/>
      <c r="AI6" s="298"/>
      <c r="AJ6" s="121">
        <f xml:space="preserve"> SUM(AJ7:AJ86)</f>
        <v>28131</v>
      </c>
      <c r="AK6" s="298" t="s">
        <v>174</v>
      </c>
      <c r="AL6" s="298"/>
      <c r="AM6" s="298"/>
      <c r="AN6" s="298"/>
      <c r="AO6" s="298"/>
      <c r="AP6" s="298"/>
      <c r="AQ6" s="298"/>
      <c r="AR6" s="298"/>
      <c r="AS6" s="298"/>
      <c r="AT6" s="298"/>
      <c r="AU6" s="298"/>
      <c r="AV6" s="298"/>
      <c r="AW6" s="121">
        <f xml:space="preserve"> SUM(AW7:AW86)</f>
        <v>37471.24</v>
      </c>
      <c r="AX6" s="308" t="s">
        <v>204</v>
      </c>
      <c r="AY6" s="298"/>
      <c r="AZ6" s="298"/>
      <c r="BA6" s="298"/>
      <c r="BB6" s="298"/>
      <c r="BC6" s="298"/>
      <c r="BD6" s="298"/>
      <c r="BE6" s="298"/>
      <c r="BF6" s="298"/>
      <c r="BG6" s="298"/>
      <c r="BH6" s="298"/>
      <c r="BI6" s="298"/>
      <c r="BJ6" s="121">
        <f xml:space="preserve"> SUM(BJ7:BJ86)</f>
        <v>50350.46</v>
      </c>
      <c r="BK6" s="308" t="s">
        <v>209</v>
      </c>
      <c r="BL6" s="298"/>
      <c r="BM6" s="298"/>
      <c r="BN6" s="298"/>
      <c r="BO6" s="298"/>
      <c r="BP6" s="298"/>
      <c r="BQ6" s="298"/>
      <c r="BR6" s="298"/>
      <c r="BS6" s="298"/>
      <c r="BT6" s="298"/>
      <c r="BU6" s="298"/>
      <c r="BV6" s="298"/>
      <c r="BW6" s="121">
        <f xml:space="preserve"> SUM(BW7:BW86)</f>
        <v>114901.98</v>
      </c>
      <c r="BX6" s="308" t="s">
        <v>210</v>
      </c>
      <c r="BY6" s="298"/>
      <c r="BZ6" s="298"/>
      <c r="CA6" s="298"/>
      <c r="CB6" s="298"/>
      <c r="CC6" s="298"/>
      <c r="CD6" s="298"/>
      <c r="CE6" s="298"/>
      <c r="CF6" s="298"/>
      <c r="CG6" s="298"/>
      <c r="CH6" s="298"/>
      <c r="CI6" s="298"/>
      <c r="CJ6" s="121">
        <f xml:space="preserve"> SUM(CJ7:CJ86)</f>
        <v>65220.72</v>
      </c>
    </row>
    <row r="7" spans="1:88" ht="82.5" hidden="1" customHeight="1">
      <c r="A7" s="279">
        <v>1</v>
      </c>
      <c r="B7" s="279" t="s">
        <v>175</v>
      </c>
      <c r="C7" s="297" t="s">
        <v>232</v>
      </c>
      <c r="D7" s="279">
        <v>6</v>
      </c>
      <c r="E7" s="280">
        <v>18497</v>
      </c>
      <c r="F7" s="281">
        <f>COUNTA(K7:V7,X7:AI7,AK7:AV7,AX7:BI7,BK7:BV7,BX7:CI7)</f>
        <v>0</v>
      </c>
      <c r="G7" s="123">
        <v>1</v>
      </c>
      <c r="H7" s="123">
        <v>1</v>
      </c>
      <c r="I7" s="124">
        <v>1</v>
      </c>
      <c r="J7" s="125">
        <f>E7</f>
        <v>18497</v>
      </c>
      <c r="K7" s="126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222">
        <f>IF(K7="РНВ",$E7,IF(L7="РНВ",$E7,IF(M7="РНВ",$E7,IF(N7="РНВ",$E7,IF(O7="РНВ",$E7,IF(P7="РНВ",$E7,IF(Q7="РНВ",$E7,IF(R7="РНВ",$E7,IF(S7="РНВ",$E7,IF(T7="РНВ",$E7,IF(U7="РНВ",$E7,IF(V7="РНВ",$E7,0))))))))))))</f>
        <v>0</v>
      </c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222">
        <f>IF(X7="РНВ",$E7,IF(Y7="РНВ",$E7,IF(Z7="РНВ",$E7,IF(AA7="РНВ",$E7,IF(AB7="РНВ",$E7,IF(AC7="РНВ",$E7,IF(AD7="РНВ",$E7,IF(AE7="РНВ",$E7,IF(AF7="РНВ",$E7,IF(AG7="РНВ",$E7,IF(AH7="РНВ",$E7,IF(AI7="РНВ",$E7,0))))))))))))</f>
        <v>0</v>
      </c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222">
        <f>IF(AK7="РНВ",$E7,IF(AL7="РНВ",$E7,IF(AM7="РНВ",$E7,IF(AN7="РНВ",$E7,IF(AO7="РНВ",$E7,IF(AP7="РНВ",$E7,IF(AQ7="РНВ",$E7,IF(AR7="РНВ",$E7,IF(AS7="РНВ",$E7,IF(AT7="РНВ",$E7,IF(AU7="РНВ",$E7,IF(AV7="РНВ",$E7,0))))))))))))</f>
        <v>0</v>
      </c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222">
        <f>IF(AX7="РНВ",$E7,IF(AY7="РНВ",$E7,IF(AZ7="РНВ",$E7,IF(BA7="РНВ",$E7,IF(BB7="РНВ",$E7,IF(BC7="РНВ",$E7,IF(BD7="РНВ",$E7,IF(BE7="РНВ",$E7,IF(BF7="РНВ",$E7,IF(BG7="РНВ",$E7,IF(BH7="РНВ",$E7,IF(BI7="РНВ",$E7,0))))))))))))</f>
        <v>0</v>
      </c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222">
        <f>IF(BK7="РНВ",$E7,IF(BL7="РНВ",$E7,IF(BM7="РНВ",$E7,IF(BN7="РНВ",$E7,IF(BO7="РНВ",$E7,IF(BP7="РНВ",$E7,IF(BQ7="РНВ",$E7,IF(BR7="РНВ",$E7,IF(BS7="РНВ",$E7,IF(BT7="РНВ",$E7,IF(BU7="РНВ",$E7,IF(BV7="РНВ",$E7,0))))))))))))</f>
        <v>0</v>
      </c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222">
        <f>IF(BX7="РНВ",$E7,IF(BY7="РНВ",$E7,IF(BZ7="РНВ",$E7,IF(CA7="РНВ",$E7,IF(CB7="РНВ",$E7,IF(CC7="РНВ",$E7,IF(CD7="РНВ",$E7,IF(CE7="РНВ",$E7,IF(CF7="РНВ",$E7,IF(CG7="РНВ",$E7,IF(CH7="РНВ",$E7,IF(CI7="РНВ",$E7,0))))))))))))</f>
        <v>0</v>
      </c>
    </row>
    <row r="8" spans="1:88" ht="21" hidden="1" customHeight="1">
      <c r="A8" s="279"/>
      <c r="B8" s="279"/>
      <c r="C8" s="297"/>
      <c r="D8" s="279"/>
      <c r="E8" s="280"/>
      <c r="F8" s="279"/>
      <c r="G8" s="128"/>
      <c r="H8" s="129"/>
      <c r="I8" s="130"/>
      <c r="J8" s="125"/>
      <c r="K8" s="131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25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25"/>
      <c r="AK8" s="242">
        <f>IF(AK7&gt;0,$E7/$F7,0)</f>
        <v>0</v>
      </c>
      <c r="AL8" s="242">
        <f t="shared" ref="AL8:AV8" si="0">IF(AL7&gt;0,$E7/$F7,0)</f>
        <v>0</v>
      </c>
      <c r="AM8" s="242">
        <f t="shared" si="0"/>
        <v>0</v>
      </c>
      <c r="AN8" s="242">
        <f t="shared" si="0"/>
        <v>0</v>
      </c>
      <c r="AO8" s="242">
        <f t="shared" si="0"/>
        <v>0</v>
      </c>
      <c r="AP8" s="242">
        <f t="shared" si="0"/>
        <v>0</v>
      </c>
      <c r="AQ8" s="242">
        <f t="shared" si="0"/>
        <v>0</v>
      </c>
      <c r="AR8" s="242">
        <f t="shared" si="0"/>
        <v>0</v>
      </c>
      <c r="AS8" s="242">
        <f t="shared" si="0"/>
        <v>0</v>
      </c>
      <c r="AT8" s="242">
        <f t="shared" si="0"/>
        <v>0</v>
      </c>
      <c r="AU8" s="242">
        <f t="shared" si="0"/>
        <v>0</v>
      </c>
      <c r="AV8" s="242">
        <f t="shared" si="0"/>
        <v>0</v>
      </c>
      <c r="AW8" s="125"/>
      <c r="AX8" s="242">
        <f>IF(AX7&gt;0,$E7/$F7,0)</f>
        <v>0</v>
      </c>
      <c r="AY8" s="242">
        <f t="shared" ref="AY8" si="1">IF(AY7&gt;0,$E7/$F7,0)</f>
        <v>0</v>
      </c>
      <c r="AZ8" s="242">
        <f t="shared" ref="AZ8" si="2">IF(AZ7&gt;0,$E7/$F7,0)</f>
        <v>0</v>
      </c>
      <c r="BA8" s="242">
        <f t="shared" ref="BA8" si="3">IF(BA7&gt;0,$E7/$F7,0)</f>
        <v>0</v>
      </c>
      <c r="BB8" s="242">
        <f t="shared" ref="BB8" si="4">IF(BB7&gt;0,$E7/$F7,0)</f>
        <v>0</v>
      </c>
      <c r="BC8" s="242">
        <f t="shared" ref="BC8" si="5">IF(BC7&gt;0,$E7/$F7,0)</f>
        <v>0</v>
      </c>
      <c r="BD8" s="242">
        <f t="shared" ref="BD8" si="6">IF(BD7&gt;0,$E7/$F7,0)</f>
        <v>0</v>
      </c>
      <c r="BE8" s="242">
        <f t="shared" ref="BE8" si="7">IF(BE7&gt;0,$E7/$F7,0)</f>
        <v>0</v>
      </c>
      <c r="BF8" s="242">
        <f t="shared" ref="BF8" si="8">IF(BF7&gt;0,$E7/$F7,0)</f>
        <v>0</v>
      </c>
      <c r="BG8" s="242">
        <f t="shared" ref="BG8" si="9">IF(BG7&gt;0,$E7/$F7,0)</f>
        <v>0</v>
      </c>
      <c r="BH8" s="242">
        <f t="shared" ref="BH8" si="10">IF(BH7&gt;0,$E7/$F7,0)</f>
        <v>0</v>
      </c>
      <c r="BI8" s="242">
        <f t="shared" ref="BI8" si="11">IF(BI7&gt;0,$E7/$F7,0)</f>
        <v>0</v>
      </c>
      <c r="BJ8" s="125"/>
      <c r="BK8" s="242">
        <f>IF(BK7&gt;0,$E7/$F7,0)</f>
        <v>0</v>
      </c>
      <c r="BL8" s="242">
        <f t="shared" ref="BL8" si="12">IF(BL7&gt;0,$E7/$F7,0)</f>
        <v>0</v>
      </c>
      <c r="BM8" s="242">
        <f t="shared" ref="BM8" si="13">IF(BM7&gt;0,$E7/$F7,0)</f>
        <v>0</v>
      </c>
      <c r="BN8" s="242">
        <f t="shared" ref="BN8" si="14">IF(BN7&gt;0,$E7/$F7,0)</f>
        <v>0</v>
      </c>
      <c r="BO8" s="242">
        <f t="shared" ref="BO8" si="15">IF(BO7&gt;0,$E7/$F7,0)</f>
        <v>0</v>
      </c>
      <c r="BP8" s="242">
        <f t="shared" ref="BP8" si="16">IF(BP7&gt;0,$E7/$F7,0)</f>
        <v>0</v>
      </c>
      <c r="BQ8" s="242">
        <f t="shared" ref="BQ8" si="17">IF(BQ7&gt;0,$E7/$F7,0)</f>
        <v>0</v>
      </c>
      <c r="BR8" s="242">
        <f t="shared" ref="BR8" si="18">IF(BR7&gt;0,$E7/$F7,0)</f>
        <v>0</v>
      </c>
      <c r="BS8" s="242">
        <f t="shared" ref="BS8" si="19">IF(BS7&gt;0,$E7/$F7,0)</f>
        <v>0</v>
      </c>
      <c r="BT8" s="242">
        <f t="shared" ref="BT8" si="20">IF(BT7&gt;0,$E7/$F7,0)</f>
        <v>0</v>
      </c>
      <c r="BU8" s="242">
        <f t="shared" ref="BU8" si="21">IF(BU7&gt;0,$E7/$F7,0)</f>
        <v>0</v>
      </c>
      <c r="BV8" s="242">
        <f t="shared" ref="BV8" si="22">IF(BV7&gt;0,$E7/$F7,0)</f>
        <v>0</v>
      </c>
      <c r="BW8" s="125"/>
      <c r="BX8" s="242">
        <f>IF(BX7&gt;0,$E7/$F7,0)</f>
        <v>0</v>
      </c>
      <c r="BY8" s="242">
        <f t="shared" ref="BY8" si="23">IF(BY7&gt;0,$E7/$F7,0)</f>
        <v>0</v>
      </c>
      <c r="BZ8" s="242">
        <f t="shared" ref="BZ8" si="24">IF(BZ7&gt;0,$E7/$F7,0)</f>
        <v>0</v>
      </c>
      <c r="CA8" s="242">
        <f t="shared" ref="CA8" si="25">IF(CA7&gt;0,$E7/$F7,0)</f>
        <v>0</v>
      </c>
      <c r="CB8" s="242">
        <f t="shared" ref="CB8" si="26">IF(CB7&gt;0,$E7/$F7,0)</f>
        <v>0</v>
      </c>
      <c r="CC8" s="242">
        <f t="shared" ref="CC8" si="27">IF(CC7&gt;0,$E7/$F7,0)</f>
        <v>0</v>
      </c>
      <c r="CD8" s="242">
        <f t="shared" ref="CD8" si="28">IF(CD7&gt;0,$E7/$F7,0)</f>
        <v>0</v>
      </c>
      <c r="CE8" s="242">
        <f t="shared" ref="CE8" si="29">IF(CE7&gt;0,$E7/$F7,0)</f>
        <v>0</v>
      </c>
      <c r="CF8" s="242">
        <f t="shared" ref="CF8" si="30">IF(CF7&gt;0,$E7/$F7,0)</f>
        <v>0</v>
      </c>
      <c r="CG8" s="242">
        <f t="shared" ref="CG8" si="31">IF(CG7&gt;0,$E7/$F7,0)</f>
        <v>0</v>
      </c>
      <c r="CH8" s="242">
        <f t="shared" ref="CH8" si="32">IF(CH7&gt;0,$E7/$F7,0)</f>
        <v>0</v>
      </c>
      <c r="CI8" s="242">
        <f t="shared" ref="CI8" si="33">IF(CI7&gt;0,$E7/$F7,0)</f>
        <v>0</v>
      </c>
      <c r="CJ8" s="125"/>
    </row>
    <row r="9" spans="1:88" ht="82.5" hidden="1" customHeight="1">
      <c r="A9" s="279">
        <v>2</v>
      </c>
      <c r="B9" s="279" t="s">
        <v>177</v>
      </c>
      <c r="C9" s="297" t="s">
        <v>232</v>
      </c>
      <c r="D9" s="279">
        <v>3</v>
      </c>
      <c r="E9" s="280">
        <v>10218</v>
      </c>
      <c r="F9" s="281">
        <f>COUNTA(K9:V9,X9:AI9,AK9:AV9,AX9:BI9,BK9:BV9,BX9:CI9)</f>
        <v>2</v>
      </c>
      <c r="G9" s="133">
        <v>1</v>
      </c>
      <c r="H9" s="133">
        <v>1</v>
      </c>
      <c r="I9" s="134">
        <v>1</v>
      </c>
      <c r="J9" s="125"/>
      <c r="K9" s="134">
        <v>1</v>
      </c>
      <c r="L9" s="134">
        <v>1</v>
      </c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222">
        <f>E9</f>
        <v>10218</v>
      </c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222">
        <f>IF(X9="РНВ",$E9,IF(Y9="РНВ",$E9,IF(Z9="РНВ",$E9,IF(AA9="РНВ",$E9,IF(AB9="РНВ",$E9,IF(AC9="РНВ",$E9,IF(AD9="РНВ",$E9,IF(AE9="РНВ",$E9,IF(AF9="РНВ",$E9,IF(AG9="РНВ",$E9,IF(AH9="РНВ",$E9,IF(AI9="РНВ",$E9,0))))))))))))</f>
        <v>0</v>
      </c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222">
        <f>IF(AK9="РНВ",$E9,IF(AL9="РНВ",$E9,IF(AM9="РНВ",$E9,IF(AN9="РНВ",$E9,IF(AO9="РНВ",$E9,IF(AP9="РНВ",$E9,IF(AQ9="РНВ",$E9,IF(AR9="РНВ",$E9,IF(AS9="РНВ",$E9,IF(AT9="РНВ",$E9,IF(AU9="РНВ",$E9,IF(AV9="РНВ",$E9,0))))))))))))</f>
        <v>0</v>
      </c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222">
        <f>IF(AX9="РНВ",$E9,IF(AY9="РНВ",$E9,IF(AZ9="РНВ",$E9,IF(BA9="РНВ",$E9,IF(BB9="РНВ",$E9,IF(BC9="РНВ",$E9,IF(BD9="РНВ",$E9,IF(BE9="РНВ",$E9,IF(BF9="РНВ",$E9,IF(BG9="РНВ",$E9,IF(BH9="РНВ",$E9,IF(BI9="РНВ",$E9,0))))))))))))</f>
        <v>0</v>
      </c>
      <c r="BK9" s="136"/>
      <c r="BL9" s="136"/>
      <c r="BM9" s="136"/>
      <c r="BN9" s="136"/>
      <c r="BO9" s="136"/>
      <c r="BP9" s="136"/>
      <c r="BQ9" s="136"/>
      <c r="BR9" s="136"/>
      <c r="BS9" s="136"/>
      <c r="BT9" s="136"/>
      <c r="BU9" s="136"/>
      <c r="BV9" s="136"/>
      <c r="BW9" s="222">
        <f>IF(BK9="РНВ",$E9,IF(BL9="РНВ",$E9,IF(BM9="РНВ",$E9,IF(BN9="РНВ",$E9,IF(BO9="РНВ",$E9,IF(BP9="РНВ",$E9,IF(BQ9="РНВ",$E9,IF(BR9="РНВ",$E9,IF(BS9="РНВ",$E9,IF(BT9="РНВ",$E9,IF(BU9="РНВ",$E9,IF(BV9="РНВ",$E9,0))))))))))))</f>
        <v>0</v>
      </c>
      <c r="BX9" s="136"/>
      <c r="BY9" s="136"/>
      <c r="BZ9" s="136"/>
      <c r="CA9" s="136"/>
      <c r="CB9" s="136"/>
      <c r="CC9" s="136"/>
      <c r="CD9" s="136"/>
      <c r="CE9" s="136"/>
      <c r="CF9" s="136"/>
      <c r="CG9" s="136"/>
      <c r="CH9" s="136"/>
      <c r="CI9" s="136"/>
      <c r="CJ9" s="222">
        <f>IF(BX9="РНВ",$E9,IF(BY9="РНВ",$E9,IF(BZ9="РНВ",$E9,IF(CA9="РНВ",$E9,IF(CB9="РНВ",$E9,IF(CC9="РНВ",$E9,IF(CD9="РНВ",$E9,IF(CE9="РНВ",$E9,IF(CF9="РНВ",$E9,IF(CG9="РНВ",$E9,IF(CH9="РНВ",$E9,IF(CI9="РНВ",$E9,0))))))))))))</f>
        <v>0</v>
      </c>
    </row>
    <row r="10" spans="1:88" ht="21" hidden="1" customHeight="1">
      <c r="A10" s="279"/>
      <c r="B10" s="279"/>
      <c r="C10" s="297"/>
      <c r="D10" s="279"/>
      <c r="E10" s="280"/>
      <c r="F10" s="279"/>
      <c r="G10" s="128"/>
      <c r="H10" s="138"/>
      <c r="I10" s="139"/>
      <c r="J10" s="140"/>
      <c r="K10" s="141"/>
      <c r="L10" s="141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25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25"/>
      <c r="AK10" s="242">
        <f>IF(AK9&gt;0,$E9/$F9,0)</f>
        <v>0</v>
      </c>
      <c r="AL10" s="242">
        <f t="shared" ref="AL10" si="34">IF(AL9&gt;0,$E9/$F9,0)</f>
        <v>0</v>
      </c>
      <c r="AM10" s="242">
        <f t="shared" ref="AM10" si="35">IF(AM9&gt;0,$E9/$F9,0)</f>
        <v>0</v>
      </c>
      <c r="AN10" s="242">
        <f t="shared" ref="AN10" si="36">IF(AN9&gt;0,$E9/$F9,0)</f>
        <v>0</v>
      </c>
      <c r="AO10" s="242">
        <f t="shared" ref="AO10" si="37">IF(AO9&gt;0,$E9/$F9,0)</f>
        <v>0</v>
      </c>
      <c r="AP10" s="242">
        <f t="shared" ref="AP10" si="38">IF(AP9&gt;0,$E9/$F9,0)</f>
        <v>0</v>
      </c>
      <c r="AQ10" s="242">
        <f t="shared" ref="AQ10" si="39">IF(AQ9&gt;0,$E9/$F9,0)</f>
        <v>0</v>
      </c>
      <c r="AR10" s="242">
        <f t="shared" ref="AR10" si="40">IF(AR9&gt;0,$E9/$F9,0)</f>
        <v>0</v>
      </c>
      <c r="AS10" s="242">
        <f t="shared" ref="AS10" si="41">IF(AS9&gt;0,$E9/$F9,0)</f>
        <v>0</v>
      </c>
      <c r="AT10" s="242">
        <f t="shared" ref="AT10" si="42">IF(AT9&gt;0,$E9/$F9,0)</f>
        <v>0</v>
      </c>
      <c r="AU10" s="242">
        <f t="shared" ref="AU10" si="43">IF(AU9&gt;0,$E9/$F9,0)</f>
        <v>0</v>
      </c>
      <c r="AV10" s="242">
        <f t="shared" ref="AV10" si="44">IF(AV9&gt;0,$E9/$F9,0)</f>
        <v>0</v>
      </c>
      <c r="AW10" s="125"/>
      <c r="AX10" s="242">
        <f>IF(AX9&gt;0,$E9/$F9,0)</f>
        <v>0</v>
      </c>
      <c r="AY10" s="242">
        <f t="shared" ref="AY10" si="45">IF(AY9&gt;0,$E9/$F9,0)</f>
        <v>0</v>
      </c>
      <c r="AZ10" s="242">
        <f t="shared" ref="AZ10" si="46">IF(AZ9&gt;0,$E9/$F9,0)</f>
        <v>0</v>
      </c>
      <c r="BA10" s="242">
        <f t="shared" ref="BA10" si="47">IF(BA9&gt;0,$E9/$F9,0)</f>
        <v>0</v>
      </c>
      <c r="BB10" s="242">
        <f t="shared" ref="BB10" si="48">IF(BB9&gt;0,$E9/$F9,0)</f>
        <v>0</v>
      </c>
      <c r="BC10" s="242">
        <f t="shared" ref="BC10" si="49">IF(BC9&gt;0,$E9/$F9,0)</f>
        <v>0</v>
      </c>
      <c r="BD10" s="242">
        <f t="shared" ref="BD10" si="50">IF(BD9&gt;0,$E9/$F9,0)</f>
        <v>0</v>
      </c>
      <c r="BE10" s="242">
        <f t="shared" ref="BE10" si="51">IF(BE9&gt;0,$E9/$F9,0)</f>
        <v>0</v>
      </c>
      <c r="BF10" s="242">
        <f t="shared" ref="BF10" si="52">IF(BF9&gt;0,$E9/$F9,0)</f>
        <v>0</v>
      </c>
      <c r="BG10" s="242">
        <f t="shared" ref="BG10" si="53">IF(BG9&gt;0,$E9/$F9,0)</f>
        <v>0</v>
      </c>
      <c r="BH10" s="242">
        <f t="shared" ref="BH10" si="54">IF(BH9&gt;0,$E9/$F9,0)</f>
        <v>0</v>
      </c>
      <c r="BI10" s="242">
        <f t="shared" ref="BI10" si="55">IF(BI9&gt;0,$E9/$F9,0)</f>
        <v>0</v>
      </c>
      <c r="BJ10" s="125"/>
      <c r="BK10" s="242">
        <f>IF(BK9&gt;0,$E9/$F9,0)</f>
        <v>0</v>
      </c>
      <c r="BL10" s="242">
        <f t="shared" ref="BL10" si="56">IF(BL9&gt;0,$E9/$F9,0)</f>
        <v>0</v>
      </c>
      <c r="BM10" s="242">
        <f t="shared" ref="BM10" si="57">IF(BM9&gt;0,$E9/$F9,0)</f>
        <v>0</v>
      </c>
      <c r="BN10" s="242">
        <f t="shared" ref="BN10" si="58">IF(BN9&gt;0,$E9/$F9,0)</f>
        <v>0</v>
      </c>
      <c r="BO10" s="242">
        <f t="shared" ref="BO10" si="59">IF(BO9&gt;0,$E9/$F9,0)</f>
        <v>0</v>
      </c>
      <c r="BP10" s="242">
        <f t="shared" ref="BP10" si="60">IF(BP9&gt;0,$E9/$F9,0)</f>
        <v>0</v>
      </c>
      <c r="BQ10" s="242">
        <f t="shared" ref="BQ10" si="61">IF(BQ9&gt;0,$E9/$F9,0)</f>
        <v>0</v>
      </c>
      <c r="BR10" s="242">
        <f t="shared" ref="BR10" si="62">IF(BR9&gt;0,$E9/$F9,0)</f>
        <v>0</v>
      </c>
      <c r="BS10" s="242">
        <f t="shared" ref="BS10" si="63">IF(BS9&gt;0,$E9/$F9,0)</f>
        <v>0</v>
      </c>
      <c r="BT10" s="242">
        <f t="shared" ref="BT10" si="64">IF(BT9&gt;0,$E9/$F9,0)</f>
        <v>0</v>
      </c>
      <c r="BU10" s="242">
        <f t="shared" ref="BU10" si="65">IF(BU9&gt;0,$E9/$F9,0)</f>
        <v>0</v>
      </c>
      <c r="BV10" s="242">
        <f t="shared" ref="BV10" si="66">IF(BV9&gt;0,$E9/$F9,0)</f>
        <v>0</v>
      </c>
      <c r="BW10" s="125"/>
      <c r="BX10" s="242">
        <f>IF(BX9&gt;0,$E9/$F9,0)</f>
        <v>0</v>
      </c>
      <c r="BY10" s="242">
        <f t="shared" ref="BY10" si="67">IF(BY9&gt;0,$E9/$F9,0)</f>
        <v>0</v>
      </c>
      <c r="BZ10" s="242">
        <f t="shared" ref="BZ10" si="68">IF(BZ9&gt;0,$E9/$F9,0)</f>
        <v>0</v>
      </c>
      <c r="CA10" s="242">
        <f t="shared" ref="CA10" si="69">IF(CA9&gt;0,$E9/$F9,0)</f>
        <v>0</v>
      </c>
      <c r="CB10" s="242">
        <f t="shared" ref="CB10" si="70">IF(CB9&gt;0,$E9/$F9,0)</f>
        <v>0</v>
      </c>
      <c r="CC10" s="242">
        <f t="shared" ref="CC10" si="71">IF(CC9&gt;0,$E9/$F9,0)</f>
        <v>0</v>
      </c>
      <c r="CD10" s="242">
        <f t="shared" ref="CD10" si="72">IF(CD9&gt;0,$E9/$F9,0)</f>
        <v>0</v>
      </c>
      <c r="CE10" s="242">
        <f t="shared" ref="CE10" si="73">IF(CE9&gt;0,$E9/$F9,0)</f>
        <v>0</v>
      </c>
      <c r="CF10" s="242">
        <f t="shared" ref="CF10" si="74">IF(CF9&gt;0,$E9/$F9,0)</f>
        <v>0</v>
      </c>
      <c r="CG10" s="242">
        <f t="shared" ref="CG10" si="75">IF(CG9&gt;0,$E9/$F9,0)</f>
        <v>0</v>
      </c>
      <c r="CH10" s="242">
        <f t="shared" ref="CH10" si="76">IF(CH9&gt;0,$E9/$F9,0)</f>
        <v>0</v>
      </c>
      <c r="CI10" s="242">
        <f t="shared" ref="CI10" si="77">IF(CI9&gt;0,$E9/$F9,0)</f>
        <v>0</v>
      </c>
      <c r="CJ10" s="125"/>
    </row>
    <row r="11" spans="1:88" ht="82.5" hidden="1" customHeight="1">
      <c r="A11" s="279">
        <v>3</v>
      </c>
      <c r="B11" s="279" t="s">
        <v>178</v>
      </c>
      <c r="C11" s="297" t="s">
        <v>232</v>
      </c>
      <c r="D11" s="279">
        <v>6</v>
      </c>
      <c r="E11" s="280">
        <v>18352</v>
      </c>
      <c r="F11" s="281">
        <f t="shared" ref="F11" si="78">COUNTA(K11:V11,X11:AI11,AK11:AV11,AX11:BI11,BK11:BV11,BX11:CI11)</f>
        <v>16</v>
      </c>
      <c r="G11" s="133">
        <v>1</v>
      </c>
      <c r="H11" s="133">
        <v>1</v>
      </c>
      <c r="I11" s="134">
        <v>1</v>
      </c>
      <c r="J11" s="143"/>
      <c r="K11" s="133">
        <v>1</v>
      </c>
      <c r="L11" s="133">
        <v>1</v>
      </c>
      <c r="M11" s="133">
        <v>1</v>
      </c>
      <c r="N11" s="133">
        <v>1</v>
      </c>
      <c r="O11" s="133">
        <v>1</v>
      </c>
      <c r="P11" s="133">
        <v>1</v>
      </c>
      <c r="Q11" s="133">
        <v>1</v>
      </c>
      <c r="R11" s="133">
        <v>1</v>
      </c>
      <c r="S11" s="133">
        <v>1</v>
      </c>
      <c r="T11" s="133">
        <v>1</v>
      </c>
      <c r="U11" s="133">
        <v>1</v>
      </c>
      <c r="V11" s="133">
        <v>1</v>
      </c>
      <c r="W11" s="222">
        <f t="shared" ref="W11" si="79">IF(K11="РНВ",$E11,IF(L11="РНВ",$E11,IF(M11="РНВ",$E11,IF(N11="РНВ",$E11,IF(O11="РНВ",$E11,IF(P11="РНВ",$E11,IF(Q11="РНВ",$E11,IF(R11="РНВ",$E11,IF(S11="РНВ",$E11,IF(T11="РНВ",$E11,IF(U11="РНВ",$E11,IF(V11="РНВ",$E11,0))))))))))))</f>
        <v>0</v>
      </c>
      <c r="X11" s="133">
        <v>1</v>
      </c>
      <c r="Y11" s="133">
        <v>1</v>
      </c>
      <c r="Z11" s="133">
        <v>1</v>
      </c>
      <c r="AA11" s="227" t="s">
        <v>37</v>
      </c>
      <c r="AB11" s="226"/>
      <c r="AC11" s="226"/>
      <c r="AD11" s="226"/>
      <c r="AE11" s="226"/>
      <c r="AF11" s="226"/>
      <c r="AG11" s="226"/>
      <c r="AH11" s="226"/>
      <c r="AI11" s="226"/>
      <c r="AJ11" s="222">
        <f t="shared" ref="AJ11" si="80">IF(X11="РНВ",$E11,IF(Y11="РНВ",$E11,IF(Z11="РНВ",$E11,IF(AA11="РНВ",$E11,IF(AB11="РНВ",$E11,IF(AC11="РНВ",$E11,IF(AD11="РНВ",$E11,IF(AE11="РНВ",$E11,IF(AF11="РНВ",$E11,IF(AG11="РНВ",$E11,IF(AH11="РНВ",$E11,IF(AI11="РНВ",$E11,0))))))))))))</f>
        <v>18352</v>
      </c>
      <c r="AK11" s="226"/>
      <c r="AL11" s="226"/>
      <c r="AM11" s="226"/>
      <c r="AN11" s="226"/>
      <c r="AO11" s="226"/>
      <c r="AP11" s="226"/>
      <c r="AQ11" s="226"/>
      <c r="AR11" s="226"/>
      <c r="AS11" s="136"/>
      <c r="AT11" s="136"/>
      <c r="AU11" s="136"/>
      <c r="AV11" s="136"/>
      <c r="AW11" s="222">
        <f t="shared" ref="AW11" si="81">IF(AK11="РНВ",$E11,IF(AL11="РНВ",$E11,IF(AM11="РНВ",$E11,IF(AN11="РНВ",$E11,IF(AO11="РНВ",$E11,IF(AP11="РНВ",$E11,IF(AQ11="РНВ",$E11,IF(AR11="РНВ",$E11,IF(AS11="РНВ",$E11,IF(AT11="РНВ",$E11,IF(AU11="РНВ",$E11,IF(AV11="РНВ",$E11,0))))))))))))</f>
        <v>0</v>
      </c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222">
        <f t="shared" ref="BJ11" si="82">IF(AX11="РНВ",$E11,IF(AY11="РНВ",$E11,IF(AZ11="РНВ",$E11,IF(BA11="РНВ",$E11,IF(BB11="РНВ",$E11,IF(BC11="РНВ",$E11,IF(BD11="РНВ",$E11,IF(BE11="РНВ",$E11,IF(BF11="РНВ",$E11,IF(BG11="РНВ",$E11,IF(BH11="РНВ",$E11,IF(BI11="РНВ",$E11,0))))))))))))</f>
        <v>0</v>
      </c>
      <c r="BK11" s="136"/>
      <c r="BL11" s="136"/>
      <c r="BM11" s="136"/>
      <c r="BN11" s="136"/>
      <c r="BO11" s="136"/>
      <c r="BP11" s="136"/>
      <c r="BQ11" s="136"/>
      <c r="BR11" s="136"/>
      <c r="BS11" s="136"/>
      <c r="BT11" s="136"/>
      <c r="BU11" s="136"/>
      <c r="BV11" s="136"/>
      <c r="BW11" s="222">
        <f t="shared" ref="BW11" si="83">IF(BK11="РНВ",$E11,IF(BL11="РНВ",$E11,IF(BM11="РНВ",$E11,IF(BN11="РНВ",$E11,IF(BO11="РНВ",$E11,IF(BP11="РНВ",$E11,IF(BQ11="РНВ",$E11,IF(BR11="РНВ",$E11,IF(BS11="РНВ",$E11,IF(BT11="РНВ",$E11,IF(BU11="РНВ",$E11,IF(BV11="РНВ",$E11,0))))))))))))</f>
        <v>0</v>
      </c>
      <c r="BX11" s="136"/>
      <c r="BY11" s="136"/>
      <c r="BZ11" s="136"/>
      <c r="CA11" s="136"/>
      <c r="CB11" s="136"/>
      <c r="CC11" s="136"/>
      <c r="CD11" s="136"/>
      <c r="CE11" s="136"/>
      <c r="CF11" s="136"/>
      <c r="CG11" s="136"/>
      <c r="CH11" s="136"/>
      <c r="CI11" s="136"/>
      <c r="CJ11" s="222">
        <f t="shared" ref="CJ11" si="84">IF(BX11="РНВ",$E11,IF(BY11="РНВ",$E11,IF(BZ11="РНВ",$E11,IF(CA11="РНВ",$E11,IF(CB11="РНВ",$E11,IF(CC11="РНВ",$E11,IF(CD11="РНВ",$E11,IF(CE11="РНВ",$E11,IF(CF11="РНВ",$E11,IF(CG11="РНВ",$E11,IF(CH11="РНВ",$E11,IF(CI11="РНВ",$E11,0))))))))))))</f>
        <v>0</v>
      </c>
    </row>
    <row r="12" spans="1:88" ht="19.149999999999999" hidden="1" customHeight="1">
      <c r="A12" s="279"/>
      <c r="B12" s="279"/>
      <c r="C12" s="297"/>
      <c r="D12" s="279"/>
      <c r="E12" s="280"/>
      <c r="F12" s="279"/>
      <c r="G12" s="221"/>
      <c r="H12" s="221"/>
      <c r="I12" s="221"/>
      <c r="J12" s="145"/>
      <c r="K12" s="221"/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125"/>
      <c r="X12" s="221"/>
      <c r="Y12" s="221"/>
      <c r="Z12" s="221"/>
      <c r="AA12" s="132"/>
      <c r="AB12" s="132"/>
      <c r="AC12" s="132"/>
      <c r="AD12" s="132"/>
      <c r="AE12" s="132"/>
      <c r="AF12" s="132"/>
      <c r="AG12" s="132"/>
      <c r="AH12" s="132"/>
      <c r="AI12" s="132"/>
      <c r="AJ12" s="125"/>
      <c r="AK12" s="242">
        <f>IF(AK11&gt;0,$E11/$F11,0)</f>
        <v>0</v>
      </c>
      <c r="AL12" s="242">
        <f t="shared" ref="AL12" si="85">IF(AL11&gt;0,$E11/$F11,0)</f>
        <v>0</v>
      </c>
      <c r="AM12" s="242">
        <f t="shared" ref="AM12" si="86">IF(AM11&gt;0,$E11/$F11,0)</f>
        <v>0</v>
      </c>
      <c r="AN12" s="242">
        <f t="shared" ref="AN12" si="87">IF(AN11&gt;0,$E11/$F11,0)</f>
        <v>0</v>
      </c>
      <c r="AO12" s="242">
        <f t="shared" ref="AO12" si="88">IF(AO11&gt;0,$E11/$F11,0)</f>
        <v>0</v>
      </c>
      <c r="AP12" s="242">
        <f t="shared" ref="AP12" si="89">IF(AP11&gt;0,$E11/$F11,0)</f>
        <v>0</v>
      </c>
      <c r="AQ12" s="242">
        <f t="shared" ref="AQ12" si="90">IF(AQ11&gt;0,$E11/$F11,0)</f>
        <v>0</v>
      </c>
      <c r="AR12" s="242">
        <f t="shared" ref="AR12" si="91">IF(AR11&gt;0,$E11/$F11,0)</f>
        <v>0</v>
      </c>
      <c r="AS12" s="242">
        <f t="shared" ref="AS12" si="92">IF(AS11&gt;0,$E11/$F11,0)</f>
        <v>0</v>
      </c>
      <c r="AT12" s="242">
        <f t="shared" ref="AT12" si="93">IF(AT11&gt;0,$E11/$F11,0)</f>
        <v>0</v>
      </c>
      <c r="AU12" s="242">
        <f t="shared" ref="AU12" si="94">IF(AU11&gt;0,$E11/$F11,0)</f>
        <v>0</v>
      </c>
      <c r="AV12" s="242">
        <f t="shared" ref="AV12" si="95">IF(AV11&gt;0,$E11/$F11,0)</f>
        <v>0</v>
      </c>
      <c r="AW12" s="125"/>
      <c r="AX12" s="242">
        <f>IF(AX11&gt;0,$E11/$F11,0)</f>
        <v>0</v>
      </c>
      <c r="AY12" s="242">
        <f t="shared" ref="AY12" si="96">IF(AY11&gt;0,$E11/$F11,0)</f>
        <v>0</v>
      </c>
      <c r="AZ12" s="242">
        <f t="shared" ref="AZ12" si="97">IF(AZ11&gt;0,$E11/$F11,0)</f>
        <v>0</v>
      </c>
      <c r="BA12" s="242">
        <f t="shared" ref="BA12" si="98">IF(BA11&gt;0,$E11/$F11,0)</f>
        <v>0</v>
      </c>
      <c r="BB12" s="242">
        <f t="shared" ref="BB12" si="99">IF(BB11&gt;0,$E11/$F11,0)</f>
        <v>0</v>
      </c>
      <c r="BC12" s="242">
        <f t="shared" ref="BC12" si="100">IF(BC11&gt;0,$E11/$F11,0)</f>
        <v>0</v>
      </c>
      <c r="BD12" s="242">
        <f t="shared" ref="BD12" si="101">IF(BD11&gt;0,$E11/$F11,0)</f>
        <v>0</v>
      </c>
      <c r="BE12" s="242">
        <f t="shared" ref="BE12" si="102">IF(BE11&gt;0,$E11/$F11,0)</f>
        <v>0</v>
      </c>
      <c r="BF12" s="242">
        <f t="shared" ref="BF12" si="103">IF(BF11&gt;0,$E11/$F11,0)</f>
        <v>0</v>
      </c>
      <c r="BG12" s="242">
        <f t="shared" ref="BG12" si="104">IF(BG11&gt;0,$E11/$F11,0)</f>
        <v>0</v>
      </c>
      <c r="BH12" s="242">
        <f t="shared" ref="BH12" si="105">IF(BH11&gt;0,$E11/$F11,0)</f>
        <v>0</v>
      </c>
      <c r="BI12" s="242">
        <f t="shared" ref="BI12" si="106">IF(BI11&gt;0,$E11/$F11,0)</f>
        <v>0</v>
      </c>
      <c r="BJ12" s="125"/>
      <c r="BK12" s="242">
        <f>IF(BK11&gt;0,$E11/$F11,0)</f>
        <v>0</v>
      </c>
      <c r="BL12" s="242">
        <f t="shared" ref="BL12" si="107">IF(BL11&gt;0,$E11/$F11,0)</f>
        <v>0</v>
      </c>
      <c r="BM12" s="242">
        <f t="shared" ref="BM12" si="108">IF(BM11&gt;0,$E11/$F11,0)</f>
        <v>0</v>
      </c>
      <c r="BN12" s="242">
        <f t="shared" ref="BN12" si="109">IF(BN11&gt;0,$E11/$F11,0)</f>
        <v>0</v>
      </c>
      <c r="BO12" s="242">
        <f t="shared" ref="BO12" si="110">IF(BO11&gt;0,$E11/$F11,0)</f>
        <v>0</v>
      </c>
      <c r="BP12" s="242">
        <f t="shared" ref="BP12" si="111">IF(BP11&gt;0,$E11/$F11,0)</f>
        <v>0</v>
      </c>
      <c r="BQ12" s="242">
        <f t="shared" ref="BQ12" si="112">IF(BQ11&gt;0,$E11/$F11,0)</f>
        <v>0</v>
      </c>
      <c r="BR12" s="242">
        <f t="shared" ref="BR12" si="113">IF(BR11&gt;0,$E11/$F11,0)</f>
        <v>0</v>
      </c>
      <c r="BS12" s="242">
        <f t="shared" ref="BS12" si="114">IF(BS11&gt;0,$E11/$F11,0)</f>
        <v>0</v>
      </c>
      <c r="BT12" s="242">
        <f t="shared" ref="BT12" si="115">IF(BT11&gt;0,$E11/$F11,0)</f>
        <v>0</v>
      </c>
      <c r="BU12" s="242">
        <f t="shared" ref="BU12" si="116">IF(BU11&gt;0,$E11/$F11,0)</f>
        <v>0</v>
      </c>
      <c r="BV12" s="242">
        <f t="shared" ref="BV12" si="117">IF(BV11&gt;0,$E11/$F11,0)</f>
        <v>0</v>
      </c>
      <c r="BW12" s="125"/>
      <c r="BX12" s="242">
        <f>IF(BX11&gt;0,$E11/$F11,0)</f>
        <v>0</v>
      </c>
      <c r="BY12" s="242">
        <f t="shared" ref="BY12" si="118">IF(BY11&gt;0,$E11/$F11,0)</f>
        <v>0</v>
      </c>
      <c r="BZ12" s="242">
        <f t="shared" ref="BZ12" si="119">IF(BZ11&gt;0,$E11/$F11,0)</f>
        <v>0</v>
      </c>
      <c r="CA12" s="242">
        <f t="shared" ref="CA12" si="120">IF(CA11&gt;0,$E11/$F11,0)</f>
        <v>0</v>
      </c>
      <c r="CB12" s="242">
        <f t="shared" ref="CB12" si="121">IF(CB11&gt;0,$E11/$F11,0)</f>
        <v>0</v>
      </c>
      <c r="CC12" s="242">
        <f t="shared" ref="CC12" si="122">IF(CC11&gt;0,$E11/$F11,0)</f>
        <v>0</v>
      </c>
      <c r="CD12" s="242">
        <f t="shared" ref="CD12" si="123">IF(CD11&gt;0,$E11/$F11,0)</f>
        <v>0</v>
      </c>
      <c r="CE12" s="242">
        <f t="shared" ref="CE12" si="124">IF(CE11&gt;0,$E11/$F11,0)</f>
        <v>0</v>
      </c>
      <c r="CF12" s="242">
        <f t="shared" ref="CF12" si="125">IF(CF11&gt;0,$E11/$F11,0)</f>
        <v>0</v>
      </c>
      <c r="CG12" s="242">
        <f t="shared" ref="CG12" si="126">IF(CG11&gt;0,$E11/$F11,0)</f>
        <v>0</v>
      </c>
      <c r="CH12" s="242">
        <f t="shared" ref="CH12" si="127">IF(CH11&gt;0,$E11/$F11,0)</f>
        <v>0</v>
      </c>
      <c r="CI12" s="242">
        <f t="shared" ref="CI12" si="128">IF(CI11&gt;0,$E11/$F11,0)</f>
        <v>0</v>
      </c>
      <c r="CJ12" s="125"/>
    </row>
    <row r="13" spans="1:88" ht="82.5" hidden="1" customHeight="1">
      <c r="A13" s="279">
        <v>4</v>
      </c>
      <c r="B13" s="279" t="s">
        <v>179</v>
      </c>
      <c r="C13" s="297" t="s">
        <v>232</v>
      </c>
      <c r="D13" s="279">
        <v>3</v>
      </c>
      <c r="E13" s="280">
        <v>9779</v>
      </c>
      <c r="F13" s="281">
        <f t="shared" ref="F13" si="129">COUNTA(K13:V13,X13:AI13,AK13:AV13,AX13:BI13,BK13:BV13,BX13:CI13)</f>
        <v>20</v>
      </c>
      <c r="G13" s="133">
        <v>1</v>
      </c>
      <c r="H13" s="133">
        <v>1</v>
      </c>
      <c r="I13" s="134">
        <v>1</v>
      </c>
      <c r="J13" s="143"/>
      <c r="K13" s="133">
        <v>1</v>
      </c>
      <c r="L13" s="133">
        <v>1</v>
      </c>
      <c r="M13" s="133">
        <v>1</v>
      </c>
      <c r="N13" s="133">
        <v>1</v>
      </c>
      <c r="O13" s="133">
        <v>1</v>
      </c>
      <c r="P13" s="133">
        <v>1</v>
      </c>
      <c r="Q13" s="133">
        <v>1</v>
      </c>
      <c r="R13" s="133">
        <v>1</v>
      </c>
      <c r="S13" s="133">
        <v>1</v>
      </c>
      <c r="T13" s="133">
        <v>1</v>
      </c>
      <c r="U13" s="133">
        <v>1</v>
      </c>
      <c r="V13" s="133">
        <v>1</v>
      </c>
      <c r="W13" s="222">
        <f t="shared" ref="W13" si="130">IF(K13="РНВ",$E13,IF(L13="РНВ",$E13,IF(M13="РНВ",$E13,IF(N13="РНВ",$E13,IF(O13="РНВ",$E13,IF(P13="РНВ",$E13,IF(Q13="РНВ",$E13,IF(R13="РНВ",$E13,IF(S13="РНВ",$E13,IF(T13="РНВ",$E13,IF(U13="РНВ",$E13,IF(V13="РНВ",$E13,0))))))))))))</f>
        <v>0</v>
      </c>
      <c r="X13" s="133">
        <v>1</v>
      </c>
      <c r="Y13" s="133">
        <v>1</v>
      </c>
      <c r="Z13" s="133">
        <v>1</v>
      </c>
      <c r="AA13" s="133">
        <v>1</v>
      </c>
      <c r="AB13" s="133">
        <v>1</v>
      </c>
      <c r="AC13" s="133">
        <v>1</v>
      </c>
      <c r="AD13" s="133">
        <v>1</v>
      </c>
      <c r="AE13" s="227" t="s">
        <v>37</v>
      </c>
      <c r="AF13" s="136"/>
      <c r="AG13" s="136"/>
      <c r="AH13" s="136"/>
      <c r="AI13" s="136"/>
      <c r="AJ13" s="222">
        <f t="shared" ref="AJ13" si="131">IF(X13="РНВ",$E13,IF(Y13="РНВ",$E13,IF(Z13="РНВ",$E13,IF(AA13="РНВ",$E13,IF(AB13="РНВ",$E13,IF(AC13="РНВ",$E13,IF(AD13="РНВ",$E13,IF(AE13="РНВ",$E13,IF(AF13="РНВ",$E13,IF(AG13="РНВ",$E13,IF(AH13="РНВ",$E13,IF(AI13="РНВ",$E13,0))))))))))))</f>
        <v>9779</v>
      </c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222">
        <f t="shared" ref="AW13" si="132">IF(AK13="РНВ",$E13,IF(AL13="РНВ",$E13,IF(AM13="РНВ",$E13,IF(AN13="РНВ",$E13,IF(AO13="РНВ",$E13,IF(AP13="РНВ",$E13,IF(AQ13="РНВ",$E13,IF(AR13="РНВ",$E13,IF(AS13="РНВ",$E13,IF(AT13="РНВ",$E13,IF(AU13="РНВ",$E13,IF(AV13="РНВ",$E13,0))))))))))))</f>
        <v>0</v>
      </c>
      <c r="AX13" s="136"/>
      <c r="AY13" s="136"/>
      <c r="AZ13" s="136"/>
      <c r="BA13" s="136"/>
      <c r="BB13" s="136"/>
      <c r="BC13" s="136"/>
      <c r="BD13" s="136"/>
      <c r="BE13" s="136"/>
      <c r="BF13" s="136"/>
      <c r="BG13" s="136"/>
      <c r="BH13" s="136"/>
      <c r="BI13" s="136"/>
      <c r="BJ13" s="222">
        <f t="shared" ref="BJ13" si="133">IF(AX13="РНВ",$E13,IF(AY13="РНВ",$E13,IF(AZ13="РНВ",$E13,IF(BA13="РНВ",$E13,IF(BB13="РНВ",$E13,IF(BC13="РНВ",$E13,IF(BD13="РНВ",$E13,IF(BE13="РНВ",$E13,IF(BF13="РНВ",$E13,IF(BG13="РНВ",$E13,IF(BH13="РНВ",$E13,IF(BI13="РНВ",$E13,0))))))))))))</f>
        <v>0</v>
      </c>
      <c r="BK13" s="136"/>
      <c r="BL13" s="136"/>
      <c r="BM13" s="136"/>
      <c r="BN13" s="136"/>
      <c r="BO13" s="136"/>
      <c r="BP13" s="136"/>
      <c r="BQ13" s="136"/>
      <c r="BR13" s="136"/>
      <c r="BS13" s="136"/>
      <c r="BT13" s="136"/>
      <c r="BU13" s="136"/>
      <c r="BV13" s="136"/>
      <c r="BW13" s="222">
        <f t="shared" ref="BW13" si="134">IF(BK13="РНВ",$E13,IF(BL13="РНВ",$E13,IF(BM13="РНВ",$E13,IF(BN13="РНВ",$E13,IF(BO13="РНВ",$E13,IF(BP13="РНВ",$E13,IF(BQ13="РНВ",$E13,IF(BR13="РНВ",$E13,IF(BS13="РНВ",$E13,IF(BT13="РНВ",$E13,IF(BU13="РНВ",$E13,IF(BV13="РНВ",$E13,0))))))))))))</f>
        <v>0</v>
      </c>
      <c r="BX13" s="136"/>
      <c r="BY13" s="136"/>
      <c r="BZ13" s="136"/>
      <c r="CA13" s="136"/>
      <c r="CB13" s="136"/>
      <c r="CC13" s="136"/>
      <c r="CD13" s="136"/>
      <c r="CE13" s="136"/>
      <c r="CF13" s="136"/>
      <c r="CG13" s="136"/>
      <c r="CH13" s="136"/>
      <c r="CI13" s="136"/>
      <c r="CJ13" s="222">
        <f t="shared" ref="CJ13" si="135">IF(BX13="РНВ",$E13,IF(BY13="РНВ",$E13,IF(BZ13="РНВ",$E13,IF(CA13="РНВ",$E13,IF(CB13="РНВ",$E13,IF(CC13="РНВ",$E13,IF(CD13="РНВ",$E13,IF(CE13="РНВ",$E13,IF(CF13="РНВ",$E13,IF(CG13="РНВ",$E13,IF(CH13="РНВ",$E13,IF(CI13="РНВ",$E13,0))))))))))))</f>
        <v>0</v>
      </c>
    </row>
    <row r="14" spans="1:88" ht="19.899999999999999" hidden="1" customHeight="1">
      <c r="A14" s="279"/>
      <c r="B14" s="279"/>
      <c r="C14" s="297"/>
      <c r="D14" s="279"/>
      <c r="E14" s="280"/>
      <c r="F14" s="279"/>
      <c r="G14" s="221"/>
      <c r="H14" s="221"/>
      <c r="I14" s="221"/>
      <c r="J14" s="148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125"/>
      <c r="X14" s="221"/>
      <c r="Y14" s="221"/>
      <c r="Z14" s="221"/>
      <c r="AA14" s="142"/>
      <c r="AB14" s="142"/>
      <c r="AC14" s="142"/>
      <c r="AD14" s="142"/>
      <c r="AE14" s="142"/>
      <c r="AF14" s="142"/>
      <c r="AG14" s="142"/>
      <c r="AH14" s="142"/>
      <c r="AI14" s="142"/>
      <c r="AJ14" s="125"/>
      <c r="AK14" s="242">
        <f>IF(AK13&gt;0,$E13/$F13,0)</f>
        <v>0</v>
      </c>
      <c r="AL14" s="242">
        <f t="shared" ref="AL14" si="136">IF(AL13&gt;0,$E13/$F13,0)</f>
        <v>0</v>
      </c>
      <c r="AM14" s="242">
        <f t="shared" ref="AM14" si="137">IF(AM13&gt;0,$E13/$F13,0)</f>
        <v>0</v>
      </c>
      <c r="AN14" s="242">
        <f t="shared" ref="AN14" si="138">IF(AN13&gt;0,$E13/$F13,0)</f>
        <v>0</v>
      </c>
      <c r="AO14" s="242">
        <f t="shared" ref="AO14" si="139">IF(AO13&gt;0,$E13/$F13,0)</f>
        <v>0</v>
      </c>
      <c r="AP14" s="242">
        <f t="shared" ref="AP14" si="140">IF(AP13&gt;0,$E13/$F13,0)</f>
        <v>0</v>
      </c>
      <c r="AQ14" s="242">
        <f t="shared" ref="AQ14" si="141">IF(AQ13&gt;0,$E13/$F13,0)</f>
        <v>0</v>
      </c>
      <c r="AR14" s="242">
        <f t="shared" ref="AR14" si="142">IF(AR13&gt;0,$E13/$F13,0)</f>
        <v>0</v>
      </c>
      <c r="AS14" s="242">
        <f t="shared" ref="AS14" si="143">IF(AS13&gt;0,$E13/$F13,0)</f>
        <v>0</v>
      </c>
      <c r="AT14" s="242">
        <f t="shared" ref="AT14" si="144">IF(AT13&gt;0,$E13/$F13,0)</f>
        <v>0</v>
      </c>
      <c r="AU14" s="242">
        <f t="shared" ref="AU14" si="145">IF(AU13&gt;0,$E13/$F13,0)</f>
        <v>0</v>
      </c>
      <c r="AV14" s="242">
        <f t="shared" ref="AV14" si="146">IF(AV13&gt;0,$E13/$F13,0)</f>
        <v>0</v>
      </c>
      <c r="AW14" s="125"/>
      <c r="AX14" s="242">
        <f>IF(AX13&gt;0,$E13/$F13,0)</f>
        <v>0</v>
      </c>
      <c r="AY14" s="242">
        <f t="shared" ref="AY14" si="147">IF(AY13&gt;0,$E13/$F13,0)</f>
        <v>0</v>
      </c>
      <c r="AZ14" s="242">
        <f t="shared" ref="AZ14" si="148">IF(AZ13&gt;0,$E13/$F13,0)</f>
        <v>0</v>
      </c>
      <c r="BA14" s="242">
        <f t="shared" ref="BA14" si="149">IF(BA13&gt;0,$E13/$F13,0)</f>
        <v>0</v>
      </c>
      <c r="BB14" s="242">
        <f t="shared" ref="BB14" si="150">IF(BB13&gt;0,$E13/$F13,0)</f>
        <v>0</v>
      </c>
      <c r="BC14" s="242">
        <f t="shared" ref="BC14" si="151">IF(BC13&gt;0,$E13/$F13,0)</f>
        <v>0</v>
      </c>
      <c r="BD14" s="242">
        <f t="shared" ref="BD14" si="152">IF(BD13&gt;0,$E13/$F13,0)</f>
        <v>0</v>
      </c>
      <c r="BE14" s="242">
        <f t="shared" ref="BE14" si="153">IF(BE13&gt;0,$E13/$F13,0)</f>
        <v>0</v>
      </c>
      <c r="BF14" s="242">
        <f t="shared" ref="BF14" si="154">IF(BF13&gt;0,$E13/$F13,0)</f>
        <v>0</v>
      </c>
      <c r="BG14" s="242">
        <f t="shared" ref="BG14" si="155">IF(BG13&gt;0,$E13/$F13,0)</f>
        <v>0</v>
      </c>
      <c r="BH14" s="242">
        <f t="shared" ref="BH14" si="156">IF(BH13&gt;0,$E13/$F13,0)</f>
        <v>0</v>
      </c>
      <c r="BI14" s="242">
        <f t="shared" ref="BI14" si="157">IF(BI13&gt;0,$E13/$F13,0)</f>
        <v>0</v>
      </c>
      <c r="BJ14" s="125"/>
      <c r="BK14" s="242">
        <f>IF(BK13&gt;0,$E13/$F13,0)</f>
        <v>0</v>
      </c>
      <c r="BL14" s="242">
        <f t="shared" ref="BL14" si="158">IF(BL13&gt;0,$E13/$F13,0)</f>
        <v>0</v>
      </c>
      <c r="BM14" s="242">
        <f t="shared" ref="BM14" si="159">IF(BM13&gt;0,$E13/$F13,0)</f>
        <v>0</v>
      </c>
      <c r="BN14" s="242">
        <f t="shared" ref="BN14" si="160">IF(BN13&gt;0,$E13/$F13,0)</f>
        <v>0</v>
      </c>
      <c r="BO14" s="242">
        <f t="shared" ref="BO14" si="161">IF(BO13&gt;0,$E13/$F13,0)</f>
        <v>0</v>
      </c>
      <c r="BP14" s="242">
        <f t="shared" ref="BP14" si="162">IF(BP13&gt;0,$E13/$F13,0)</f>
        <v>0</v>
      </c>
      <c r="BQ14" s="242">
        <f t="shared" ref="BQ14" si="163">IF(BQ13&gt;0,$E13/$F13,0)</f>
        <v>0</v>
      </c>
      <c r="BR14" s="242">
        <f t="shared" ref="BR14" si="164">IF(BR13&gt;0,$E13/$F13,0)</f>
        <v>0</v>
      </c>
      <c r="BS14" s="242">
        <f t="shared" ref="BS14" si="165">IF(BS13&gt;0,$E13/$F13,0)</f>
        <v>0</v>
      </c>
      <c r="BT14" s="242">
        <f t="shared" ref="BT14" si="166">IF(BT13&gt;0,$E13/$F13,0)</f>
        <v>0</v>
      </c>
      <c r="BU14" s="242">
        <f t="shared" ref="BU14" si="167">IF(BU13&gt;0,$E13/$F13,0)</f>
        <v>0</v>
      </c>
      <c r="BV14" s="242">
        <f t="shared" ref="BV14" si="168">IF(BV13&gt;0,$E13/$F13,0)</f>
        <v>0</v>
      </c>
      <c r="BW14" s="125"/>
      <c r="BX14" s="242">
        <f>IF(BX13&gt;0,$E13/$F13,0)</f>
        <v>0</v>
      </c>
      <c r="BY14" s="242">
        <f t="shared" ref="BY14" si="169">IF(BY13&gt;0,$E13/$F13,0)</f>
        <v>0</v>
      </c>
      <c r="BZ14" s="242">
        <f t="shared" ref="BZ14" si="170">IF(BZ13&gt;0,$E13/$F13,0)</f>
        <v>0</v>
      </c>
      <c r="CA14" s="242">
        <f t="shared" ref="CA14" si="171">IF(CA13&gt;0,$E13/$F13,0)</f>
        <v>0</v>
      </c>
      <c r="CB14" s="242">
        <f t="shared" ref="CB14" si="172">IF(CB13&gt;0,$E13/$F13,0)</f>
        <v>0</v>
      </c>
      <c r="CC14" s="242">
        <f t="shared" ref="CC14" si="173">IF(CC13&gt;0,$E13/$F13,0)</f>
        <v>0</v>
      </c>
      <c r="CD14" s="242">
        <f t="shared" ref="CD14" si="174">IF(CD13&gt;0,$E13/$F13,0)</f>
        <v>0</v>
      </c>
      <c r="CE14" s="242">
        <f t="shared" ref="CE14" si="175">IF(CE13&gt;0,$E13/$F13,0)</f>
        <v>0</v>
      </c>
      <c r="CF14" s="242">
        <f t="shared" ref="CF14" si="176">IF(CF13&gt;0,$E13/$F13,0)</f>
        <v>0</v>
      </c>
      <c r="CG14" s="242">
        <f t="shared" ref="CG14" si="177">IF(CG13&gt;0,$E13/$F13,0)</f>
        <v>0</v>
      </c>
      <c r="CH14" s="242">
        <f t="shared" ref="CH14" si="178">IF(CH13&gt;0,$E13/$F13,0)</f>
        <v>0</v>
      </c>
      <c r="CI14" s="242">
        <f t="shared" ref="CI14" si="179">IF(CI13&gt;0,$E13/$F13,0)</f>
        <v>0</v>
      </c>
      <c r="CJ14" s="125"/>
    </row>
    <row r="15" spans="1:88" ht="82.5" customHeight="1">
      <c r="A15" s="279">
        <v>5</v>
      </c>
      <c r="B15" s="279" t="s">
        <v>180</v>
      </c>
      <c r="C15" s="279" t="s">
        <v>176</v>
      </c>
      <c r="D15" s="279">
        <v>3</v>
      </c>
      <c r="E15" s="280">
        <v>9572.31</v>
      </c>
      <c r="F15" s="281">
        <f t="shared" ref="F15" si="180">COUNTA(K15:V15,X15:AI15,AK15:AV15,AX15:BI15,BK15:BV15,BX15:CI15)</f>
        <v>22</v>
      </c>
      <c r="G15" s="135"/>
      <c r="H15" s="135"/>
      <c r="I15" s="136"/>
      <c r="J15" s="137"/>
      <c r="K15" s="136"/>
      <c r="L15" s="136"/>
      <c r="M15" s="149"/>
      <c r="N15" s="150"/>
      <c r="O15" s="150"/>
      <c r="P15" s="151"/>
      <c r="Q15" s="151"/>
      <c r="R15" s="151"/>
      <c r="S15" s="152"/>
      <c r="T15" s="152"/>
      <c r="U15" s="152"/>
      <c r="V15" s="151"/>
      <c r="W15" s="222">
        <f t="shared" ref="W15" si="181">IF(K15="РНВ",$E15,IF(L15="РНВ",$E15,IF(M15="РНВ",$E15,IF(N15="РНВ",$E15,IF(O15="РНВ",$E15,IF(P15="РНВ",$E15,IF(Q15="РНВ",$E15,IF(R15="РНВ",$E15,IF(S15="РНВ",$E15,IF(T15="РНВ",$E15,IF(U15="РНВ",$E15,IF(V15="РНВ",$E15,0))))))))))))</f>
        <v>0</v>
      </c>
      <c r="X15" s="152"/>
      <c r="Y15" s="151"/>
      <c r="Z15" s="228">
        <v>1</v>
      </c>
      <c r="AA15" s="133">
        <v>1</v>
      </c>
      <c r="AB15" s="133">
        <v>1</v>
      </c>
      <c r="AC15" s="133">
        <v>1</v>
      </c>
      <c r="AD15" s="133">
        <v>1</v>
      </c>
      <c r="AE15" s="133">
        <v>1</v>
      </c>
      <c r="AF15" s="133">
        <v>1</v>
      </c>
      <c r="AG15" s="133">
        <v>1</v>
      </c>
      <c r="AH15" s="133">
        <v>1</v>
      </c>
      <c r="AI15" s="133">
        <v>1</v>
      </c>
      <c r="AJ15" s="222">
        <f t="shared" ref="AJ15" si="182">IF(X15="РНВ",$E15,IF(Y15="РНВ",$E15,IF(Z15="РНВ",$E15,IF(AA15="РНВ",$E15,IF(AB15="РНВ",$E15,IF(AC15="РНВ",$E15,IF(AD15="РНВ",$E15,IF(AE15="РНВ",$E15,IF(AF15="РНВ",$E15,IF(AG15="РНВ",$E15,IF(AH15="РНВ",$E15,IF(AI15="РНВ",$E15,0))))))))))))</f>
        <v>0</v>
      </c>
      <c r="AK15" s="133">
        <v>1</v>
      </c>
      <c r="AL15" s="133">
        <v>1</v>
      </c>
      <c r="AM15" s="133">
        <v>1</v>
      </c>
      <c r="AN15" s="133">
        <v>1</v>
      </c>
      <c r="AO15" s="133">
        <v>1</v>
      </c>
      <c r="AP15" s="133">
        <v>1</v>
      </c>
      <c r="AQ15" s="133">
        <v>1</v>
      </c>
      <c r="AR15" s="133">
        <v>1</v>
      </c>
      <c r="AS15" s="133">
        <v>1</v>
      </c>
      <c r="AT15" s="133">
        <v>1</v>
      </c>
      <c r="AU15" s="133">
        <v>1</v>
      </c>
      <c r="AV15" s="227" t="s">
        <v>37</v>
      </c>
      <c r="AW15" s="222">
        <f t="shared" ref="AW15" si="183">IF(AK15="РНВ",$E15,IF(AL15="РНВ",$E15,IF(AM15="РНВ",$E15,IF(AN15="РНВ",$E15,IF(AO15="РНВ",$E15,IF(AP15="РНВ",$E15,IF(AQ15="РНВ",$E15,IF(AR15="РНВ",$E15,IF(AS15="РНВ",$E15,IF(AT15="РНВ",$E15,IF(AU15="РНВ",$E15,IF(AV15="РНВ",$E15,0))))))))))))</f>
        <v>9572.31</v>
      </c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222">
        <f t="shared" ref="BJ15" si="184">IF(AX15="РНВ",$E15,IF(AY15="РНВ",$E15,IF(AZ15="РНВ",$E15,IF(BA15="РНВ",$E15,IF(BB15="РНВ",$E15,IF(BC15="РНВ",$E15,IF(BD15="РНВ",$E15,IF(BE15="РНВ",$E15,IF(BF15="РНВ",$E15,IF(BG15="РНВ",$E15,IF(BH15="РНВ",$E15,IF(BI15="РНВ",$E15,0))))))))))))</f>
        <v>0</v>
      </c>
      <c r="BK15" s="136"/>
      <c r="BL15" s="136"/>
      <c r="BM15" s="136"/>
      <c r="BN15" s="136"/>
      <c r="BO15" s="136"/>
      <c r="BP15" s="136"/>
      <c r="BQ15" s="136"/>
      <c r="BR15" s="136"/>
      <c r="BS15" s="136"/>
      <c r="BT15" s="136"/>
      <c r="BU15" s="136"/>
      <c r="BV15" s="136"/>
      <c r="BW15" s="222">
        <f t="shared" ref="BW15" si="185">IF(BK15="РНВ",$E15,IF(BL15="РНВ",$E15,IF(BM15="РНВ",$E15,IF(BN15="РНВ",$E15,IF(BO15="РНВ",$E15,IF(BP15="РНВ",$E15,IF(BQ15="РНВ",$E15,IF(BR15="РНВ",$E15,IF(BS15="РНВ",$E15,IF(BT15="РНВ",$E15,IF(BU15="РНВ",$E15,IF(BV15="РНВ",$E15,0))))))))))))</f>
        <v>0</v>
      </c>
      <c r="BX15" s="136"/>
      <c r="BY15" s="136"/>
      <c r="BZ15" s="136"/>
      <c r="CA15" s="136"/>
      <c r="CB15" s="136"/>
      <c r="CC15" s="136"/>
      <c r="CD15" s="136"/>
      <c r="CE15" s="136"/>
      <c r="CF15" s="136"/>
      <c r="CG15" s="136"/>
      <c r="CH15" s="136"/>
      <c r="CI15" s="136"/>
      <c r="CJ15" s="222">
        <f t="shared" ref="CJ15" si="186">IF(BX15="РНВ",$E15,IF(BY15="РНВ",$E15,IF(BZ15="РНВ",$E15,IF(CA15="РНВ",$E15,IF(CB15="РНВ",$E15,IF(CC15="РНВ",$E15,IF(CD15="РНВ",$E15,IF(CE15="РНВ",$E15,IF(CF15="РНВ",$E15,IF(CG15="РНВ",$E15,IF(CH15="РНВ",$E15,IF(CI15="РНВ",$E15,0))))))))))))</f>
        <v>0</v>
      </c>
    </row>
    <row r="16" spans="1:88" ht="25.15" customHeight="1">
      <c r="A16" s="279"/>
      <c r="B16" s="279"/>
      <c r="C16" s="279"/>
      <c r="D16" s="279"/>
      <c r="E16" s="280"/>
      <c r="F16" s="279"/>
      <c r="G16" s="131"/>
      <c r="H16" s="131"/>
      <c r="I16" s="132"/>
      <c r="J16" s="125"/>
      <c r="K16" s="132"/>
      <c r="L16" s="142"/>
      <c r="M16" s="153"/>
      <c r="N16" s="128"/>
      <c r="O16" s="128"/>
      <c r="P16" s="128"/>
      <c r="Q16" s="128"/>
      <c r="R16" s="128"/>
      <c r="S16" s="146"/>
      <c r="T16" s="146"/>
      <c r="U16" s="146"/>
      <c r="V16" s="128"/>
      <c r="W16" s="125"/>
      <c r="X16" s="146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5"/>
      <c r="AK16" s="242">
        <f>IF(AK15&gt;0,$E15/$F15,0)</f>
        <v>435.10499999999996</v>
      </c>
      <c r="AL16" s="242">
        <f t="shared" ref="AL16" si="187">IF(AL15&gt;0,$E15/$F15,0)</f>
        <v>435.10499999999996</v>
      </c>
      <c r="AM16" s="242">
        <f t="shared" ref="AM16" si="188">IF(AM15&gt;0,$E15/$F15,0)</f>
        <v>435.10499999999996</v>
      </c>
      <c r="AN16" s="242">
        <f t="shared" ref="AN16" si="189">IF(AN15&gt;0,$E15/$F15,0)</f>
        <v>435.10499999999996</v>
      </c>
      <c r="AO16" s="242">
        <f t="shared" ref="AO16" si="190">IF(AO15&gt;0,$E15/$F15,0)</f>
        <v>435.10499999999996</v>
      </c>
      <c r="AP16" s="242">
        <f t="shared" ref="AP16" si="191">IF(AP15&gt;0,$E15/$F15,0)</f>
        <v>435.10499999999996</v>
      </c>
      <c r="AQ16" s="242">
        <f t="shared" ref="AQ16" si="192">IF(AQ15&gt;0,$E15/$F15,0)</f>
        <v>435.10499999999996</v>
      </c>
      <c r="AR16" s="242">
        <f t="shared" ref="AR16" si="193">IF(AR15&gt;0,$E15/$F15,0)</f>
        <v>435.10499999999996</v>
      </c>
      <c r="AS16" s="242">
        <f t="shared" ref="AS16" si="194">IF(AS15&gt;0,$E15/$F15,0)</f>
        <v>435.10499999999996</v>
      </c>
      <c r="AT16" s="242">
        <f t="shared" ref="AT16" si="195">IF(AT15&gt;0,$E15/$F15,0)</f>
        <v>435.10499999999996</v>
      </c>
      <c r="AU16" s="242">
        <f t="shared" ref="AU16" si="196">IF(AU15&gt;0,$E15/$F15,0)</f>
        <v>435.10499999999996</v>
      </c>
      <c r="AV16" s="242">
        <f t="shared" ref="AV16" si="197">IF(AV15&gt;0,$E15/$F15,0)</f>
        <v>435.10499999999996</v>
      </c>
      <c r="AW16" s="125"/>
      <c r="AX16" s="242">
        <f>IF(AX15&gt;0,$E15/$F15,0)</f>
        <v>0</v>
      </c>
      <c r="AY16" s="242">
        <f t="shared" ref="AY16" si="198">IF(AY15&gt;0,$E15/$F15,0)</f>
        <v>0</v>
      </c>
      <c r="AZ16" s="242">
        <f t="shared" ref="AZ16" si="199">IF(AZ15&gt;0,$E15/$F15,0)</f>
        <v>0</v>
      </c>
      <c r="BA16" s="242">
        <f t="shared" ref="BA16" si="200">IF(BA15&gt;0,$E15/$F15,0)</f>
        <v>0</v>
      </c>
      <c r="BB16" s="242">
        <f t="shared" ref="BB16" si="201">IF(BB15&gt;0,$E15/$F15,0)</f>
        <v>0</v>
      </c>
      <c r="BC16" s="242">
        <f t="shared" ref="BC16" si="202">IF(BC15&gt;0,$E15/$F15,0)</f>
        <v>0</v>
      </c>
      <c r="BD16" s="242">
        <f t="shared" ref="BD16" si="203">IF(BD15&gt;0,$E15/$F15,0)</f>
        <v>0</v>
      </c>
      <c r="BE16" s="242">
        <f t="shared" ref="BE16" si="204">IF(BE15&gt;0,$E15/$F15,0)</f>
        <v>0</v>
      </c>
      <c r="BF16" s="242">
        <f t="shared" ref="BF16" si="205">IF(BF15&gt;0,$E15/$F15,0)</f>
        <v>0</v>
      </c>
      <c r="BG16" s="242">
        <f t="shared" ref="BG16" si="206">IF(BG15&gt;0,$E15/$F15,0)</f>
        <v>0</v>
      </c>
      <c r="BH16" s="242">
        <f t="shared" ref="BH16" si="207">IF(BH15&gt;0,$E15/$F15,0)</f>
        <v>0</v>
      </c>
      <c r="BI16" s="242">
        <f t="shared" ref="BI16" si="208">IF(BI15&gt;0,$E15/$F15,0)</f>
        <v>0</v>
      </c>
      <c r="BJ16" s="125"/>
      <c r="BK16" s="242">
        <f>IF(BK15&gt;0,$E15/$F15,0)</f>
        <v>0</v>
      </c>
      <c r="BL16" s="242">
        <f t="shared" ref="BL16" si="209">IF(BL15&gt;0,$E15/$F15,0)</f>
        <v>0</v>
      </c>
      <c r="BM16" s="242">
        <f t="shared" ref="BM16" si="210">IF(BM15&gt;0,$E15/$F15,0)</f>
        <v>0</v>
      </c>
      <c r="BN16" s="242">
        <f t="shared" ref="BN16" si="211">IF(BN15&gt;0,$E15/$F15,0)</f>
        <v>0</v>
      </c>
      <c r="BO16" s="242">
        <f t="shared" ref="BO16" si="212">IF(BO15&gt;0,$E15/$F15,0)</f>
        <v>0</v>
      </c>
      <c r="BP16" s="242">
        <f t="shared" ref="BP16" si="213">IF(BP15&gt;0,$E15/$F15,0)</f>
        <v>0</v>
      </c>
      <c r="BQ16" s="242">
        <f t="shared" ref="BQ16" si="214">IF(BQ15&gt;0,$E15/$F15,0)</f>
        <v>0</v>
      </c>
      <c r="BR16" s="242">
        <f t="shared" ref="BR16" si="215">IF(BR15&gt;0,$E15/$F15,0)</f>
        <v>0</v>
      </c>
      <c r="BS16" s="242">
        <f t="shared" ref="BS16" si="216">IF(BS15&gt;0,$E15/$F15,0)</f>
        <v>0</v>
      </c>
      <c r="BT16" s="242">
        <f t="shared" ref="BT16" si="217">IF(BT15&gt;0,$E15/$F15,0)</f>
        <v>0</v>
      </c>
      <c r="BU16" s="242">
        <f t="shared" ref="BU16" si="218">IF(BU15&gt;0,$E15/$F15,0)</f>
        <v>0</v>
      </c>
      <c r="BV16" s="242">
        <f t="shared" ref="BV16" si="219">IF(BV15&gt;0,$E15/$F15,0)</f>
        <v>0</v>
      </c>
      <c r="BW16" s="125"/>
      <c r="BX16" s="242">
        <f>IF(BX15&gt;0,$E15/$F15,0)</f>
        <v>0</v>
      </c>
      <c r="BY16" s="242">
        <f t="shared" ref="BY16" si="220">IF(BY15&gt;0,$E15/$F15,0)</f>
        <v>0</v>
      </c>
      <c r="BZ16" s="242">
        <f t="shared" ref="BZ16" si="221">IF(BZ15&gt;0,$E15/$F15,0)</f>
        <v>0</v>
      </c>
      <c r="CA16" s="242">
        <f t="shared" ref="CA16" si="222">IF(CA15&gt;0,$E15/$F15,0)</f>
        <v>0</v>
      </c>
      <c r="CB16" s="242">
        <f t="shared" ref="CB16" si="223">IF(CB15&gt;0,$E15/$F15,0)</f>
        <v>0</v>
      </c>
      <c r="CC16" s="242">
        <f t="shared" ref="CC16" si="224">IF(CC15&gt;0,$E15/$F15,0)</f>
        <v>0</v>
      </c>
      <c r="CD16" s="242">
        <f t="shared" ref="CD16" si="225">IF(CD15&gt;0,$E15/$F15,0)</f>
        <v>0</v>
      </c>
      <c r="CE16" s="242">
        <f t="shared" ref="CE16" si="226">IF(CE15&gt;0,$E15/$F15,0)</f>
        <v>0</v>
      </c>
      <c r="CF16" s="242">
        <f t="shared" ref="CF16" si="227">IF(CF15&gt;0,$E15/$F15,0)</f>
        <v>0</v>
      </c>
      <c r="CG16" s="242">
        <f t="shared" ref="CG16" si="228">IF(CG15&gt;0,$E15/$F15,0)</f>
        <v>0</v>
      </c>
      <c r="CH16" s="242">
        <f t="shared" ref="CH16" si="229">IF(CH15&gt;0,$E15/$F15,0)</f>
        <v>0</v>
      </c>
      <c r="CI16" s="242">
        <f t="shared" ref="CI16" si="230">IF(CI15&gt;0,$E15/$F15,0)</f>
        <v>0</v>
      </c>
      <c r="CJ16" s="125"/>
    </row>
    <row r="17" spans="1:88" ht="82.5" customHeight="1">
      <c r="A17" s="279">
        <v>6</v>
      </c>
      <c r="B17" s="279" t="s">
        <v>181</v>
      </c>
      <c r="C17" s="283" t="s">
        <v>243</v>
      </c>
      <c r="D17" s="279">
        <v>1</v>
      </c>
      <c r="E17" s="280">
        <v>2532.7199999999998</v>
      </c>
      <c r="F17" s="281">
        <f t="shared" ref="F17" si="231">COUNTA(K17:V17,X17:AI17,AK17:AV17,AX17:BI17,BK17:BV17,BX17:CI17)</f>
        <v>23</v>
      </c>
      <c r="G17" s="135"/>
      <c r="H17" s="136"/>
      <c r="I17" s="136"/>
      <c r="J17" s="137"/>
      <c r="K17" s="154"/>
      <c r="L17" s="150"/>
      <c r="M17" s="150"/>
      <c r="N17" s="150"/>
      <c r="O17" s="155"/>
      <c r="P17" s="152"/>
      <c r="Q17" s="151"/>
      <c r="R17" s="151"/>
      <c r="S17" s="152"/>
      <c r="T17" s="152"/>
      <c r="U17" s="152"/>
      <c r="V17" s="151"/>
      <c r="W17" s="222">
        <f t="shared" ref="W17" si="232">IF(K17="РНВ",$E17,IF(L17="РНВ",$E17,IF(M17="РНВ",$E17,IF(N17="РНВ",$E17,IF(O17="РНВ",$E17,IF(P17="РНВ",$E17,IF(Q17="РНВ",$E17,IF(R17="РНВ",$E17,IF(S17="РНВ",$E17,IF(T17="РНВ",$E17,IF(U17="РНВ",$E17,IF(V17="РНВ",$E17,0))))))))))))</f>
        <v>0</v>
      </c>
      <c r="X17" s="152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222">
        <f t="shared" ref="AJ17" si="233">IF(X17="РНВ",$E17,IF(Y17="РНВ",$E17,IF(Z17="РНВ",$E17,IF(AA17="РНВ",$E17,IF(AB17="РНВ",$E17,IF(AC17="РНВ",$E17,IF(AD17="РНВ",$E17,IF(AE17="РНВ",$E17,IF(AF17="РНВ",$E17,IF(AG17="РНВ",$E17,IF(AH17="РНВ",$E17,IF(AI17="РНВ",$E17,0))))))))))))</f>
        <v>0</v>
      </c>
      <c r="AK17" s="151"/>
      <c r="AL17" s="151"/>
      <c r="AM17" s="151"/>
      <c r="AN17" s="151"/>
      <c r="AO17" s="151"/>
      <c r="AP17" s="253"/>
      <c r="AQ17" s="253"/>
      <c r="AR17" s="253"/>
      <c r="AS17" s="253"/>
      <c r="AT17" s="133">
        <v>1</v>
      </c>
      <c r="AU17" s="133">
        <v>1</v>
      </c>
      <c r="AV17" s="133">
        <v>1</v>
      </c>
      <c r="AW17" s="222">
        <f t="shared" ref="AW17" si="234">IF(AK17="РНВ",$E17,IF(AL17="РНВ",$E17,IF(AM17="РНВ",$E17,IF(AN17="РНВ",$E17,IF(AO17="РНВ",$E17,IF(AP17="РНВ",$E17,IF(AQ17="РНВ",$E17,IF(AR17="РНВ",$E17,IF(AS17="РНВ",$E17,IF(AT17="РНВ",$E17,IF(AU17="РНВ",$E17,IF(AV17="РНВ",$E17,0))))))))))))</f>
        <v>0</v>
      </c>
      <c r="AX17" s="133">
        <v>1</v>
      </c>
      <c r="AY17" s="133">
        <v>1</v>
      </c>
      <c r="AZ17" s="133">
        <v>1</v>
      </c>
      <c r="BA17" s="133">
        <v>1</v>
      </c>
      <c r="BB17" s="133">
        <v>1</v>
      </c>
      <c r="BC17" s="133">
        <v>1</v>
      </c>
      <c r="BD17" s="133">
        <v>1</v>
      </c>
      <c r="BE17" s="133">
        <v>1</v>
      </c>
      <c r="BF17" s="133">
        <v>1</v>
      </c>
      <c r="BG17" s="133">
        <v>1</v>
      </c>
      <c r="BH17" s="133">
        <v>1</v>
      </c>
      <c r="BI17" s="133">
        <v>1</v>
      </c>
      <c r="BJ17" s="222">
        <f t="shared" ref="BJ17" si="235">IF(AX17="РНВ",$E17,IF(AY17="РНВ",$E17,IF(AZ17="РНВ",$E17,IF(BA17="РНВ",$E17,IF(BB17="РНВ",$E17,IF(BC17="РНВ",$E17,IF(BD17="РНВ",$E17,IF(BE17="РНВ",$E17,IF(BF17="РНВ",$E17,IF(BG17="РНВ",$E17,IF(BH17="РНВ",$E17,IF(BI17="РНВ",$E17,0))))))))))))</f>
        <v>0</v>
      </c>
      <c r="BK17" s="133">
        <v>1</v>
      </c>
      <c r="BL17" s="133">
        <v>1</v>
      </c>
      <c r="BM17" s="133">
        <v>1</v>
      </c>
      <c r="BN17" s="133">
        <v>1</v>
      </c>
      <c r="BO17" s="133">
        <v>1</v>
      </c>
      <c r="BP17" s="133">
        <v>1</v>
      </c>
      <c r="BQ17" s="133">
        <v>1</v>
      </c>
      <c r="BR17" s="223" t="s">
        <v>37</v>
      </c>
      <c r="BS17" s="136"/>
      <c r="BT17" s="136"/>
      <c r="BU17" s="136"/>
      <c r="BV17" s="136"/>
      <c r="BW17" s="222">
        <f t="shared" ref="BW17" si="236">IF(BK17="РНВ",$E17,IF(BL17="РНВ",$E17,IF(BM17="РНВ",$E17,IF(BN17="РНВ",$E17,IF(BO17="РНВ",$E17,IF(BP17="РНВ",$E17,IF(BQ17="РНВ",$E17,IF(BR17="РНВ",$E17,IF(BS17="РНВ",$E17,IF(BT17="РНВ",$E17,IF(BU17="РНВ",$E17,IF(BV17="РНВ",$E17,0))))))))))))</f>
        <v>2532.7199999999998</v>
      </c>
      <c r="BX17" s="136"/>
      <c r="BY17" s="136"/>
      <c r="BZ17" s="136"/>
      <c r="CA17" s="136"/>
      <c r="CB17" s="136"/>
      <c r="CC17" s="136"/>
      <c r="CD17" s="136"/>
      <c r="CE17" s="136"/>
      <c r="CF17" s="136"/>
      <c r="CG17" s="136"/>
      <c r="CH17" s="136"/>
      <c r="CI17" s="136"/>
      <c r="CJ17" s="222">
        <f t="shared" ref="CJ17" si="237">IF(BX17="РНВ",$E17,IF(BY17="РНВ",$E17,IF(BZ17="РНВ",$E17,IF(CA17="РНВ",$E17,IF(CB17="РНВ",$E17,IF(CC17="РНВ",$E17,IF(CD17="РНВ",$E17,IF(CE17="РНВ",$E17,IF(CF17="РНВ",$E17,IF(CG17="РНВ",$E17,IF(CH17="РНВ",$E17,IF(CI17="РНВ",$E17,0))))))))))))</f>
        <v>0</v>
      </c>
    </row>
    <row r="18" spans="1:88" ht="25.15" customHeight="1">
      <c r="A18" s="279"/>
      <c r="B18" s="279"/>
      <c r="C18" s="283"/>
      <c r="D18" s="279"/>
      <c r="E18" s="280"/>
      <c r="F18" s="279"/>
      <c r="G18" s="131"/>
      <c r="H18" s="132"/>
      <c r="I18" s="132"/>
      <c r="J18" s="125"/>
      <c r="K18" s="132"/>
      <c r="L18" s="128"/>
      <c r="M18" s="128"/>
      <c r="N18" s="128"/>
      <c r="O18" s="146"/>
      <c r="P18" s="146"/>
      <c r="Q18" s="128"/>
      <c r="R18" s="128"/>
      <c r="S18" s="146"/>
      <c r="T18" s="146"/>
      <c r="U18" s="146"/>
      <c r="V18" s="128"/>
      <c r="W18" s="125"/>
      <c r="X18" s="146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5"/>
      <c r="AK18" s="242">
        <f>IF(AK17&gt;0,$E17/$F17,0)</f>
        <v>0</v>
      </c>
      <c r="AL18" s="242">
        <f t="shared" ref="AL18" si="238">IF(AL17&gt;0,$E17/$F17,0)</f>
        <v>0</v>
      </c>
      <c r="AM18" s="242">
        <f t="shared" ref="AM18" si="239">IF(AM17&gt;0,$E17/$F17,0)</f>
        <v>0</v>
      </c>
      <c r="AN18" s="242">
        <f t="shared" ref="AN18" si="240">IF(AN17&gt;0,$E17/$F17,0)</f>
        <v>0</v>
      </c>
      <c r="AO18" s="242">
        <f t="shared" ref="AO18" si="241">IF(AO17&gt;0,$E17/$F17,0)</f>
        <v>0</v>
      </c>
      <c r="AP18" s="242">
        <f t="shared" ref="AP18" si="242">IF(AP17&gt;0,$E17/$F17,0)</f>
        <v>0</v>
      </c>
      <c r="AQ18" s="242">
        <f t="shared" ref="AQ18" si="243">IF(AQ17&gt;0,$E17/$F17,0)</f>
        <v>0</v>
      </c>
      <c r="AR18" s="242">
        <f t="shared" ref="AR18" si="244">IF(AR17&gt;0,$E17/$F17,0)</f>
        <v>0</v>
      </c>
      <c r="AS18" s="242">
        <f t="shared" ref="AS18" si="245">IF(AS17&gt;0,$E17/$F17,0)</f>
        <v>0</v>
      </c>
      <c r="AT18" s="242">
        <f t="shared" ref="AT18" si="246">IF(AT17&gt;0,$E17/$F17,0)</f>
        <v>110.1182608695652</v>
      </c>
      <c r="AU18" s="242">
        <f t="shared" ref="AU18" si="247">IF(AU17&gt;0,$E17/$F17,0)</f>
        <v>110.1182608695652</v>
      </c>
      <c r="AV18" s="242">
        <f t="shared" ref="AV18" si="248">IF(AV17&gt;0,$E17/$F17,0)</f>
        <v>110.1182608695652</v>
      </c>
      <c r="AW18" s="125"/>
      <c r="AX18" s="242">
        <f>IF(AX17&gt;0,$E17/$F17,0)</f>
        <v>110.1182608695652</v>
      </c>
      <c r="AY18" s="242">
        <f t="shared" ref="AY18" si="249">IF(AY17&gt;0,$E17/$F17,0)</f>
        <v>110.1182608695652</v>
      </c>
      <c r="AZ18" s="242">
        <f t="shared" ref="AZ18" si="250">IF(AZ17&gt;0,$E17/$F17,0)</f>
        <v>110.1182608695652</v>
      </c>
      <c r="BA18" s="242">
        <f t="shared" ref="BA18" si="251">IF(BA17&gt;0,$E17/$F17,0)</f>
        <v>110.1182608695652</v>
      </c>
      <c r="BB18" s="242">
        <f t="shared" ref="BB18" si="252">IF(BB17&gt;0,$E17/$F17,0)</f>
        <v>110.1182608695652</v>
      </c>
      <c r="BC18" s="242">
        <f t="shared" ref="BC18" si="253">IF(BC17&gt;0,$E17/$F17,0)</f>
        <v>110.1182608695652</v>
      </c>
      <c r="BD18" s="242">
        <f t="shared" ref="BD18" si="254">IF(BD17&gt;0,$E17/$F17,0)</f>
        <v>110.1182608695652</v>
      </c>
      <c r="BE18" s="242">
        <f t="shared" ref="BE18" si="255">IF(BE17&gt;0,$E17/$F17,0)</f>
        <v>110.1182608695652</v>
      </c>
      <c r="BF18" s="242">
        <f t="shared" ref="BF18" si="256">IF(BF17&gt;0,$E17/$F17,0)</f>
        <v>110.1182608695652</v>
      </c>
      <c r="BG18" s="242">
        <f t="shared" ref="BG18" si="257">IF(BG17&gt;0,$E17/$F17,0)</f>
        <v>110.1182608695652</v>
      </c>
      <c r="BH18" s="242">
        <f t="shared" ref="BH18" si="258">IF(BH17&gt;0,$E17/$F17,0)</f>
        <v>110.1182608695652</v>
      </c>
      <c r="BI18" s="242">
        <f t="shared" ref="BI18" si="259">IF(BI17&gt;0,$E17/$F17,0)</f>
        <v>110.1182608695652</v>
      </c>
      <c r="BJ18" s="125"/>
      <c r="BK18" s="242">
        <f>IF(BK17&gt;0,$E17/$F17,0)</f>
        <v>110.1182608695652</v>
      </c>
      <c r="BL18" s="242">
        <f t="shared" ref="BL18" si="260">IF(BL17&gt;0,$E17/$F17,0)</f>
        <v>110.1182608695652</v>
      </c>
      <c r="BM18" s="242">
        <f t="shared" ref="BM18" si="261">IF(BM17&gt;0,$E17/$F17,0)</f>
        <v>110.1182608695652</v>
      </c>
      <c r="BN18" s="242">
        <f t="shared" ref="BN18" si="262">IF(BN17&gt;0,$E17/$F17,0)</f>
        <v>110.1182608695652</v>
      </c>
      <c r="BO18" s="242">
        <f t="shared" ref="BO18" si="263">IF(BO17&gt;0,$E17/$F17,0)</f>
        <v>110.1182608695652</v>
      </c>
      <c r="BP18" s="242">
        <f t="shared" ref="BP18" si="264">IF(BP17&gt;0,$E17/$F17,0)</f>
        <v>110.1182608695652</v>
      </c>
      <c r="BQ18" s="242">
        <f t="shared" ref="BQ18" si="265">IF(BQ17&gt;0,$E17/$F17,0)</f>
        <v>110.1182608695652</v>
      </c>
      <c r="BR18" s="242">
        <f t="shared" ref="BR18" si="266">IF(BR17&gt;0,$E17/$F17,0)</f>
        <v>110.1182608695652</v>
      </c>
      <c r="BS18" s="242">
        <f t="shared" ref="BS18" si="267">IF(BS17&gt;0,$E17/$F17,0)</f>
        <v>0</v>
      </c>
      <c r="BT18" s="242">
        <f t="shared" ref="BT18" si="268">IF(BT17&gt;0,$E17/$F17,0)</f>
        <v>0</v>
      </c>
      <c r="BU18" s="242">
        <f t="shared" ref="BU18" si="269">IF(BU17&gt;0,$E17/$F17,0)</f>
        <v>0</v>
      </c>
      <c r="BV18" s="242">
        <f t="shared" ref="BV18" si="270">IF(BV17&gt;0,$E17/$F17,0)</f>
        <v>0</v>
      </c>
      <c r="BW18" s="125"/>
      <c r="BX18" s="242">
        <f>IF(BX17&gt;0,$E17/$F17,0)</f>
        <v>0</v>
      </c>
      <c r="BY18" s="242">
        <f t="shared" ref="BY18" si="271">IF(BY17&gt;0,$E17/$F17,0)</f>
        <v>0</v>
      </c>
      <c r="BZ18" s="242">
        <f t="shared" ref="BZ18" si="272">IF(BZ17&gt;0,$E17/$F17,0)</f>
        <v>0</v>
      </c>
      <c r="CA18" s="242">
        <f t="shared" ref="CA18" si="273">IF(CA17&gt;0,$E17/$F17,0)</f>
        <v>0</v>
      </c>
      <c r="CB18" s="242">
        <f t="shared" ref="CB18" si="274">IF(CB17&gt;0,$E17/$F17,0)</f>
        <v>0</v>
      </c>
      <c r="CC18" s="242">
        <f t="shared" ref="CC18" si="275">IF(CC17&gt;0,$E17/$F17,0)</f>
        <v>0</v>
      </c>
      <c r="CD18" s="242">
        <f t="shared" ref="CD18" si="276">IF(CD17&gt;0,$E17/$F17,0)</f>
        <v>0</v>
      </c>
      <c r="CE18" s="242">
        <f t="shared" ref="CE18" si="277">IF(CE17&gt;0,$E17/$F17,0)</f>
        <v>0</v>
      </c>
      <c r="CF18" s="242">
        <f t="shared" ref="CF18" si="278">IF(CF17&gt;0,$E17/$F17,0)</f>
        <v>0</v>
      </c>
      <c r="CG18" s="242">
        <f t="shared" ref="CG18" si="279">IF(CG17&gt;0,$E17/$F17,0)</f>
        <v>0</v>
      </c>
      <c r="CH18" s="242">
        <f t="shared" ref="CH18" si="280">IF(CH17&gt;0,$E17/$F17,0)</f>
        <v>0</v>
      </c>
      <c r="CI18" s="242">
        <f t="shared" ref="CI18" si="281">IF(CI17&gt;0,$E17/$F17,0)</f>
        <v>0</v>
      </c>
      <c r="CJ18" s="125"/>
    </row>
    <row r="19" spans="1:88" ht="82.5" customHeight="1">
      <c r="A19" s="279">
        <v>7</v>
      </c>
      <c r="B19" s="279" t="s">
        <v>182</v>
      </c>
      <c r="C19" s="283" t="s">
        <v>243</v>
      </c>
      <c r="D19" s="279">
        <v>3</v>
      </c>
      <c r="E19" s="280">
        <v>9013.14</v>
      </c>
      <c r="F19" s="281">
        <f t="shared" ref="F19" si="282">COUNTA(K19:V19,X19:AI19,AK19:AV19,AX19:BI19,BK19:BV19,BX19:CI19)</f>
        <v>20</v>
      </c>
      <c r="G19" s="135"/>
      <c r="H19" s="136"/>
      <c r="I19" s="136"/>
      <c r="J19" s="137"/>
      <c r="K19" s="154"/>
      <c r="L19" s="150"/>
      <c r="M19" s="150"/>
      <c r="N19" s="150"/>
      <c r="O19" s="155"/>
      <c r="P19" s="152"/>
      <c r="Q19" s="151"/>
      <c r="R19" s="151"/>
      <c r="S19" s="152"/>
      <c r="T19" s="152"/>
      <c r="U19" s="152"/>
      <c r="V19" s="151"/>
      <c r="W19" s="222">
        <f t="shared" ref="W19" si="283">IF(K19="РНВ",$E19,IF(L19="РНВ",$E19,IF(M19="РНВ",$E19,IF(N19="РНВ",$E19,IF(O19="РНВ",$E19,IF(P19="РНВ",$E19,IF(Q19="РНВ",$E19,IF(R19="РНВ",$E19,IF(S19="РНВ",$E19,IF(T19="РНВ",$E19,IF(U19="РНВ",$E19,IF(V19="РНВ",$E19,0))))))))))))</f>
        <v>0</v>
      </c>
      <c r="X19" s="152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222">
        <f t="shared" ref="AJ19" si="284">IF(X19="РНВ",$E19,IF(Y19="РНВ",$E19,IF(Z19="РНВ",$E19,IF(AA19="РНВ",$E19,IF(AB19="РНВ",$E19,IF(AC19="РНВ",$E19,IF(AD19="РНВ",$E19,IF(AE19="РНВ",$E19,IF(AF19="РНВ",$E19,IF(AG19="РНВ",$E19,IF(AH19="РНВ",$E19,IF(AI19="РНВ",$E19,0))))))))))))</f>
        <v>0</v>
      </c>
      <c r="AK19" s="136"/>
      <c r="AL19" s="136"/>
      <c r="AM19" s="136"/>
      <c r="AN19" s="136"/>
      <c r="AO19" s="136"/>
      <c r="AP19" s="136"/>
      <c r="AQ19" s="151"/>
      <c r="AR19" s="151"/>
      <c r="AS19" s="151"/>
      <c r="AT19" s="151"/>
      <c r="AU19" s="151"/>
      <c r="AV19" s="151"/>
      <c r="AW19" s="222">
        <f t="shared" ref="AW19" si="285">IF(AK19="РНВ",$E19,IF(AL19="РНВ",$E19,IF(AM19="РНВ",$E19,IF(AN19="РНВ",$E19,IF(AO19="РНВ",$E19,IF(AP19="РНВ",$E19,IF(AQ19="РНВ",$E19,IF(AR19="РНВ",$E19,IF(AS19="РНВ",$E19,IF(AT19="РНВ",$E19,IF(AU19="РНВ",$E19,IF(AV19="РНВ",$E19,0))))))))))))</f>
        <v>0</v>
      </c>
      <c r="AX19" s="151"/>
      <c r="AY19" s="253"/>
      <c r="AZ19" s="253"/>
      <c r="BA19" s="253"/>
      <c r="BB19" s="133">
        <v>1</v>
      </c>
      <c r="BC19" s="133">
        <v>1</v>
      </c>
      <c r="BD19" s="133">
        <v>1</v>
      </c>
      <c r="BE19" s="133">
        <v>1</v>
      </c>
      <c r="BF19" s="133">
        <v>1</v>
      </c>
      <c r="BG19" s="133">
        <v>1</v>
      </c>
      <c r="BH19" s="133">
        <v>1</v>
      </c>
      <c r="BI19" s="133">
        <v>1</v>
      </c>
      <c r="BJ19" s="222">
        <f t="shared" ref="BJ19" si="286">IF(AX19="РНВ",$E19,IF(AY19="РНВ",$E19,IF(AZ19="РНВ",$E19,IF(BA19="РНВ",$E19,IF(BB19="РНВ",$E19,IF(BC19="РНВ",$E19,IF(BD19="РНВ",$E19,IF(BE19="РНВ",$E19,IF(BF19="РНВ",$E19,IF(BG19="РНВ",$E19,IF(BH19="РНВ",$E19,IF(BI19="РНВ",$E19,0))))))))))))</f>
        <v>0</v>
      </c>
      <c r="BK19" s="133">
        <v>1</v>
      </c>
      <c r="BL19" s="133">
        <v>1</v>
      </c>
      <c r="BM19" s="133">
        <v>1</v>
      </c>
      <c r="BN19" s="133">
        <v>1</v>
      </c>
      <c r="BO19" s="133">
        <v>1</v>
      </c>
      <c r="BP19" s="133">
        <v>1</v>
      </c>
      <c r="BQ19" s="133">
        <v>1</v>
      </c>
      <c r="BR19" s="133">
        <v>1</v>
      </c>
      <c r="BS19" s="133">
        <v>1</v>
      </c>
      <c r="BT19" s="133">
        <v>1</v>
      </c>
      <c r="BU19" s="133">
        <v>1</v>
      </c>
      <c r="BV19" s="223" t="s">
        <v>37</v>
      </c>
      <c r="BW19" s="222">
        <f t="shared" ref="BW19" si="287">IF(BK19="РНВ",$E19,IF(BL19="РНВ",$E19,IF(BM19="РНВ",$E19,IF(BN19="РНВ",$E19,IF(BO19="РНВ",$E19,IF(BP19="РНВ",$E19,IF(BQ19="РНВ",$E19,IF(BR19="РНВ",$E19,IF(BS19="РНВ",$E19,IF(BT19="РНВ",$E19,IF(BU19="РНВ",$E19,IF(BV19="РНВ",$E19,0))))))))))))</f>
        <v>9013.14</v>
      </c>
      <c r="BX19" s="254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222">
        <f t="shared" ref="CJ19" si="288">IF(BX19="РНВ",$E19,IF(BY19="РНВ",$E19,IF(BZ19="РНВ",$E19,IF(CA19="РНВ",$E19,IF(CB19="РНВ",$E19,IF(CC19="РНВ",$E19,IF(CD19="РНВ",$E19,IF(CE19="РНВ",$E19,IF(CF19="РНВ",$E19,IF(CG19="РНВ",$E19,IF(CH19="РНВ",$E19,IF(CI19="РНВ",$E19,0))))))))))))</f>
        <v>0</v>
      </c>
    </row>
    <row r="20" spans="1:88" ht="25.15" customHeight="1">
      <c r="A20" s="279"/>
      <c r="B20" s="279"/>
      <c r="C20" s="283"/>
      <c r="D20" s="279"/>
      <c r="E20" s="280"/>
      <c r="F20" s="279"/>
      <c r="G20" s="131"/>
      <c r="H20" s="132"/>
      <c r="I20" s="132"/>
      <c r="J20" s="125"/>
      <c r="K20" s="132"/>
      <c r="L20" s="128"/>
      <c r="M20" s="128"/>
      <c r="N20" s="128"/>
      <c r="O20" s="146"/>
      <c r="P20" s="146"/>
      <c r="Q20" s="128"/>
      <c r="R20" s="128"/>
      <c r="S20" s="146"/>
      <c r="T20" s="146"/>
      <c r="U20" s="146"/>
      <c r="V20" s="128"/>
      <c r="W20" s="125"/>
      <c r="X20" s="146"/>
      <c r="Y20" s="128"/>
      <c r="Z20" s="128"/>
      <c r="AA20" s="128"/>
      <c r="AB20" s="128"/>
      <c r="AC20" s="128"/>
      <c r="AD20" s="147"/>
      <c r="AE20" s="147"/>
      <c r="AF20" s="147"/>
      <c r="AG20" s="147"/>
      <c r="AH20" s="147"/>
      <c r="AI20" s="147"/>
      <c r="AJ20" s="125"/>
      <c r="AK20" s="242">
        <f>IF(AK19&gt;0,$E19/$F19,0)</f>
        <v>0</v>
      </c>
      <c r="AL20" s="242">
        <f t="shared" ref="AL20" si="289">IF(AL19&gt;0,$E19/$F19,0)</f>
        <v>0</v>
      </c>
      <c r="AM20" s="242">
        <f t="shared" ref="AM20" si="290">IF(AM19&gt;0,$E19/$F19,0)</f>
        <v>0</v>
      </c>
      <c r="AN20" s="242">
        <f t="shared" ref="AN20" si="291">IF(AN19&gt;0,$E19/$F19,0)</f>
        <v>0</v>
      </c>
      <c r="AO20" s="242">
        <f t="shared" ref="AO20" si="292">IF(AO19&gt;0,$E19/$F19,0)</f>
        <v>0</v>
      </c>
      <c r="AP20" s="242">
        <f t="shared" ref="AP20" si="293">IF(AP19&gt;0,$E19/$F19,0)</f>
        <v>0</v>
      </c>
      <c r="AQ20" s="242">
        <f t="shared" ref="AQ20" si="294">IF(AQ19&gt;0,$E19/$F19,0)</f>
        <v>0</v>
      </c>
      <c r="AR20" s="242">
        <f t="shared" ref="AR20" si="295">IF(AR19&gt;0,$E19/$F19,0)</f>
        <v>0</v>
      </c>
      <c r="AS20" s="242">
        <f t="shared" ref="AS20" si="296">IF(AS19&gt;0,$E19/$F19,0)</f>
        <v>0</v>
      </c>
      <c r="AT20" s="242">
        <f t="shared" ref="AT20" si="297">IF(AT19&gt;0,$E19/$F19,0)</f>
        <v>0</v>
      </c>
      <c r="AU20" s="242">
        <f t="shared" ref="AU20" si="298">IF(AU19&gt;0,$E19/$F19,0)</f>
        <v>0</v>
      </c>
      <c r="AV20" s="242">
        <f t="shared" ref="AV20" si="299">IF(AV19&gt;0,$E19/$F19,0)</f>
        <v>0</v>
      </c>
      <c r="AW20" s="125"/>
      <c r="AX20" s="242">
        <f>IF(AX19&gt;0,$E19/$F19,0)</f>
        <v>0</v>
      </c>
      <c r="AY20" s="242">
        <f t="shared" ref="AY20" si="300">IF(AY19&gt;0,$E19/$F19,0)</f>
        <v>0</v>
      </c>
      <c r="AZ20" s="242">
        <f t="shared" ref="AZ20" si="301">IF(AZ19&gt;0,$E19/$F19,0)</f>
        <v>0</v>
      </c>
      <c r="BA20" s="242">
        <f t="shared" ref="BA20" si="302">IF(BA19&gt;0,$E19/$F19,0)</f>
        <v>0</v>
      </c>
      <c r="BB20" s="242">
        <f t="shared" ref="BB20" si="303">IF(BB19&gt;0,$E19/$F19,0)</f>
        <v>450.65699999999998</v>
      </c>
      <c r="BC20" s="242">
        <f t="shared" ref="BC20" si="304">IF(BC19&gt;0,$E19/$F19,0)</f>
        <v>450.65699999999998</v>
      </c>
      <c r="BD20" s="242">
        <f t="shared" ref="BD20" si="305">IF(BD19&gt;0,$E19/$F19,0)</f>
        <v>450.65699999999998</v>
      </c>
      <c r="BE20" s="242">
        <f t="shared" ref="BE20" si="306">IF(BE19&gt;0,$E19/$F19,0)</f>
        <v>450.65699999999998</v>
      </c>
      <c r="BF20" s="242">
        <f t="shared" ref="BF20" si="307">IF(BF19&gt;0,$E19/$F19,0)</f>
        <v>450.65699999999998</v>
      </c>
      <c r="BG20" s="242">
        <f t="shared" ref="BG20" si="308">IF(BG19&gt;0,$E19/$F19,0)</f>
        <v>450.65699999999998</v>
      </c>
      <c r="BH20" s="242">
        <f t="shared" ref="BH20" si="309">IF(BH19&gt;0,$E19/$F19,0)</f>
        <v>450.65699999999998</v>
      </c>
      <c r="BI20" s="242">
        <f t="shared" ref="BI20" si="310">IF(BI19&gt;0,$E19/$F19,0)</f>
        <v>450.65699999999998</v>
      </c>
      <c r="BJ20" s="125"/>
      <c r="BK20" s="242">
        <f>IF(BK19&gt;0,$E19/$F19,0)</f>
        <v>450.65699999999998</v>
      </c>
      <c r="BL20" s="242">
        <f t="shared" ref="BL20" si="311">IF(BL19&gt;0,$E19/$F19,0)</f>
        <v>450.65699999999998</v>
      </c>
      <c r="BM20" s="242">
        <f t="shared" ref="BM20" si="312">IF(BM19&gt;0,$E19/$F19,0)</f>
        <v>450.65699999999998</v>
      </c>
      <c r="BN20" s="242">
        <f t="shared" ref="BN20" si="313">IF(BN19&gt;0,$E19/$F19,0)</f>
        <v>450.65699999999998</v>
      </c>
      <c r="BO20" s="242">
        <f t="shared" ref="BO20" si="314">IF(BO19&gt;0,$E19/$F19,0)</f>
        <v>450.65699999999998</v>
      </c>
      <c r="BP20" s="242">
        <f t="shared" ref="BP20" si="315">IF(BP19&gt;0,$E19/$F19,0)</f>
        <v>450.65699999999998</v>
      </c>
      <c r="BQ20" s="242">
        <f t="shared" ref="BQ20" si="316">IF(BQ19&gt;0,$E19/$F19,0)</f>
        <v>450.65699999999998</v>
      </c>
      <c r="BR20" s="242">
        <f t="shared" ref="BR20" si="317">IF(BR19&gt;0,$E19/$F19,0)</f>
        <v>450.65699999999998</v>
      </c>
      <c r="BS20" s="242">
        <f t="shared" ref="BS20" si="318">IF(BS19&gt;0,$E19/$F19,0)</f>
        <v>450.65699999999998</v>
      </c>
      <c r="BT20" s="242">
        <f t="shared" ref="BT20" si="319">IF(BT19&gt;0,$E19/$F19,0)</f>
        <v>450.65699999999998</v>
      </c>
      <c r="BU20" s="242">
        <f t="shared" ref="BU20" si="320">IF(BU19&gt;0,$E19/$F19,0)</f>
        <v>450.65699999999998</v>
      </c>
      <c r="BV20" s="242">
        <f t="shared" ref="BV20" si="321">IF(BV19&gt;0,$E19/$F19,0)</f>
        <v>450.65699999999998</v>
      </c>
      <c r="BW20" s="125"/>
      <c r="BX20" s="242">
        <f>IF(BX19&gt;0,$E19/$F19,0)</f>
        <v>0</v>
      </c>
      <c r="BY20" s="242">
        <f t="shared" ref="BY20" si="322">IF(BY19&gt;0,$E19/$F19,0)</f>
        <v>0</v>
      </c>
      <c r="BZ20" s="242">
        <f t="shared" ref="BZ20" si="323">IF(BZ19&gt;0,$E19/$F19,0)</f>
        <v>0</v>
      </c>
      <c r="CA20" s="242">
        <f t="shared" ref="CA20" si="324">IF(CA19&gt;0,$E19/$F19,0)</f>
        <v>0</v>
      </c>
      <c r="CB20" s="242">
        <f t="shared" ref="CB20" si="325">IF(CB19&gt;0,$E19/$F19,0)</f>
        <v>0</v>
      </c>
      <c r="CC20" s="242">
        <f t="shared" ref="CC20" si="326">IF(CC19&gt;0,$E19/$F19,0)</f>
        <v>0</v>
      </c>
      <c r="CD20" s="242">
        <f t="shared" ref="CD20" si="327">IF(CD19&gt;0,$E19/$F19,0)</f>
        <v>0</v>
      </c>
      <c r="CE20" s="242">
        <f t="shared" ref="CE20" si="328">IF(CE19&gt;0,$E19/$F19,0)</f>
        <v>0</v>
      </c>
      <c r="CF20" s="242">
        <f t="shared" ref="CF20" si="329">IF(CF19&gt;0,$E19/$F19,0)</f>
        <v>0</v>
      </c>
      <c r="CG20" s="242">
        <f t="shared" ref="CG20" si="330">IF(CG19&gt;0,$E19/$F19,0)</f>
        <v>0</v>
      </c>
      <c r="CH20" s="242">
        <f t="shared" ref="CH20" si="331">IF(CH19&gt;0,$E19/$F19,0)</f>
        <v>0</v>
      </c>
      <c r="CI20" s="242">
        <f t="shared" ref="CI20" si="332">IF(CI19&gt;0,$E19/$F19,0)</f>
        <v>0</v>
      </c>
      <c r="CJ20" s="125"/>
    </row>
    <row r="21" spans="1:88" ht="82.5" customHeight="1">
      <c r="A21" s="279">
        <v>8</v>
      </c>
      <c r="B21" s="285" t="s">
        <v>221</v>
      </c>
      <c r="C21" s="283" t="s">
        <v>243</v>
      </c>
      <c r="D21" s="279">
        <v>2</v>
      </c>
      <c r="E21" s="280">
        <v>5404.72</v>
      </c>
      <c r="F21" s="281">
        <f t="shared" ref="F21" si="333">COUNTA(K21:V21,X21:AI21,AK21:AV21,AX21:BI21,BK21:BV21,BX21:CI21)</f>
        <v>21</v>
      </c>
      <c r="G21" s="135"/>
      <c r="H21" s="136"/>
      <c r="I21" s="136"/>
      <c r="J21" s="137"/>
      <c r="K21" s="154"/>
      <c r="L21" s="150"/>
      <c r="M21" s="150"/>
      <c r="N21" s="150"/>
      <c r="O21" s="155"/>
      <c r="P21" s="152"/>
      <c r="Q21" s="151"/>
      <c r="R21" s="151"/>
      <c r="S21" s="152"/>
      <c r="T21" s="152"/>
      <c r="U21" s="152"/>
      <c r="V21" s="151"/>
      <c r="W21" s="222">
        <f t="shared" ref="W21" si="334">IF(K21="РНВ",$E21,IF(L21="РНВ",$E21,IF(M21="РНВ",$E21,IF(N21="РНВ",$E21,IF(O21="РНВ",$E21,IF(P21="РНВ",$E21,IF(Q21="РНВ",$E21,IF(R21="РНВ",$E21,IF(S21="РНВ",$E21,IF(T21="РНВ",$E21,IF(U21="РНВ",$E21,IF(V21="РНВ",$E21,0))))))))))))</f>
        <v>0</v>
      </c>
      <c r="X21" s="152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222">
        <f t="shared" ref="AJ21" si="335">IF(X21="РНВ",$E21,IF(Y21="РНВ",$E21,IF(Z21="РНВ",$E21,IF(AA21="РНВ",$E21,IF(AB21="РНВ",$E21,IF(AC21="РНВ",$E21,IF(AD21="РНВ",$E21,IF(AE21="РНВ",$E21,IF(AF21="РНВ",$E21,IF(AG21="РНВ",$E21,IF(AH21="РНВ",$E21,IF(AI21="РНВ",$E21,0))))))))))))</f>
        <v>0</v>
      </c>
      <c r="AK21" s="136"/>
      <c r="AL21" s="136"/>
      <c r="AM21" s="136"/>
      <c r="AN21" s="136"/>
      <c r="AO21" s="136"/>
      <c r="AP21" s="136"/>
      <c r="AQ21" s="151"/>
      <c r="AR21" s="151"/>
      <c r="AS21" s="151"/>
      <c r="AT21" s="151"/>
      <c r="AU21" s="151"/>
      <c r="AV21" s="151"/>
      <c r="AW21" s="222">
        <f t="shared" ref="AW21" si="336">IF(AK21="РНВ",$E21,IF(AL21="РНВ",$E21,IF(AM21="РНВ",$E21,IF(AN21="РНВ",$E21,IF(AO21="РНВ",$E21,IF(AP21="РНВ",$E21,IF(AQ21="РНВ",$E21,IF(AR21="РНВ",$E21,IF(AS21="РНВ",$E21,IF(AT21="РНВ",$E21,IF(AU21="РНВ",$E21,IF(AV21="РНВ",$E21,0))))))))))))</f>
        <v>0</v>
      </c>
      <c r="AX21" s="151"/>
      <c r="AY21" s="151"/>
      <c r="AZ21" s="151"/>
      <c r="BA21" s="151"/>
      <c r="BB21" s="151"/>
      <c r="BC21" s="151"/>
      <c r="BD21" s="151"/>
      <c r="BE21" s="151"/>
      <c r="BF21" s="151"/>
      <c r="BG21" s="151"/>
      <c r="BH21" s="151"/>
      <c r="BI21" s="226"/>
      <c r="BJ21" s="222">
        <f t="shared" ref="BJ21" si="337">IF(AX21="РНВ",$E21,IF(AY21="РНВ",$E21,IF(AZ21="РНВ",$E21,IF(BA21="РНВ",$E21,IF(BB21="РНВ",$E21,IF(BC21="РНВ",$E21,IF(BD21="РНВ",$E21,IF(BE21="РНВ",$E21,IF(BF21="РНВ",$E21,IF(BG21="РНВ",$E21,IF(BH21="РНВ",$E21,IF(BI21="РНВ",$E21,0))))))))))))</f>
        <v>0</v>
      </c>
      <c r="BK21" s="259">
        <v>1</v>
      </c>
      <c r="BL21" s="259">
        <v>1</v>
      </c>
      <c r="BM21" s="259">
        <v>1</v>
      </c>
      <c r="BN21" s="133">
        <v>1</v>
      </c>
      <c r="BO21" s="133">
        <v>1</v>
      </c>
      <c r="BP21" s="133">
        <v>1</v>
      </c>
      <c r="BQ21" s="133">
        <v>1</v>
      </c>
      <c r="BR21" s="133">
        <v>1</v>
      </c>
      <c r="BS21" s="133">
        <v>1</v>
      </c>
      <c r="BT21" s="133">
        <v>1</v>
      </c>
      <c r="BU21" s="133">
        <v>1</v>
      </c>
      <c r="BV21" s="133">
        <v>1</v>
      </c>
      <c r="BW21" s="222">
        <f t="shared" ref="BW21" si="338">IF(BK21="РНВ",$E21,IF(BL21="РНВ",$E21,IF(BM21="РНВ",$E21,IF(BN21="РНВ",$E21,IF(BO21="РНВ",$E21,IF(BP21="РНВ",$E21,IF(BQ21="РНВ",$E21,IF(BR21="РНВ",$E21,IF(BS21="РНВ",$E21,IF(BT21="РНВ",$E21,IF(BU21="РНВ",$E21,IF(BV21="РНВ",$E21,0))))))))))))</f>
        <v>0</v>
      </c>
      <c r="BX21" s="133">
        <v>1</v>
      </c>
      <c r="BY21" s="133">
        <v>1</v>
      </c>
      <c r="BZ21" s="133">
        <v>1</v>
      </c>
      <c r="CA21" s="133">
        <v>1</v>
      </c>
      <c r="CB21" s="133">
        <v>1</v>
      </c>
      <c r="CC21" s="133">
        <v>1</v>
      </c>
      <c r="CD21" s="133">
        <v>1</v>
      </c>
      <c r="CE21" s="133">
        <v>1</v>
      </c>
      <c r="CF21" s="223" t="s">
        <v>37</v>
      </c>
      <c r="CG21" s="136"/>
      <c r="CH21" s="136"/>
      <c r="CI21" s="136"/>
      <c r="CJ21" s="222">
        <f t="shared" ref="CJ21" si="339">IF(BX21="РНВ",$E21,IF(BY21="РНВ",$E21,IF(BZ21="РНВ",$E21,IF(CA21="РНВ",$E21,IF(CB21="РНВ",$E21,IF(CC21="РНВ",$E21,IF(CD21="РНВ",$E21,IF(CE21="РНВ",$E21,IF(CF21="РНВ",$E21,IF(CG21="РНВ",$E21,IF(CH21="РНВ",$E21,IF(CI21="РНВ",$E21,0))))))))))))</f>
        <v>5404.72</v>
      </c>
    </row>
    <row r="22" spans="1:88" ht="25.15" customHeight="1">
      <c r="A22" s="279"/>
      <c r="B22" s="279"/>
      <c r="C22" s="283"/>
      <c r="D22" s="279"/>
      <c r="E22" s="280"/>
      <c r="F22" s="279"/>
      <c r="G22" s="131"/>
      <c r="H22" s="132"/>
      <c r="I22" s="132"/>
      <c r="J22" s="125"/>
      <c r="K22" s="132"/>
      <c r="L22" s="128"/>
      <c r="M22" s="128"/>
      <c r="N22" s="128"/>
      <c r="O22" s="146"/>
      <c r="P22" s="146"/>
      <c r="Q22" s="128"/>
      <c r="R22" s="128"/>
      <c r="S22" s="146"/>
      <c r="T22" s="146"/>
      <c r="U22" s="146"/>
      <c r="V22" s="128"/>
      <c r="W22" s="125"/>
      <c r="X22" s="146"/>
      <c r="Y22" s="128"/>
      <c r="Z22" s="128"/>
      <c r="AA22" s="128"/>
      <c r="AB22" s="128"/>
      <c r="AC22" s="128"/>
      <c r="AD22" s="147"/>
      <c r="AE22" s="147"/>
      <c r="AF22" s="147"/>
      <c r="AG22" s="147"/>
      <c r="AH22" s="147"/>
      <c r="AI22" s="147"/>
      <c r="AJ22" s="125"/>
      <c r="AK22" s="242">
        <f>IF(AK21&gt;0,$E21/$F21,0)</f>
        <v>0</v>
      </c>
      <c r="AL22" s="242">
        <f t="shared" ref="AL22" si="340">IF(AL21&gt;0,$E21/$F21,0)</f>
        <v>0</v>
      </c>
      <c r="AM22" s="242">
        <f t="shared" ref="AM22" si="341">IF(AM21&gt;0,$E21/$F21,0)</f>
        <v>0</v>
      </c>
      <c r="AN22" s="242">
        <f t="shared" ref="AN22" si="342">IF(AN21&gt;0,$E21/$F21,0)</f>
        <v>0</v>
      </c>
      <c r="AO22" s="242">
        <f t="shared" ref="AO22" si="343">IF(AO21&gt;0,$E21/$F21,0)</f>
        <v>0</v>
      </c>
      <c r="AP22" s="242">
        <f t="shared" ref="AP22" si="344">IF(AP21&gt;0,$E21/$F21,0)</f>
        <v>0</v>
      </c>
      <c r="AQ22" s="242">
        <f t="shared" ref="AQ22" si="345">IF(AQ21&gt;0,$E21/$F21,0)</f>
        <v>0</v>
      </c>
      <c r="AR22" s="242">
        <f t="shared" ref="AR22" si="346">IF(AR21&gt;0,$E21/$F21,0)</f>
        <v>0</v>
      </c>
      <c r="AS22" s="242">
        <f t="shared" ref="AS22" si="347">IF(AS21&gt;0,$E21/$F21,0)</f>
        <v>0</v>
      </c>
      <c r="AT22" s="242">
        <f t="shared" ref="AT22" si="348">IF(AT21&gt;0,$E21/$F21,0)</f>
        <v>0</v>
      </c>
      <c r="AU22" s="242">
        <f t="shared" ref="AU22" si="349">IF(AU21&gt;0,$E21/$F21,0)</f>
        <v>0</v>
      </c>
      <c r="AV22" s="242">
        <f t="shared" ref="AV22" si="350">IF(AV21&gt;0,$E21/$F21,0)</f>
        <v>0</v>
      </c>
      <c r="AW22" s="125"/>
      <c r="AX22" s="242">
        <f>IF(AX21&gt;0,$E21/$F21,0)</f>
        <v>0</v>
      </c>
      <c r="AY22" s="242">
        <f t="shared" ref="AY22" si="351">IF(AY21&gt;0,$E21/$F21,0)</f>
        <v>0</v>
      </c>
      <c r="AZ22" s="242">
        <f t="shared" ref="AZ22" si="352">IF(AZ21&gt;0,$E21/$F21,0)</f>
        <v>0</v>
      </c>
      <c r="BA22" s="242">
        <f t="shared" ref="BA22" si="353">IF(BA21&gt;0,$E21/$F21,0)</f>
        <v>0</v>
      </c>
      <c r="BB22" s="242">
        <f t="shared" ref="BB22" si="354">IF(BB21&gt;0,$E21/$F21,0)</f>
        <v>0</v>
      </c>
      <c r="BC22" s="242">
        <f t="shared" ref="BC22" si="355">IF(BC21&gt;0,$E21/$F21,0)</f>
        <v>0</v>
      </c>
      <c r="BD22" s="242">
        <f t="shared" ref="BD22" si="356">IF(BD21&gt;0,$E21/$F21,0)</f>
        <v>0</v>
      </c>
      <c r="BE22" s="242">
        <f t="shared" ref="BE22" si="357">IF(BE21&gt;0,$E21/$F21,0)</f>
        <v>0</v>
      </c>
      <c r="BF22" s="242">
        <f t="shared" ref="BF22" si="358">IF(BF21&gt;0,$E21/$F21,0)</f>
        <v>0</v>
      </c>
      <c r="BG22" s="242">
        <f t="shared" ref="BG22" si="359">IF(BG21&gt;0,$E21/$F21,0)</f>
        <v>0</v>
      </c>
      <c r="BH22" s="242">
        <f t="shared" ref="BH22" si="360">IF(BH21&gt;0,$E21/$F21,0)</f>
        <v>0</v>
      </c>
      <c r="BI22" s="242">
        <f t="shared" ref="BI22" si="361">IF(BI21&gt;0,$E21/$F21,0)</f>
        <v>0</v>
      </c>
      <c r="BJ22" s="125"/>
      <c r="BK22" s="242">
        <f>IF(BK21&gt;0,$E21/$F21,0)</f>
        <v>257.36761904761909</v>
      </c>
      <c r="BL22" s="242">
        <f t="shared" ref="BL22" si="362">IF(BL21&gt;0,$E21/$F21,0)</f>
        <v>257.36761904761909</v>
      </c>
      <c r="BM22" s="242">
        <f t="shared" ref="BM22" si="363">IF(BM21&gt;0,$E21/$F21,0)</f>
        <v>257.36761904761909</v>
      </c>
      <c r="BN22" s="242">
        <f t="shared" ref="BN22" si="364">IF(BN21&gt;0,$E21/$F21,0)</f>
        <v>257.36761904761909</v>
      </c>
      <c r="BO22" s="242">
        <f t="shared" ref="BO22" si="365">IF(BO21&gt;0,$E21/$F21,0)</f>
        <v>257.36761904761909</v>
      </c>
      <c r="BP22" s="242">
        <f t="shared" ref="BP22" si="366">IF(BP21&gt;0,$E21/$F21,0)</f>
        <v>257.36761904761909</v>
      </c>
      <c r="BQ22" s="242">
        <f t="shared" ref="BQ22" si="367">IF(BQ21&gt;0,$E21/$F21,0)</f>
        <v>257.36761904761909</v>
      </c>
      <c r="BR22" s="242">
        <f t="shared" ref="BR22" si="368">IF(BR21&gt;0,$E21/$F21,0)</f>
        <v>257.36761904761909</v>
      </c>
      <c r="BS22" s="242">
        <f t="shared" ref="BS22" si="369">IF(BS21&gt;0,$E21/$F21,0)</f>
        <v>257.36761904761909</v>
      </c>
      <c r="BT22" s="242">
        <f t="shared" ref="BT22" si="370">IF(BT21&gt;0,$E21/$F21,0)</f>
        <v>257.36761904761909</v>
      </c>
      <c r="BU22" s="242">
        <f t="shared" ref="BU22" si="371">IF(BU21&gt;0,$E21/$F21,0)</f>
        <v>257.36761904761909</v>
      </c>
      <c r="BV22" s="242">
        <f t="shared" ref="BV22" si="372">IF(BV21&gt;0,$E21/$F21,0)</f>
        <v>257.36761904761909</v>
      </c>
      <c r="BW22" s="125"/>
      <c r="BX22" s="242">
        <f>IF(BX21&gt;0,$E21/$F21,0)</f>
        <v>257.36761904761909</v>
      </c>
      <c r="BY22" s="242">
        <f t="shared" ref="BY22" si="373">IF(BY21&gt;0,$E21/$F21,0)</f>
        <v>257.36761904761909</v>
      </c>
      <c r="BZ22" s="242">
        <f t="shared" ref="BZ22" si="374">IF(BZ21&gt;0,$E21/$F21,0)</f>
        <v>257.36761904761909</v>
      </c>
      <c r="CA22" s="242">
        <f t="shared" ref="CA22" si="375">IF(CA21&gt;0,$E21/$F21,0)</f>
        <v>257.36761904761909</v>
      </c>
      <c r="CB22" s="242">
        <f t="shared" ref="CB22" si="376">IF(CB21&gt;0,$E21/$F21,0)</f>
        <v>257.36761904761909</v>
      </c>
      <c r="CC22" s="242">
        <f t="shared" ref="CC22" si="377">IF(CC21&gt;0,$E21/$F21,0)</f>
        <v>257.36761904761909</v>
      </c>
      <c r="CD22" s="242">
        <f t="shared" ref="CD22" si="378">IF(CD21&gt;0,$E21/$F21,0)</f>
        <v>257.36761904761909</v>
      </c>
      <c r="CE22" s="242">
        <f t="shared" ref="CE22" si="379">IF(CE21&gt;0,$E21/$F21,0)</f>
        <v>257.36761904761909</v>
      </c>
      <c r="CF22" s="242">
        <f t="shared" ref="CF22" si="380">IF(CF21&gt;0,$E21/$F21,0)</f>
        <v>257.36761904761909</v>
      </c>
      <c r="CG22" s="242">
        <f t="shared" ref="CG22" si="381">IF(CG21&gt;0,$E21/$F21,0)</f>
        <v>0</v>
      </c>
      <c r="CH22" s="242">
        <f t="shared" ref="CH22" si="382">IF(CH21&gt;0,$E21/$F21,0)</f>
        <v>0</v>
      </c>
      <c r="CI22" s="242">
        <f t="shared" ref="CI22" si="383">IF(CI21&gt;0,$E21/$F21,0)</f>
        <v>0</v>
      </c>
      <c r="CJ22" s="125"/>
    </row>
    <row r="23" spans="1:88" ht="82.5" customHeight="1">
      <c r="A23" s="279">
        <v>9</v>
      </c>
      <c r="B23" s="279" t="s">
        <v>183</v>
      </c>
      <c r="C23" s="279" t="s">
        <v>176</v>
      </c>
      <c r="D23" s="279">
        <v>5</v>
      </c>
      <c r="E23" s="296">
        <v>13670.6</v>
      </c>
      <c r="F23" s="281">
        <f>COUNTA(K23:V23,X23:AI23,AK23:AV23,AX23:BI23,BK23:BV23,BX23:CI23)</f>
        <v>31</v>
      </c>
      <c r="G23" s="135"/>
      <c r="H23" s="136"/>
      <c r="I23" s="136"/>
      <c r="J23" s="137"/>
      <c r="K23" s="154"/>
      <c r="L23" s="154"/>
      <c r="M23" s="154"/>
      <c r="N23" s="154"/>
      <c r="O23" s="154"/>
      <c r="P23" s="144">
        <v>1</v>
      </c>
      <c r="Q23" s="144">
        <v>1</v>
      </c>
      <c r="R23" s="133">
        <v>1</v>
      </c>
      <c r="S23" s="144">
        <v>1</v>
      </c>
      <c r="T23" s="144">
        <v>1</v>
      </c>
      <c r="U23" s="144">
        <v>1</v>
      </c>
      <c r="V23" s="133">
        <v>1</v>
      </c>
      <c r="W23" s="222">
        <f t="shared" ref="W23" si="384">IF(K23="РНВ",$E23,IF(L23="РНВ",$E23,IF(M23="РНВ",$E23,IF(N23="РНВ",$E23,IF(O23="РНВ",$E23,IF(P23="РНВ",$E23,IF(Q23="РНВ",$E23,IF(R23="РНВ",$E23,IF(S23="РНВ",$E23,IF(T23="РНВ",$E23,IF(U23="РНВ",$E23,IF(V23="РНВ",$E23,0))))))))))))</f>
        <v>0</v>
      </c>
      <c r="X23" s="144">
        <v>1</v>
      </c>
      <c r="Y23" s="144">
        <v>1</v>
      </c>
      <c r="Z23" s="144">
        <v>1</v>
      </c>
      <c r="AA23" s="144">
        <v>1</v>
      </c>
      <c r="AB23" s="144">
        <v>1</v>
      </c>
      <c r="AC23" s="144">
        <v>1</v>
      </c>
      <c r="AD23" s="133">
        <v>1</v>
      </c>
      <c r="AE23" s="133">
        <v>1</v>
      </c>
      <c r="AF23" s="133">
        <v>1</v>
      </c>
      <c r="AG23" s="133">
        <v>1</v>
      </c>
      <c r="AH23" s="133">
        <v>1</v>
      </c>
      <c r="AI23" s="133">
        <v>1</v>
      </c>
      <c r="AJ23" s="222">
        <f t="shared" ref="AJ23" si="385">IF(X23="РНВ",$E23,IF(Y23="РНВ",$E23,IF(Z23="РНВ",$E23,IF(AA23="РНВ",$E23,IF(AB23="РНВ",$E23,IF(AC23="РНВ",$E23,IF(AD23="РНВ",$E23,IF(AE23="РНВ",$E23,IF(AF23="РНВ",$E23,IF(AG23="РНВ",$E23,IF(AH23="РНВ",$E23,IF(AI23="РНВ",$E23,0))))))))))))</f>
        <v>0</v>
      </c>
      <c r="AK23" s="133">
        <v>1</v>
      </c>
      <c r="AL23" s="133">
        <v>1</v>
      </c>
      <c r="AM23" s="133">
        <v>1</v>
      </c>
      <c r="AN23" s="133">
        <v>1</v>
      </c>
      <c r="AO23" s="133">
        <v>1</v>
      </c>
      <c r="AP23" s="133">
        <v>1</v>
      </c>
      <c r="AQ23" s="133">
        <v>1</v>
      </c>
      <c r="AR23" s="133">
        <v>1</v>
      </c>
      <c r="AS23" s="133">
        <v>1</v>
      </c>
      <c r="AT23" s="133">
        <v>1</v>
      </c>
      <c r="AU23" s="133">
        <v>1</v>
      </c>
      <c r="AV23" s="227" t="s">
        <v>37</v>
      </c>
      <c r="AW23" s="222">
        <f t="shared" ref="AW23" si="386">IF(AK23="РНВ",$E23,IF(AL23="РНВ",$E23,IF(AM23="РНВ",$E23,IF(AN23="РНВ",$E23,IF(AO23="РНВ",$E23,IF(AP23="РНВ",$E23,IF(AQ23="РНВ",$E23,IF(AR23="РНВ",$E23,IF(AS23="РНВ",$E23,IF(AT23="РНВ",$E23,IF(AU23="РНВ",$E23,IF(AV23="РНВ",$E23,0))))))))))))</f>
        <v>13670.6</v>
      </c>
      <c r="AX23" s="136"/>
      <c r="AY23" s="136"/>
      <c r="AZ23" s="136"/>
      <c r="BA23" s="136"/>
      <c r="BB23" s="136"/>
      <c r="BC23" s="136"/>
      <c r="BD23" s="136"/>
      <c r="BE23" s="136"/>
      <c r="BF23" s="136"/>
      <c r="BG23" s="136"/>
      <c r="BH23" s="136"/>
      <c r="BI23" s="136"/>
      <c r="BJ23" s="222">
        <f t="shared" ref="BJ23" si="387">IF(AX23="РНВ",$E23,IF(AY23="РНВ",$E23,IF(AZ23="РНВ",$E23,IF(BA23="РНВ",$E23,IF(BB23="РНВ",$E23,IF(BC23="РНВ",$E23,IF(BD23="РНВ",$E23,IF(BE23="РНВ",$E23,IF(BF23="РНВ",$E23,IF(BG23="РНВ",$E23,IF(BH23="РНВ",$E23,IF(BI23="РНВ",$E23,0))))))))))))</f>
        <v>0</v>
      </c>
      <c r="BK23" s="136"/>
      <c r="BL23" s="136"/>
      <c r="BM23" s="136"/>
      <c r="BN23" s="136"/>
      <c r="BO23" s="136"/>
      <c r="BP23" s="136"/>
      <c r="BQ23" s="136"/>
      <c r="BR23" s="136"/>
      <c r="BS23" s="136"/>
      <c r="BT23" s="136"/>
      <c r="BU23" s="136"/>
      <c r="BV23" s="136"/>
      <c r="BW23" s="222">
        <f t="shared" ref="BW23" si="388">IF(BK23="РНВ",$E23,IF(BL23="РНВ",$E23,IF(BM23="РНВ",$E23,IF(BN23="РНВ",$E23,IF(BO23="РНВ",$E23,IF(BP23="РНВ",$E23,IF(BQ23="РНВ",$E23,IF(BR23="РНВ",$E23,IF(BS23="РНВ",$E23,IF(BT23="РНВ",$E23,IF(BU23="РНВ",$E23,IF(BV23="РНВ",$E23,0))))))))))))</f>
        <v>0</v>
      </c>
      <c r="BX23" s="136"/>
      <c r="BY23" s="136"/>
      <c r="BZ23" s="136"/>
      <c r="CA23" s="136"/>
      <c r="CB23" s="136"/>
      <c r="CC23" s="136"/>
      <c r="CD23" s="136"/>
      <c r="CE23" s="136"/>
      <c r="CF23" s="136"/>
      <c r="CG23" s="136"/>
      <c r="CH23" s="136"/>
      <c r="CI23" s="136"/>
      <c r="CJ23" s="222">
        <f t="shared" ref="CJ23" si="389">IF(BX23="РНВ",$E23,IF(BY23="РНВ",$E23,IF(BZ23="РНВ",$E23,IF(CA23="РНВ",$E23,IF(CB23="РНВ",$E23,IF(CC23="РНВ",$E23,IF(CD23="РНВ",$E23,IF(CE23="РНВ",$E23,IF(CF23="РНВ",$E23,IF(CG23="РНВ",$E23,IF(CH23="РНВ",$E23,IF(CI23="РНВ",$E23,0))))))))))))</f>
        <v>0</v>
      </c>
    </row>
    <row r="24" spans="1:88" ht="22.15" customHeight="1">
      <c r="A24" s="279"/>
      <c r="B24" s="279"/>
      <c r="C24" s="279"/>
      <c r="D24" s="279"/>
      <c r="E24" s="280"/>
      <c r="F24" s="279"/>
      <c r="G24" s="131"/>
      <c r="H24" s="132"/>
      <c r="I24" s="132"/>
      <c r="J24" s="125"/>
      <c r="K24" s="132"/>
      <c r="L24" s="147"/>
      <c r="M24" s="147"/>
      <c r="N24" s="147"/>
      <c r="O24" s="156"/>
      <c r="P24" s="156"/>
      <c r="Q24" s="156"/>
      <c r="R24" s="128"/>
      <c r="S24" s="146"/>
      <c r="T24" s="146"/>
      <c r="U24" s="146"/>
      <c r="V24" s="128"/>
      <c r="W24" s="125"/>
      <c r="X24" s="146"/>
      <c r="Y24" s="128"/>
      <c r="Z24" s="128"/>
      <c r="AA24" s="128"/>
      <c r="AB24" s="128"/>
      <c r="AC24" s="128"/>
      <c r="AD24" s="142"/>
      <c r="AE24" s="142"/>
      <c r="AF24" s="142"/>
      <c r="AG24" s="142"/>
      <c r="AH24" s="142"/>
      <c r="AI24" s="142"/>
      <c r="AJ24" s="125"/>
      <c r="AK24" s="242">
        <f>IF(AK23&gt;0,$E23/$F23,0)</f>
        <v>440.98709677419356</v>
      </c>
      <c r="AL24" s="242">
        <f t="shared" ref="AL24" si="390">IF(AL23&gt;0,$E23/$F23,0)</f>
        <v>440.98709677419356</v>
      </c>
      <c r="AM24" s="242">
        <f t="shared" ref="AM24" si="391">IF(AM23&gt;0,$E23/$F23,0)</f>
        <v>440.98709677419356</v>
      </c>
      <c r="AN24" s="242">
        <f t="shared" ref="AN24" si="392">IF(AN23&gt;0,$E23/$F23,0)</f>
        <v>440.98709677419356</v>
      </c>
      <c r="AO24" s="242">
        <f t="shared" ref="AO24" si="393">IF(AO23&gt;0,$E23/$F23,0)</f>
        <v>440.98709677419356</v>
      </c>
      <c r="AP24" s="242">
        <f t="shared" ref="AP24" si="394">IF(AP23&gt;0,$E23/$F23,0)</f>
        <v>440.98709677419356</v>
      </c>
      <c r="AQ24" s="242">
        <f t="shared" ref="AQ24" si="395">IF(AQ23&gt;0,$E23/$F23,0)</f>
        <v>440.98709677419356</v>
      </c>
      <c r="AR24" s="242">
        <f t="shared" ref="AR24" si="396">IF(AR23&gt;0,$E23/$F23,0)</f>
        <v>440.98709677419356</v>
      </c>
      <c r="AS24" s="242">
        <f t="shared" ref="AS24" si="397">IF(AS23&gt;0,$E23/$F23,0)</f>
        <v>440.98709677419356</v>
      </c>
      <c r="AT24" s="242">
        <f t="shared" ref="AT24" si="398">IF(AT23&gt;0,$E23/$F23,0)</f>
        <v>440.98709677419356</v>
      </c>
      <c r="AU24" s="242">
        <f t="shared" ref="AU24" si="399">IF(AU23&gt;0,$E23/$F23,0)</f>
        <v>440.98709677419356</v>
      </c>
      <c r="AV24" s="242">
        <f t="shared" ref="AV24" si="400">IF(AV23&gt;0,$E23/$F23,0)</f>
        <v>440.98709677419356</v>
      </c>
      <c r="AW24" s="125"/>
      <c r="AX24" s="242">
        <f>IF(AX23&gt;0,$E23/$F23,0)</f>
        <v>0</v>
      </c>
      <c r="AY24" s="242">
        <f t="shared" ref="AY24" si="401">IF(AY23&gt;0,$E23/$F23,0)</f>
        <v>0</v>
      </c>
      <c r="AZ24" s="242">
        <f t="shared" ref="AZ24" si="402">IF(AZ23&gt;0,$E23/$F23,0)</f>
        <v>0</v>
      </c>
      <c r="BA24" s="242">
        <f t="shared" ref="BA24" si="403">IF(BA23&gt;0,$E23/$F23,0)</f>
        <v>0</v>
      </c>
      <c r="BB24" s="242">
        <f t="shared" ref="BB24" si="404">IF(BB23&gt;0,$E23/$F23,0)</f>
        <v>0</v>
      </c>
      <c r="BC24" s="242">
        <f t="shared" ref="BC24" si="405">IF(BC23&gt;0,$E23/$F23,0)</f>
        <v>0</v>
      </c>
      <c r="BD24" s="242">
        <f t="shared" ref="BD24" si="406">IF(BD23&gt;0,$E23/$F23,0)</f>
        <v>0</v>
      </c>
      <c r="BE24" s="242">
        <f t="shared" ref="BE24" si="407">IF(BE23&gt;0,$E23/$F23,0)</f>
        <v>0</v>
      </c>
      <c r="BF24" s="242">
        <f t="shared" ref="BF24" si="408">IF(BF23&gt;0,$E23/$F23,0)</f>
        <v>0</v>
      </c>
      <c r="BG24" s="242">
        <f t="shared" ref="BG24" si="409">IF(BG23&gt;0,$E23/$F23,0)</f>
        <v>0</v>
      </c>
      <c r="BH24" s="242">
        <f t="shared" ref="BH24" si="410">IF(BH23&gt;0,$E23/$F23,0)</f>
        <v>0</v>
      </c>
      <c r="BI24" s="242">
        <f t="shared" ref="BI24" si="411">IF(BI23&gt;0,$E23/$F23,0)</f>
        <v>0</v>
      </c>
      <c r="BJ24" s="125"/>
      <c r="BK24" s="242">
        <f>IF(BK23&gt;0,$E23/$F23,0)</f>
        <v>0</v>
      </c>
      <c r="BL24" s="242">
        <f t="shared" ref="BL24" si="412">IF(BL23&gt;0,$E23/$F23,0)</f>
        <v>0</v>
      </c>
      <c r="BM24" s="242">
        <f t="shared" ref="BM24" si="413">IF(BM23&gt;0,$E23/$F23,0)</f>
        <v>0</v>
      </c>
      <c r="BN24" s="242">
        <f t="shared" ref="BN24" si="414">IF(BN23&gt;0,$E23/$F23,0)</f>
        <v>0</v>
      </c>
      <c r="BO24" s="242">
        <f t="shared" ref="BO24" si="415">IF(BO23&gt;0,$E23/$F23,0)</f>
        <v>0</v>
      </c>
      <c r="BP24" s="242">
        <f t="shared" ref="BP24" si="416">IF(BP23&gt;0,$E23/$F23,0)</f>
        <v>0</v>
      </c>
      <c r="BQ24" s="242">
        <f t="shared" ref="BQ24" si="417">IF(BQ23&gt;0,$E23/$F23,0)</f>
        <v>0</v>
      </c>
      <c r="BR24" s="242">
        <f t="shared" ref="BR24" si="418">IF(BR23&gt;0,$E23/$F23,0)</f>
        <v>0</v>
      </c>
      <c r="BS24" s="242">
        <f t="shared" ref="BS24" si="419">IF(BS23&gt;0,$E23/$F23,0)</f>
        <v>0</v>
      </c>
      <c r="BT24" s="242">
        <f t="shared" ref="BT24" si="420">IF(BT23&gt;0,$E23/$F23,0)</f>
        <v>0</v>
      </c>
      <c r="BU24" s="242">
        <f t="shared" ref="BU24" si="421">IF(BU23&gt;0,$E23/$F23,0)</f>
        <v>0</v>
      </c>
      <c r="BV24" s="242">
        <f t="shared" ref="BV24" si="422">IF(BV23&gt;0,$E23/$F23,0)</f>
        <v>0</v>
      </c>
      <c r="BW24" s="125"/>
      <c r="BX24" s="242">
        <f>IF(BX23&gt;0,$E23/$F23,0)</f>
        <v>0</v>
      </c>
      <c r="BY24" s="242">
        <f t="shared" ref="BY24" si="423">IF(BY23&gt;0,$E23/$F23,0)</f>
        <v>0</v>
      </c>
      <c r="BZ24" s="242">
        <f t="shared" ref="BZ24" si="424">IF(BZ23&gt;0,$E23/$F23,0)</f>
        <v>0</v>
      </c>
      <c r="CA24" s="242">
        <f t="shared" ref="CA24" si="425">IF(CA23&gt;0,$E23/$F23,0)</f>
        <v>0</v>
      </c>
      <c r="CB24" s="242">
        <f t="shared" ref="CB24" si="426">IF(CB23&gt;0,$E23/$F23,0)</f>
        <v>0</v>
      </c>
      <c r="CC24" s="242">
        <f t="shared" ref="CC24" si="427">IF(CC23&gt;0,$E23/$F23,0)</f>
        <v>0</v>
      </c>
      <c r="CD24" s="242">
        <f t="shared" ref="CD24" si="428">IF(CD23&gt;0,$E23/$F23,0)</f>
        <v>0</v>
      </c>
      <c r="CE24" s="242">
        <f t="shared" ref="CE24" si="429">IF(CE23&gt;0,$E23/$F23,0)</f>
        <v>0</v>
      </c>
      <c r="CF24" s="242">
        <f t="shared" ref="CF24" si="430">IF(CF23&gt;0,$E23/$F23,0)</f>
        <v>0</v>
      </c>
      <c r="CG24" s="242">
        <f t="shared" ref="CG24" si="431">IF(CG23&gt;0,$E23/$F23,0)</f>
        <v>0</v>
      </c>
      <c r="CH24" s="242">
        <f t="shared" ref="CH24" si="432">IF(CH23&gt;0,$E23/$F23,0)</f>
        <v>0</v>
      </c>
      <c r="CI24" s="242">
        <f t="shared" ref="CI24" si="433">IF(CI23&gt;0,$E23/$F23,0)</f>
        <v>0</v>
      </c>
      <c r="CJ24" s="125"/>
    </row>
    <row r="25" spans="1:88" ht="82.5" customHeight="1">
      <c r="A25" s="284">
        <v>10</v>
      </c>
      <c r="B25" s="279" t="s">
        <v>184</v>
      </c>
      <c r="C25" s="286" t="s">
        <v>242</v>
      </c>
      <c r="D25" s="279">
        <v>4</v>
      </c>
      <c r="E25" s="280">
        <v>10728.41</v>
      </c>
      <c r="F25" s="281">
        <f>COUNTA(K25:V25,X25:AI25,AK25:AV25,AX25:BI25,BK25:BV25,BX25:CI25)</f>
        <v>0</v>
      </c>
      <c r="G25" s="157"/>
      <c r="H25" s="157"/>
      <c r="I25" s="158"/>
      <c r="J25" s="159"/>
      <c r="K25" s="157"/>
      <c r="L25" s="160"/>
      <c r="M25" s="160"/>
      <c r="N25" s="161"/>
      <c r="O25" s="161"/>
      <c r="P25" s="161"/>
      <c r="Q25" s="162"/>
      <c r="R25" s="162"/>
      <c r="S25" s="162"/>
      <c r="T25" s="162"/>
      <c r="U25" s="162"/>
      <c r="V25" s="162"/>
      <c r="W25" s="222">
        <f t="shared" ref="W25" si="434">IF(K25="РНВ",$E25,IF(L25="РНВ",$E25,IF(M25="РНВ",$E25,IF(N25="РНВ",$E25,IF(O25="РНВ",$E25,IF(P25="РНВ",$E25,IF(Q25="РНВ",$E25,IF(R25="РНВ",$E25,IF(S25="РНВ",$E25,IF(T25="РНВ",$E25,IF(U25="РНВ",$E25,IF(V25="РНВ",$E25,0))))))))))))</f>
        <v>0</v>
      </c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222">
        <f t="shared" ref="AJ25" si="435">IF(X25="РНВ",$E25,IF(Y25="РНВ",$E25,IF(Z25="РНВ",$E25,IF(AA25="РНВ",$E25,IF(AB25="РНВ",$E25,IF(AC25="РНВ",$E25,IF(AD25="РНВ",$E25,IF(AE25="РНВ",$E25,IF(AF25="РНВ",$E25,IF(AG25="РНВ",$E25,IF(AH25="РНВ",$E25,IF(AI25="РНВ",$E25,0))))))))))))</f>
        <v>0</v>
      </c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222">
        <f t="shared" ref="AW25" si="436">IF(AK25="РНВ",$E25,IF(AL25="РНВ",$E25,IF(AM25="РНВ",$E25,IF(AN25="РНВ",$E25,IF(AO25="РНВ",$E25,IF(AP25="РНВ",$E25,IF(AQ25="РНВ",$E25,IF(AR25="РНВ",$E25,IF(AS25="РНВ",$E25,IF(AT25="РНВ",$E25,IF(AU25="РНВ",$E25,IF(AV25="РНВ",$E25,0))))))))))))</f>
        <v>0</v>
      </c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222">
        <f t="shared" ref="BJ25" si="437">IF(AX25="РНВ",$E25,IF(AY25="РНВ",$E25,IF(AZ25="РНВ",$E25,IF(BA25="РНВ",$E25,IF(BB25="РНВ",$E25,IF(BC25="РНВ",$E25,IF(BD25="РНВ",$E25,IF(BE25="РНВ",$E25,IF(BF25="РНВ",$E25,IF(BG25="РНВ",$E25,IF(BH25="РНВ",$E25,IF(BI25="РНВ",$E25,0))))))))))))</f>
        <v>0</v>
      </c>
      <c r="BK25" s="136"/>
      <c r="BL25" s="136"/>
      <c r="BM25" s="136"/>
      <c r="BN25" s="136"/>
      <c r="BO25" s="136"/>
      <c r="BP25" s="136"/>
      <c r="BQ25" s="136"/>
      <c r="BR25" s="136"/>
      <c r="BS25" s="136"/>
      <c r="BT25" s="136"/>
      <c r="BU25" s="136"/>
      <c r="BV25" s="136"/>
      <c r="BW25" s="222">
        <f t="shared" ref="BW25" si="438">IF(BK25="РНВ",$E25,IF(BL25="РНВ",$E25,IF(BM25="РНВ",$E25,IF(BN25="РНВ",$E25,IF(BO25="РНВ",$E25,IF(BP25="РНВ",$E25,IF(BQ25="РНВ",$E25,IF(BR25="РНВ",$E25,IF(BS25="РНВ",$E25,IF(BT25="РНВ",$E25,IF(BU25="РНВ",$E25,IF(BV25="РНВ",$E25,0))))))))))))</f>
        <v>0</v>
      </c>
      <c r="BX25" s="136"/>
      <c r="BY25" s="136"/>
      <c r="BZ25" s="136"/>
      <c r="CA25" s="136"/>
      <c r="CB25" s="136"/>
      <c r="CC25" s="136"/>
      <c r="CD25" s="136"/>
      <c r="CE25" s="136"/>
      <c r="CF25" s="136"/>
      <c r="CG25" s="136"/>
      <c r="CH25" s="136"/>
      <c r="CI25" s="136"/>
      <c r="CJ25" s="222">
        <f t="shared" ref="CJ25" si="439">IF(BX25="РНВ",$E25,IF(BY25="РНВ",$E25,IF(BZ25="РНВ",$E25,IF(CA25="РНВ",$E25,IF(CB25="РНВ",$E25,IF(CC25="РНВ",$E25,IF(CD25="РНВ",$E25,IF(CE25="РНВ",$E25,IF(CF25="РНВ",$E25,IF(CG25="РНВ",$E25,IF(CH25="РНВ",$E25,IF(CI25="РНВ",$E25,0))))))))))))</f>
        <v>0</v>
      </c>
    </row>
    <row r="26" spans="1:88" ht="21" customHeight="1">
      <c r="A26" s="279"/>
      <c r="B26" s="279"/>
      <c r="C26" s="286"/>
      <c r="D26" s="279"/>
      <c r="E26" s="280"/>
      <c r="F26" s="279"/>
      <c r="G26" s="132"/>
      <c r="H26" s="132"/>
      <c r="I26" s="131"/>
      <c r="J26" s="159"/>
      <c r="K26" s="132"/>
      <c r="L26" s="131"/>
      <c r="M26" s="131"/>
      <c r="N26" s="142"/>
      <c r="O26" s="142"/>
      <c r="P26" s="142"/>
      <c r="Q26" s="142"/>
      <c r="R26" s="128"/>
      <c r="S26" s="128"/>
      <c r="T26" s="128"/>
      <c r="U26" s="128"/>
      <c r="V26" s="128"/>
      <c r="W26" s="125"/>
      <c r="X26" s="146"/>
      <c r="Y26" s="146"/>
      <c r="Z26" s="128"/>
      <c r="AA26" s="146"/>
      <c r="AB26" s="128"/>
      <c r="AC26" s="128"/>
      <c r="AD26" s="128"/>
      <c r="AE26" s="128"/>
      <c r="AF26" s="128"/>
      <c r="AG26" s="128"/>
      <c r="AH26" s="128"/>
      <c r="AI26" s="128"/>
      <c r="AJ26" s="125"/>
      <c r="AK26" s="242">
        <f>IF(AK25&gt;0,$E25/$F25,0)</f>
        <v>0</v>
      </c>
      <c r="AL26" s="242">
        <f t="shared" ref="AL26" si="440">IF(AL25&gt;0,$E25/$F25,0)</f>
        <v>0</v>
      </c>
      <c r="AM26" s="242">
        <f t="shared" ref="AM26" si="441">IF(AM25&gt;0,$E25/$F25,0)</f>
        <v>0</v>
      </c>
      <c r="AN26" s="242">
        <f t="shared" ref="AN26" si="442">IF(AN25&gt;0,$E25/$F25,0)</f>
        <v>0</v>
      </c>
      <c r="AO26" s="242">
        <f t="shared" ref="AO26" si="443">IF(AO25&gt;0,$E25/$F25,0)</f>
        <v>0</v>
      </c>
      <c r="AP26" s="242">
        <f t="shared" ref="AP26" si="444">IF(AP25&gt;0,$E25/$F25,0)</f>
        <v>0</v>
      </c>
      <c r="AQ26" s="242">
        <f t="shared" ref="AQ26" si="445">IF(AQ25&gt;0,$E25/$F25,0)</f>
        <v>0</v>
      </c>
      <c r="AR26" s="242">
        <f t="shared" ref="AR26" si="446">IF(AR25&gt;0,$E25/$F25,0)</f>
        <v>0</v>
      </c>
      <c r="AS26" s="242">
        <f t="shared" ref="AS26" si="447">IF(AS25&gt;0,$E25/$F25,0)</f>
        <v>0</v>
      </c>
      <c r="AT26" s="242">
        <f t="shared" ref="AT26" si="448">IF(AT25&gt;0,$E25/$F25,0)</f>
        <v>0</v>
      </c>
      <c r="AU26" s="242">
        <f t="shared" ref="AU26" si="449">IF(AU25&gt;0,$E25/$F25,0)</f>
        <v>0</v>
      </c>
      <c r="AV26" s="242">
        <f t="shared" ref="AV26" si="450">IF(AV25&gt;0,$E25/$F25,0)</f>
        <v>0</v>
      </c>
      <c r="AW26" s="125"/>
      <c r="AX26" s="242">
        <f>IF(AX25&gt;0,$E25/$F25,0)</f>
        <v>0</v>
      </c>
      <c r="AY26" s="242">
        <f t="shared" ref="AY26" si="451">IF(AY25&gt;0,$E25/$F25,0)</f>
        <v>0</v>
      </c>
      <c r="AZ26" s="242">
        <f t="shared" ref="AZ26" si="452">IF(AZ25&gt;0,$E25/$F25,0)</f>
        <v>0</v>
      </c>
      <c r="BA26" s="242">
        <f t="shared" ref="BA26" si="453">IF(BA25&gt;0,$E25/$F25,0)</f>
        <v>0</v>
      </c>
      <c r="BB26" s="242">
        <f t="shared" ref="BB26" si="454">IF(BB25&gt;0,$E25/$F25,0)</f>
        <v>0</v>
      </c>
      <c r="BC26" s="242">
        <f t="shared" ref="BC26" si="455">IF(BC25&gt;0,$E25/$F25,0)</f>
        <v>0</v>
      </c>
      <c r="BD26" s="242">
        <f t="shared" ref="BD26" si="456">IF(BD25&gt;0,$E25/$F25,0)</f>
        <v>0</v>
      </c>
      <c r="BE26" s="242">
        <f t="shared" ref="BE26" si="457">IF(BE25&gt;0,$E25/$F25,0)</f>
        <v>0</v>
      </c>
      <c r="BF26" s="242">
        <f t="shared" ref="BF26" si="458">IF(BF25&gt;0,$E25/$F25,0)</f>
        <v>0</v>
      </c>
      <c r="BG26" s="242">
        <f t="shared" ref="BG26" si="459">IF(BG25&gt;0,$E25/$F25,0)</f>
        <v>0</v>
      </c>
      <c r="BH26" s="242">
        <f t="shared" ref="BH26" si="460">IF(BH25&gt;0,$E25/$F25,0)</f>
        <v>0</v>
      </c>
      <c r="BI26" s="242">
        <f t="shared" ref="BI26" si="461">IF(BI25&gt;0,$E25/$F25,0)</f>
        <v>0</v>
      </c>
      <c r="BJ26" s="125"/>
      <c r="BK26" s="242">
        <f>IF(BK25&gt;0,$E25/$F25,0)</f>
        <v>0</v>
      </c>
      <c r="BL26" s="242">
        <f t="shared" ref="BL26" si="462">IF(BL25&gt;0,$E25/$F25,0)</f>
        <v>0</v>
      </c>
      <c r="BM26" s="242">
        <f t="shared" ref="BM26" si="463">IF(BM25&gt;0,$E25/$F25,0)</f>
        <v>0</v>
      </c>
      <c r="BN26" s="242">
        <f t="shared" ref="BN26" si="464">IF(BN25&gt;0,$E25/$F25,0)</f>
        <v>0</v>
      </c>
      <c r="BO26" s="242">
        <f t="shared" ref="BO26" si="465">IF(BO25&gt;0,$E25/$F25,0)</f>
        <v>0</v>
      </c>
      <c r="BP26" s="242">
        <f t="shared" ref="BP26" si="466">IF(BP25&gt;0,$E25/$F25,0)</f>
        <v>0</v>
      </c>
      <c r="BQ26" s="242">
        <f t="shared" ref="BQ26" si="467">IF(BQ25&gt;0,$E25/$F25,0)</f>
        <v>0</v>
      </c>
      <c r="BR26" s="242">
        <f t="shared" ref="BR26" si="468">IF(BR25&gt;0,$E25/$F25,0)</f>
        <v>0</v>
      </c>
      <c r="BS26" s="242">
        <f t="shared" ref="BS26" si="469">IF(BS25&gt;0,$E25/$F25,0)</f>
        <v>0</v>
      </c>
      <c r="BT26" s="242">
        <f t="shared" ref="BT26" si="470">IF(BT25&gt;0,$E25/$F25,0)</f>
        <v>0</v>
      </c>
      <c r="BU26" s="242">
        <f t="shared" ref="BU26" si="471">IF(BU25&gt;0,$E25/$F25,0)</f>
        <v>0</v>
      </c>
      <c r="BV26" s="242">
        <f t="shared" ref="BV26" si="472">IF(BV25&gt;0,$E25/$F25,0)</f>
        <v>0</v>
      </c>
      <c r="BW26" s="125"/>
      <c r="BX26" s="242">
        <f>IF(BX25&gt;0,$E25/$F25,0)</f>
        <v>0</v>
      </c>
      <c r="BY26" s="242">
        <f t="shared" ref="BY26" si="473">IF(BY25&gt;0,$E25/$F25,0)</f>
        <v>0</v>
      </c>
      <c r="BZ26" s="242">
        <f t="shared" ref="BZ26" si="474">IF(BZ25&gt;0,$E25/$F25,0)</f>
        <v>0</v>
      </c>
      <c r="CA26" s="242">
        <f t="shared" ref="CA26" si="475">IF(CA25&gt;0,$E25/$F25,0)</f>
        <v>0</v>
      </c>
      <c r="CB26" s="242">
        <f t="shared" ref="CB26" si="476">IF(CB25&gt;0,$E25/$F25,0)</f>
        <v>0</v>
      </c>
      <c r="CC26" s="242">
        <f t="shared" ref="CC26" si="477">IF(CC25&gt;0,$E25/$F25,0)</f>
        <v>0</v>
      </c>
      <c r="CD26" s="242">
        <f t="shared" ref="CD26" si="478">IF(CD25&gt;0,$E25/$F25,0)</f>
        <v>0</v>
      </c>
      <c r="CE26" s="242">
        <f t="shared" ref="CE26" si="479">IF(CE25&gt;0,$E25/$F25,0)</f>
        <v>0</v>
      </c>
      <c r="CF26" s="242">
        <f t="shared" ref="CF26" si="480">IF(CF25&gt;0,$E25/$F25,0)</f>
        <v>0</v>
      </c>
      <c r="CG26" s="242">
        <f t="shared" ref="CG26" si="481">IF(CG25&gt;0,$E25/$F25,0)</f>
        <v>0</v>
      </c>
      <c r="CH26" s="242">
        <f t="shared" ref="CH26" si="482">IF(CH25&gt;0,$E25/$F25,0)</f>
        <v>0</v>
      </c>
      <c r="CI26" s="242">
        <f t="shared" ref="CI26" si="483">IF(CI25&gt;0,$E25/$F25,0)</f>
        <v>0</v>
      </c>
      <c r="CJ26" s="125"/>
    </row>
    <row r="27" spans="1:88" ht="82.5" customHeight="1">
      <c r="A27" s="279">
        <v>11</v>
      </c>
      <c r="B27" s="279" t="s">
        <v>185</v>
      </c>
      <c r="C27" s="279" t="s">
        <v>176</v>
      </c>
      <c r="D27" s="279">
        <v>2</v>
      </c>
      <c r="E27" s="280">
        <v>5690.87</v>
      </c>
      <c r="F27" s="281">
        <f t="shared" ref="F27" si="484">COUNTA(K27:V27,X27:AI27,AK27:AV27,AX27:BI27,BK27:BV27,BX27:CI27)</f>
        <v>22</v>
      </c>
      <c r="G27" s="135"/>
      <c r="H27" s="136"/>
      <c r="I27" s="136"/>
      <c r="J27" s="137"/>
      <c r="K27" s="135"/>
      <c r="L27" s="135"/>
      <c r="M27" s="163"/>
      <c r="N27" s="163"/>
      <c r="O27" s="163"/>
      <c r="P27" s="163"/>
      <c r="Q27" s="163"/>
      <c r="R27" s="163"/>
      <c r="S27" s="133">
        <v>1</v>
      </c>
      <c r="T27" s="133">
        <v>1</v>
      </c>
      <c r="U27" s="133">
        <v>1</v>
      </c>
      <c r="V27" s="133">
        <v>1</v>
      </c>
      <c r="W27" s="222">
        <f t="shared" ref="W27" si="485">IF(K27="РНВ",$E27,IF(L27="РНВ",$E27,IF(M27="РНВ",$E27,IF(N27="РНВ",$E27,IF(O27="РНВ",$E27,IF(P27="РНВ",$E27,IF(Q27="РНВ",$E27,IF(R27="РНВ",$E27,IF(S27="РНВ",$E27,IF(T27="РНВ",$E27,IF(U27="РНВ",$E27,IF(V27="РНВ",$E27,0))))))))))))</f>
        <v>0</v>
      </c>
      <c r="X27" s="144">
        <v>1</v>
      </c>
      <c r="Y27" s="133">
        <v>1</v>
      </c>
      <c r="Z27" s="133">
        <v>1</v>
      </c>
      <c r="AA27" s="133">
        <v>1</v>
      </c>
      <c r="AB27" s="133">
        <v>1</v>
      </c>
      <c r="AC27" s="133">
        <v>1</v>
      </c>
      <c r="AD27" s="133">
        <v>1</v>
      </c>
      <c r="AE27" s="133">
        <v>1</v>
      </c>
      <c r="AF27" s="133">
        <v>1</v>
      </c>
      <c r="AG27" s="133">
        <v>1</v>
      </c>
      <c r="AH27" s="133">
        <v>1</v>
      </c>
      <c r="AI27" s="133">
        <v>1</v>
      </c>
      <c r="AJ27" s="222">
        <f t="shared" ref="AJ27" si="486">IF(X27="РНВ",$E27,IF(Y27="РНВ",$E27,IF(Z27="РНВ",$E27,IF(AA27="РНВ",$E27,IF(AB27="РНВ",$E27,IF(AC27="РНВ",$E27,IF(AD27="РНВ",$E27,IF(AE27="РНВ",$E27,IF(AF27="РНВ",$E27,IF(AG27="РНВ",$E27,IF(AH27="РНВ",$E27,IF(AI27="РНВ",$E27,0))))))))))))</f>
        <v>0</v>
      </c>
      <c r="AK27" s="133">
        <v>1</v>
      </c>
      <c r="AL27" s="133">
        <v>1</v>
      </c>
      <c r="AM27" s="133">
        <v>1</v>
      </c>
      <c r="AN27" s="133">
        <v>1</v>
      </c>
      <c r="AO27" s="133">
        <v>1</v>
      </c>
      <c r="AP27" s="227" t="s">
        <v>37</v>
      </c>
      <c r="AQ27" s="136"/>
      <c r="AR27" s="136"/>
      <c r="AS27" s="136"/>
      <c r="AT27" s="136"/>
      <c r="AU27" s="136"/>
      <c r="AV27" s="136"/>
      <c r="AW27" s="222">
        <f t="shared" ref="AW27" si="487">IF(AK27="РНВ",$E27,IF(AL27="РНВ",$E27,IF(AM27="РНВ",$E27,IF(AN27="РНВ",$E27,IF(AO27="РНВ",$E27,IF(AP27="РНВ",$E27,IF(AQ27="РНВ",$E27,IF(AR27="РНВ",$E27,IF(AS27="РНВ",$E27,IF(AT27="РНВ",$E27,IF(AU27="РНВ",$E27,IF(AV27="РНВ",$E27,0))))))))))))</f>
        <v>5690.87</v>
      </c>
      <c r="AX27" s="136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  <c r="BI27" s="136"/>
      <c r="BJ27" s="222">
        <f t="shared" ref="BJ27" si="488">IF(AX27="РНВ",$E27,IF(AY27="РНВ",$E27,IF(AZ27="РНВ",$E27,IF(BA27="РНВ",$E27,IF(BB27="РНВ",$E27,IF(BC27="РНВ",$E27,IF(BD27="РНВ",$E27,IF(BE27="РНВ",$E27,IF(BF27="РНВ",$E27,IF(BG27="РНВ",$E27,IF(BH27="РНВ",$E27,IF(BI27="РНВ",$E27,0))))))))))))</f>
        <v>0</v>
      </c>
      <c r="BK27" s="136"/>
      <c r="BL27" s="136"/>
      <c r="BM27" s="136"/>
      <c r="BN27" s="136"/>
      <c r="BO27" s="136"/>
      <c r="BP27" s="136"/>
      <c r="BQ27" s="136"/>
      <c r="BR27" s="136"/>
      <c r="BS27" s="136"/>
      <c r="BT27" s="136"/>
      <c r="BU27" s="136"/>
      <c r="BV27" s="136"/>
      <c r="BW27" s="222">
        <f t="shared" ref="BW27" si="489">IF(BK27="РНВ",$E27,IF(BL27="РНВ",$E27,IF(BM27="РНВ",$E27,IF(BN27="РНВ",$E27,IF(BO27="РНВ",$E27,IF(BP27="РНВ",$E27,IF(BQ27="РНВ",$E27,IF(BR27="РНВ",$E27,IF(BS27="РНВ",$E27,IF(BT27="РНВ",$E27,IF(BU27="РНВ",$E27,IF(BV27="РНВ",$E27,0))))))))))))</f>
        <v>0</v>
      </c>
      <c r="BX27" s="136"/>
      <c r="BY27" s="136"/>
      <c r="BZ27" s="136"/>
      <c r="CA27" s="136"/>
      <c r="CB27" s="136"/>
      <c r="CC27" s="136"/>
      <c r="CD27" s="136"/>
      <c r="CE27" s="136"/>
      <c r="CF27" s="136"/>
      <c r="CG27" s="136"/>
      <c r="CH27" s="136"/>
      <c r="CI27" s="136"/>
      <c r="CJ27" s="222">
        <f t="shared" ref="CJ27" si="490">IF(BX27="РНВ",$E27,IF(BY27="РНВ",$E27,IF(BZ27="РНВ",$E27,IF(CA27="РНВ",$E27,IF(CB27="РНВ",$E27,IF(CC27="РНВ",$E27,IF(CD27="РНВ",$E27,IF(CE27="РНВ",$E27,IF(CF27="РНВ",$E27,IF(CG27="РНВ",$E27,IF(CH27="РНВ",$E27,IF(CI27="РНВ",$E27,0))))))))))))</f>
        <v>0</v>
      </c>
    </row>
    <row r="28" spans="1:88" ht="22.15" customHeight="1">
      <c r="A28" s="279"/>
      <c r="B28" s="279"/>
      <c r="C28" s="279"/>
      <c r="D28" s="279"/>
      <c r="E28" s="280"/>
      <c r="F28" s="279"/>
      <c r="G28" s="131"/>
      <c r="H28" s="132"/>
      <c r="I28" s="132"/>
      <c r="J28" s="125"/>
      <c r="K28" s="131"/>
      <c r="L28" s="131"/>
      <c r="M28" s="131"/>
      <c r="N28" s="147"/>
      <c r="O28" s="147"/>
      <c r="P28" s="147"/>
      <c r="Q28" s="147"/>
      <c r="R28" s="128"/>
      <c r="S28" s="128"/>
      <c r="T28" s="128"/>
      <c r="U28" s="128"/>
      <c r="V28" s="128"/>
      <c r="W28" s="125"/>
      <c r="X28" s="146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5"/>
      <c r="AK28" s="242">
        <f>IF(AK27&gt;0,$E27/$F27,0)</f>
        <v>258.6759090909091</v>
      </c>
      <c r="AL28" s="242">
        <f t="shared" ref="AL28" si="491">IF(AL27&gt;0,$E27/$F27,0)</f>
        <v>258.6759090909091</v>
      </c>
      <c r="AM28" s="242">
        <f t="shared" ref="AM28" si="492">IF(AM27&gt;0,$E27/$F27,0)</f>
        <v>258.6759090909091</v>
      </c>
      <c r="AN28" s="242">
        <f t="shared" ref="AN28" si="493">IF(AN27&gt;0,$E27/$F27,0)</f>
        <v>258.6759090909091</v>
      </c>
      <c r="AO28" s="242">
        <f t="shared" ref="AO28" si="494">IF(AO27&gt;0,$E27/$F27,0)</f>
        <v>258.6759090909091</v>
      </c>
      <c r="AP28" s="242">
        <f t="shared" ref="AP28" si="495">IF(AP27&gt;0,$E27/$F27,0)</f>
        <v>258.6759090909091</v>
      </c>
      <c r="AQ28" s="242">
        <f t="shared" ref="AQ28" si="496">IF(AQ27&gt;0,$E27/$F27,0)</f>
        <v>0</v>
      </c>
      <c r="AR28" s="242">
        <f t="shared" ref="AR28" si="497">IF(AR27&gt;0,$E27/$F27,0)</f>
        <v>0</v>
      </c>
      <c r="AS28" s="242">
        <f t="shared" ref="AS28" si="498">IF(AS27&gt;0,$E27/$F27,0)</f>
        <v>0</v>
      </c>
      <c r="AT28" s="242">
        <f t="shared" ref="AT28" si="499">IF(AT27&gt;0,$E27/$F27,0)</f>
        <v>0</v>
      </c>
      <c r="AU28" s="242">
        <f t="shared" ref="AU28" si="500">IF(AU27&gt;0,$E27/$F27,0)</f>
        <v>0</v>
      </c>
      <c r="AV28" s="242">
        <f t="shared" ref="AV28" si="501">IF(AV27&gt;0,$E27/$F27,0)</f>
        <v>0</v>
      </c>
      <c r="AW28" s="125"/>
      <c r="AX28" s="242">
        <f>IF(AX27&gt;0,$E27/$F27,0)</f>
        <v>0</v>
      </c>
      <c r="AY28" s="242">
        <f t="shared" ref="AY28" si="502">IF(AY27&gt;0,$E27/$F27,0)</f>
        <v>0</v>
      </c>
      <c r="AZ28" s="242">
        <f t="shared" ref="AZ28" si="503">IF(AZ27&gt;0,$E27/$F27,0)</f>
        <v>0</v>
      </c>
      <c r="BA28" s="242">
        <f t="shared" ref="BA28" si="504">IF(BA27&gt;0,$E27/$F27,0)</f>
        <v>0</v>
      </c>
      <c r="BB28" s="242">
        <f t="shared" ref="BB28" si="505">IF(BB27&gt;0,$E27/$F27,0)</f>
        <v>0</v>
      </c>
      <c r="BC28" s="242">
        <f t="shared" ref="BC28" si="506">IF(BC27&gt;0,$E27/$F27,0)</f>
        <v>0</v>
      </c>
      <c r="BD28" s="242">
        <f t="shared" ref="BD28" si="507">IF(BD27&gt;0,$E27/$F27,0)</f>
        <v>0</v>
      </c>
      <c r="BE28" s="242">
        <f t="shared" ref="BE28" si="508">IF(BE27&gt;0,$E27/$F27,0)</f>
        <v>0</v>
      </c>
      <c r="BF28" s="242">
        <f t="shared" ref="BF28" si="509">IF(BF27&gt;0,$E27/$F27,0)</f>
        <v>0</v>
      </c>
      <c r="BG28" s="242">
        <f t="shared" ref="BG28" si="510">IF(BG27&gt;0,$E27/$F27,0)</f>
        <v>0</v>
      </c>
      <c r="BH28" s="242">
        <f t="shared" ref="BH28" si="511">IF(BH27&gt;0,$E27/$F27,0)</f>
        <v>0</v>
      </c>
      <c r="BI28" s="242">
        <f t="shared" ref="BI28" si="512">IF(BI27&gt;0,$E27/$F27,0)</f>
        <v>0</v>
      </c>
      <c r="BJ28" s="125"/>
      <c r="BK28" s="242">
        <f>IF(BK27&gt;0,$E27/$F27,0)</f>
        <v>0</v>
      </c>
      <c r="BL28" s="242">
        <f t="shared" ref="BL28" si="513">IF(BL27&gt;0,$E27/$F27,0)</f>
        <v>0</v>
      </c>
      <c r="BM28" s="242">
        <f t="shared" ref="BM28" si="514">IF(BM27&gt;0,$E27/$F27,0)</f>
        <v>0</v>
      </c>
      <c r="BN28" s="242">
        <f t="shared" ref="BN28" si="515">IF(BN27&gt;0,$E27/$F27,0)</f>
        <v>0</v>
      </c>
      <c r="BO28" s="242">
        <f t="shared" ref="BO28" si="516">IF(BO27&gt;0,$E27/$F27,0)</f>
        <v>0</v>
      </c>
      <c r="BP28" s="242">
        <f t="shared" ref="BP28" si="517">IF(BP27&gt;0,$E27/$F27,0)</f>
        <v>0</v>
      </c>
      <c r="BQ28" s="242">
        <f t="shared" ref="BQ28" si="518">IF(BQ27&gt;0,$E27/$F27,0)</f>
        <v>0</v>
      </c>
      <c r="BR28" s="242">
        <f t="shared" ref="BR28" si="519">IF(BR27&gt;0,$E27/$F27,0)</f>
        <v>0</v>
      </c>
      <c r="BS28" s="242">
        <f t="shared" ref="BS28" si="520">IF(BS27&gt;0,$E27/$F27,0)</f>
        <v>0</v>
      </c>
      <c r="BT28" s="242">
        <f t="shared" ref="BT28" si="521">IF(BT27&gt;0,$E27/$F27,0)</f>
        <v>0</v>
      </c>
      <c r="BU28" s="242">
        <f t="shared" ref="BU28" si="522">IF(BU27&gt;0,$E27/$F27,0)</f>
        <v>0</v>
      </c>
      <c r="BV28" s="242">
        <f t="shared" ref="BV28" si="523">IF(BV27&gt;0,$E27/$F27,0)</f>
        <v>0</v>
      </c>
      <c r="BW28" s="125"/>
      <c r="BX28" s="242">
        <f>IF(BX27&gt;0,$E27/$F27,0)</f>
        <v>0</v>
      </c>
      <c r="BY28" s="242">
        <f t="shared" ref="BY28" si="524">IF(BY27&gt;0,$E27/$F27,0)</f>
        <v>0</v>
      </c>
      <c r="BZ28" s="242">
        <f t="shared" ref="BZ28" si="525">IF(BZ27&gt;0,$E27/$F27,0)</f>
        <v>0</v>
      </c>
      <c r="CA28" s="242">
        <f t="shared" ref="CA28" si="526">IF(CA27&gt;0,$E27/$F27,0)</f>
        <v>0</v>
      </c>
      <c r="CB28" s="242">
        <f t="shared" ref="CB28" si="527">IF(CB27&gt;0,$E27/$F27,0)</f>
        <v>0</v>
      </c>
      <c r="CC28" s="242">
        <f t="shared" ref="CC28" si="528">IF(CC27&gt;0,$E27/$F27,0)</f>
        <v>0</v>
      </c>
      <c r="CD28" s="242">
        <f t="shared" ref="CD28" si="529">IF(CD27&gt;0,$E27/$F27,0)</f>
        <v>0</v>
      </c>
      <c r="CE28" s="242">
        <f t="shared" ref="CE28" si="530">IF(CE27&gt;0,$E27/$F27,0)</f>
        <v>0</v>
      </c>
      <c r="CF28" s="242">
        <f t="shared" ref="CF28" si="531">IF(CF27&gt;0,$E27/$F27,0)</f>
        <v>0</v>
      </c>
      <c r="CG28" s="242">
        <f t="shared" ref="CG28" si="532">IF(CG27&gt;0,$E27/$F27,0)</f>
        <v>0</v>
      </c>
      <c r="CH28" s="242">
        <f t="shared" ref="CH28" si="533">IF(CH27&gt;0,$E27/$F27,0)</f>
        <v>0</v>
      </c>
      <c r="CI28" s="242">
        <f t="shared" ref="CI28" si="534">IF(CI27&gt;0,$E27/$F27,0)</f>
        <v>0</v>
      </c>
      <c r="CJ28" s="125"/>
    </row>
    <row r="29" spans="1:88" ht="82.5" customHeight="1">
      <c r="A29" s="279">
        <v>12</v>
      </c>
      <c r="B29" s="285" t="s">
        <v>186</v>
      </c>
      <c r="C29" s="279" t="s">
        <v>176</v>
      </c>
      <c r="D29" s="279">
        <v>3</v>
      </c>
      <c r="E29" s="280">
        <v>8537.4599999999991</v>
      </c>
      <c r="F29" s="281">
        <f t="shared" ref="F29" si="535">COUNTA(K29:V29,X29:AI29,AK29:AV29,AX29:BI29,BK29:BV29,BX29:CI29)</f>
        <v>22</v>
      </c>
      <c r="G29" s="135"/>
      <c r="H29" s="135"/>
      <c r="I29" s="136"/>
      <c r="J29" s="137"/>
      <c r="K29" s="135"/>
      <c r="L29" s="136"/>
      <c r="M29" s="136"/>
      <c r="N29" s="136"/>
      <c r="O29" s="136"/>
      <c r="P29" s="136"/>
      <c r="Q29" s="154"/>
      <c r="R29" s="154"/>
      <c r="S29" s="154"/>
      <c r="T29" s="154"/>
      <c r="U29" s="154"/>
      <c r="V29" s="154"/>
      <c r="W29" s="222">
        <f t="shared" ref="W29" si="536">IF(K29="РНВ",$E29,IF(L29="РНВ",$E29,IF(M29="РНВ",$E29,IF(N29="РНВ",$E29,IF(O29="РНВ",$E29,IF(P29="РНВ",$E29,IF(Q29="РНВ",$E29,IF(R29="РНВ",$E29,IF(S29="РНВ",$E29,IF(T29="РНВ",$E29,IF(U29="РНВ",$E29,IF(V29="РНВ",$E29,0))))))))))))</f>
        <v>0</v>
      </c>
      <c r="X29" s="152"/>
      <c r="Y29" s="133">
        <v>1</v>
      </c>
      <c r="Z29" s="133">
        <v>1</v>
      </c>
      <c r="AA29" s="133">
        <v>1</v>
      </c>
      <c r="AB29" s="133">
        <v>1</v>
      </c>
      <c r="AC29" s="133">
        <v>1</v>
      </c>
      <c r="AD29" s="133">
        <v>1</v>
      </c>
      <c r="AE29" s="133">
        <v>1</v>
      </c>
      <c r="AF29" s="133">
        <v>1</v>
      </c>
      <c r="AG29" s="133">
        <v>1</v>
      </c>
      <c r="AH29" s="133">
        <v>1</v>
      </c>
      <c r="AI29" s="133">
        <v>1</v>
      </c>
      <c r="AJ29" s="222">
        <f t="shared" ref="AJ29" si="537">IF(X29="РНВ",$E29,IF(Y29="РНВ",$E29,IF(Z29="РНВ",$E29,IF(AA29="РНВ",$E29,IF(AB29="РНВ",$E29,IF(AC29="РНВ",$E29,IF(AD29="РНВ",$E29,IF(AE29="РНВ",$E29,IF(AF29="РНВ",$E29,IF(AG29="РНВ",$E29,IF(AH29="РНВ",$E29,IF(AI29="РНВ",$E29,0))))))))))))</f>
        <v>0</v>
      </c>
      <c r="AK29" s="133">
        <v>1</v>
      </c>
      <c r="AL29" s="133">
        <v>1</v>
      </c>
      <c r="AM29" s="133">
        <v>1</v>
      </c>
      <c r="AN29" s="133">
        <v>1</v>
      </c>
      <c r="AO29" s="133">
        <v>1</v>
      </c>
      <c r="AP29" s="133">
        <v>1</v>
      </c>
      <c r="AQ29" s="133">
        <v>1</v>
      </c>
      <c r="AR29" s="133">
        <v>1</v>
      </c>
      <c r="AS29" s="133">
        <v>1</v>
      </c>
      <c r="AT29" s="133">
        <v>1</v>
      </c>
      <c r="AU29" s="227" t="s">
        <v>37</v>
      </c>
      <c r="AV29" s="152"/>
      <c r="AW29" s="222">
        <f t="shared" ref="AW29" si="538">IF(AK29="РНВ",$E29,IF(AL29="РНВ",$E29,IF(AM29="РНВ",$E29,IF(AN29="РНВ",$E29,IF(AO29="РНВ",$E29,IF(AP29="РНВ",$E29,IF(AQ29="РНВ",$E29,IF(AR29="РНВ",$E29,IF(AS29="РНВ",$E29,IF(AT29="РНВ",$E29,IF(AU29="РНВ",$E29,IF(AV29="РНВ",$E29,0))))))))))))</f>
        <v>8537.4599999999991</v>
      </c>
      <c r="AX29" s="136"/>
      <c r="AY29" s="135"/>
      <c r="AZ29" s="136"/>
      <c r="BA29" s="135"/>
      <c r="BB29" s="136"/>
      <c r="BC29" s="136"/>
      <c r="BD29" s="136"/>
      <c r="BE29" s="136"/>
      <c r="BF29" s="136"/>
      <c r="BG29" s="136"/>
      <c r="BH29" s="136"/>
      <c r="BI29" s="136"/>
      <c r="BJ29" s="222">
        <f t="shared" ref="BJ29" si="539">IF(AX29="РНВ",$E29,IF(AY29="РНВ",$E29,IF(AZ29="РНВ",$E29,IF(BA29="РНВ",$E29,IF(BB29="РНВ",$E29,IF(BC29="РНВ",$E29,IF(BD29="РНВ",$E29,IF(BE29="РНВ",$E29,IF(BF29="РНВ",$E29,IF(BG29="РНВ",$E29,IF(BH29="РНВ",$E29,IF(BI29="РНВ",$E29,0))))))))))))</f>
        <v>0</v>
      </c>
      <c r="BK29" s="136"/>
      <c r="BL29" s="135"/>
      <c r="BM29" s="136"/>
      <c r="BN29" s="135"/>
      <c r="BO29" s="136"/>
      <c r="BP29" s="136"/>
      <c r="BQ29" s="136"/>
      <c r="BR29" s="136"/>
      <c r="BS29" s="136"/>
      <c r="BT29" s="136"/>
      <c r="BU29" s="136"/>
      <c r="BV29" s="136"/>
      <c r="BW29" s="222">
        <f t="shared" ref="BW29" si="540">IF(BK29="РНВ",$E29,IF(BL29="РНВ",$E29,IF(BM29="РНВ",$E29,IF(BN29="РНВ",$E29,IF(BO29="РНВ",$E29,IF(BP29="РНВ",$E29,IF(BQ29="РНВ",$E29,IF(BR29="РНВ",$E29,IF(BS29="РНВ",$E29,IF(BT29="РНВ",$E29,IF(BU29="РНВ",$E29,IF(BV29="РНВ",$E29,0))))))))))))</f>
        <v>0</v>
      </c>
      <c r="BX29" s="136"/>
      <c r="BY29" s="135"/>
      <c r="BZ29" s="136"/>
      <c r="CA29" s="135"/>
      <c r="CB29" s="136"/>
      <c r="CC29" s="136"/>
      <c r="CD29" s="136"/>
      <c r="CE29" s="136"/>
      <c r="CF29" s="136"/>
      <c r="CG29" s="136"/>
      <c r="CH29" s="136"/>
      <c r="CI29" s="136"/>
      <c r="CJ29" s="222">
        <f t="shared" ref="CJ29" si="541">IF(BX29="РНВ",$E29,IF(BY29="РНВ",$E29,IF(BZ29="РНВ",$E29,IF(CA29="РНВ",$E29,IF(CB29="РНВ",$E29,IF(CC29="РНВ",$E29,IF(CD29="РНВ",$E29,IF(CE29="РНВ",$E29,IF(CF29="РНВ",$E29,IF(CG29="РНВ",$E29,IF(CH29="РНВ",$E29,IF(CI29="РНВ",$E29,0))))))))))))</f>
        <v>0</v>
      </c>
    </row>
    <row r="30" spans="1:88" ht="22.15" customHeight="1">
      <c r="A30" s="279"/>
      <c r="B30" s="279"/>
      <c r="C30" s="279"/>
      <c r="D30" s="279"/>
      <c r="E30" s="280"/>
      <c r="F30" s="279"/>
      <c r="G30" s="131"/>
      <c r="H30" s="131"/>
      <c r="I30" s="132"/>
      <c r="J30" s="125"/>
      <c r="K30" s="131"/>
      <c r="L30" s="132"/>
      <c r="M30" s="132"/>
      <c r="N30" s="132"/>
      <c r="O30" s="132"/>
      <c r="P30" s="132"/>
      <c r="Q30" s="132"/>
      <c r="R30" s="147"/>
      <c r="S30" s="147"/>
      <c r="T30" s="147"/>
      <c r="U30" s="147"/>
      <c r="V30" s="147"/>
      <c r="W30" s="125"/>
      <c r="X30" s="156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25"/>
      <c r="AK30" s="242">
        <f>IF(AK29&gt;0,$E29/$F29,0)</f>
        <v>388.06636363636358</v>
      </c>
      <c r="AL30" s="242">
        <f t="shared" ref="AL30" si="542">IF(AL29&gt;0,$E29/$F29,0)</f>
        <v>388.06636363636358</v>
      </c>
      <c r="AM30" s="242">
        <f t="shared" ref="AM30" si="543">IF(AM29&gt;0,$E29/$F29,0)</f>
        <v>388.06636363636358</v>
      </c>
      <c r="AN30" s="242">
        <f t="shared" ref="AN30" si="544">IF(AN29&gt;0,$E29/$F29,0)</f>
        <v>388.06636363636358</v>
      </c>
      <c r="AO30" s="242">
        <f t="shared" ref="AO30" si="545">IF(AO29&gt;0,$E29/$F29,0)</f>
        <v>388.06636363636358</v>
      </c>
      <c r="AP30" s="242">
        <f t="shared" ref="AP30" si="546">IF(AP29&gt;0,$E29/$F29,0)</f>
        <v>388.06636363636358</v>
      </c>
      <c r="AQ30" s="242">
        <f t="shared" ref="AQ30" si="547">IF(AQ29&gt;0,$E29/$F29,0)</f>
        <v>388.06636363636358</v>
      </c>
      <c r="AR30" s="242">
        <f t="shared" ref="AR30" si="548">IF(AR29&gt;0,$E29/$F29,0)</f>
        <v>388.06636363636358</v>
      </c>
      <c r="AS30" s="242">
        <f t="shared" ref="AS30" si="549">IF(AS29&gt;0,$E29/$F29,0)</f>
        <v>388.06636363636358</v>
      </c>
      <c r="AT30" s="242">
        <f t="shared" ref="AT30" si="550">IF(AT29&gt;0,$E29/$F29,0)</f>
        <v>388.06636363636358</v>
      </c>
      <c r="AU30" s="242">
        <f t="shared" ref="AU30" si="551">IF(AU29&gt;0,$E29/$F29,0)</f>
        <v>388.06636363636358</v>
      </c>
      <c r="AV30" s="242">
        <f t="shared" ref="AV30" si="552">IF(AV29&gt;0,$E29/$F29,0)</f>
        <v>0</v>
      </c>
      <c r="AW30" s="125"/>
      <c r="AX30" s="242">
        <f>IF(AX29&gt;0,$E29/$F29,0)</f>
        <v>0</v>
      </c>
      <c r="AY30" s="242">
        <f t="shared" ref="AY30" si="553">IF(AY29&gt;0,$E29/$F29,0)</f>
        <v>0</v>
      </c>
      <c r="AZ30" s="242">
        <f t="shared" ref="AZ30" si="554">IF(AZ29&gt;0,$E29/$F29,0)</f>
        <v>0</v>
      </c>
      <c r="BA30" s="242">
        <f t="shared" ref="BA30" si="555">IF(BA29&gt;0,$E29/$F29,0)</f>
        <v>0</v>
      </c>
      <c r="BB30" s="242">
        <f t="shared" ref="BB30" si="556">IF(BB29&gt;0,$E29/$F29,0)</f>
        <v>0</v>
      </c>
      <c r="BC30" s="242">
        <f t="shared" ref="BC30" si="557">IF(BC29&gt;0,$E29/$F29,0)</f>
        <v>0</v>
      </c>
      <c r="BD30" s="242">
        <f t="shared" ref="BD30" si="558">IF(BD29&gt;0,$E29/$F29,0)</f>
        <v>0</v>
      </c>
      <c r="BE30" s="242">
        <f t="shared" ref="BE30" si="559">IF(BE29&gt;0,$E29/$F29,0)</f>
        <v>0</v>
      </c>
      <c r="BF30" s="242">
        <f t="shared" ref="BF30" si="560">IF(BF29&gt;0,$E29/$F29,0)</f>
        <v>0</v>
      </c>
      <c r="BG30" s="242">
        <f t="shared" ref="BG30" si="561">IF(BG29&gt;0,$E29/$F29,0)</f>
        <v>0</v>
      </c>
      <c r="BH30" s="242">
        <f t="shared" ref="BH30" si="562">IF(BH29&gt;0,$E29/$F29,0)</f>
        <v>0</v>
      </c>
      <c r="BI30" s="242">
        <f t="shared" ref="BI30" si="563">IF(BI29&gt;0,$E29/$F29,0)</f>
        <v>0</v>
      </c>
      <c r="BJ30" s="125"/>
      <c r="BK30" s="242">
        <f>IF(BK29&gt;0,$E29/$F29,0)</f>
        <v>0</v>
      </c>
      <c r="BL30" s="242">
        <f t="shared" ref="BL30" si="564">IF(BL29&gt;0,$E29/$F29,0)</f>
        <v>0</v>
      </c>
      <c r="BM30" s="242">
        <f t="shared" ref="BM30" si="565">IF(BM29&gt;0,$E29/$F29,0)</f>
        <v>0</v>
      </c>
      <c r="BN30" s="242">
        <f t="shared" ref="BN30" si="566">IF(BN29&gt;0,$E29/$F29,0)</f>
        <v>0</v>
      </c>
      <c r="BO30" s="242">
        <f t="shared" ref="BO30" si="567">IF(BO29&gt;0,$E29/$F29,0)</f>
        <v>0</v>
      </c>
      <c r="BP30" s="242">
        <f t="shared" ref="BP30" si="568">IF(BP29&gt;0,$E29/$F29,0)</f>
        <v>0</v>
      </c>
      <c r="BQ30" s="242">
        <f t="shared" ref="BQ30" si="569">IF(BQ29&gt;0,$E29/$F29,0)</f>
        <v>0</v>
      </c>
      <c r="BR30" s="242">
        <f t="shared" ref="BR30" si="570">IF(BR29&gt;0,$E29/$F29,0)</f>
        <v>0</v>
      </c>
      <c r="BS30" s="242">
        <f t="shared" ref="BS30" si="571">IF(BS29&gt;0,$E29/$F29,0)</f>
        <v>0</v>
      </c>
      <c r="BT30" s="242">
        <f t="shared" ref="BT30" si="572">IF(BT29&gt;0,$E29/$F29,0)</f>
        <v>0</v>
      </c>
      <c r="BU30" s="242">
        <f t="shared" ref="BU30" si="573">IF(BU29&gt;0,$E29/$F29,0)</f>
        <v>0</v>
      </c>
      <c r="BV30" s="242">
        <f t="shared" ref="BV30" si="574">IF(BV29&gt;0,$E29/$F29,0)</f>
        <v>0</v>
      </c>
      <c r="BW30" s="125"/>
      <c r="BX30" s="242">
        <f>IF(BX29&gt;0,$E29/$F29,0)</f>
        <v>0</v>
      </c>
      <c r="BY30" s="242">
        <f t="shared" ref="BY30" si="575">IF(BY29&gt;0,$E29/$F29,0)</f>
        <v>0</v>
      </c>
      <c r="BZ30" s="242">
        <f t="shared" ref="BZ30" si="576">IF(BZ29&gt;0,$E29/$F29,0)</f>
        <v>0</v>
      </c>
      <c r="CA30" s="242">
        <f t="shared" ref="CA30" si="577">IF(CA29&gt;0,$E29/$F29,0)</f>
        <v>0</v>
      </c>
      <c r="CB30" s="242">
        <f t="shared" ref="CB30" si="578">IF(CB29&gt;0,$E29/$F29,0)</f>
        <v>0</v>
      </c>
      <c r="CC30" s="242">
        <f t="shared" ref="CC30" si="579">IF(CC29&gt;0,$E29/$F29,0)</f>
        <v>0</v>
      </c>
      <c r="CD30" s="242">
        <f t="shared" ref="CD30" si="580">IF(CD29&gt;0,$E29/$F29,0)</f>
        <v>0</v>
      </c>
      <c r="CE30" s="242">
        <f t="shared" ref="CE30" si="581">IF(CE29&gt;0,$E29/$F29,0)</f>
        <v>0</v>
      </c>
      <c r="CF30" s="242">
        <f t="shared" ref="CF30" si="582">IF(CF29&gt;0,$E29/$F29,0)</f>
        <v>0</v>
      </c>
      <c r="CG30" s="242">
        <f t="shared" ref="CG30" si="583">IF(CG29&gt;0,$E29/$F29,0)</f>
        <v>0</v>
      </c>
      <c r="CH30" s="242">
        <f t="shared" ref="CH30" si="584">IF(CH29&gt;0,$E29/$F29,0)</f>
        <v>0</v>
      </c>
      <c r="CI30" s="242">
        <f t="shared" ref="CI30" si="585">IF(CI29&gt;0,$E29/$F29,0)</f>
        <v>0</v>
      </c>
      <c r="CJ30" s="125"/>
    </row>
    <row r="31" spans="1:88" ht="82.5" customHeight="1">
      <c r="A31" s="284">
        <v>13</v>
      </c>
      <c r="B31" s="294" t="s">
        <v>205</v>
      </c>
      <c r="C31" s="283" t="s">
        <v>243</v>
      </c>
      <c r="D31" s="279">
        <v>3</v>
      </c>
      <c r="E31" s="280">
        <v>8537.4599999999991</v>
      </c>
      <c r="F31" s="281">
        <f>COUNTA(K31:V31,X31:AI31,AK31:AV31,AX31:BI31,BK31:BV31,BX31:CI31)</f>
        <v>24</v>
      </c>
      <c r="G31" s="157"/>
      <c r="H31" s="157"/>
      <c r="I31" s="157"/>
      <c r="J31" s="125"/>
      <c r="K31" s="136"/>
      <c r="L31" s="135"/>
      <c r="M31" s="136"/>
      <c r="N31" s="135"/>
      <c r="O31" s="136"/>
      <c r="P31" s="136"/>
      <c r="Q31" s="136"/>
      <c r="R31" s="136"/>
      <c r="S31" s="136"/>
      <c r="T31" s="136"/>
      <c r="U31" s="136"/>
      <c r="V31" s="136"/>
      <c r="W31" s="222">
        <f t="shared" ref="W31" si="586">IF(K31="РНВ",$E31,IF(L31="РНВ",$E31,IF(M31="РНВ",$E31,IF(N31="РНВ",$E31,IF(O31="РНВ",$E31,IF(P31="РНВ",$E31,IF(Q31="РНВ",$E31,IF(R31="РНВ",$E31,IF(S31="РНВ",$E31,IF(T31="РНВ",$E31,IF(U31="РНВ",$E31,IF(V31="РНВ",$E31,0))))))))))))</f>
        <v>0</v>
      </c>
      <c r="X31" s="136"/>
      <c r="Y31" s="135"/>
      <c r="Z31" s="136"/>
      <c r="AA31" s="135"/>
      <c r="AB31" s="136"/>
      <c r="AC31" s="136"/>
      <c r="AD31" s="136"/>
      <c r="AE31" s="136"/>
      <c r="AF31" s="253"/>
      <c r="AG31" s="253"/>
      <c r="AH31" s="259">
        <v>1</v>
      </c>
      <c r="AI31" s="133">
        <v>1</v>
      </c>
      <c r="AJ31" s="222">
        <f t="shared" ref="AJ31" si="587">IF(X31="РНВ",$E31,IF(Y31="РНВ",$E31,IF(Z31="РНВ",$E31,IF(AA31="РНВ",$E31,IF(AB31="РНВ",$E31,IF(AC31="РНВ",$E31,IF(AD31="РНВ",$E31,IF(AE31="РНВ",$E31,IF(AF31="РНВ",$E31,IF(AG31="РНВ",$E31,IF(AH31="РНВ",$E31,IF(AI31="РНВ",$E31,0))))))))))))</f>
        <v>0</v>
      </c>
      <c r="AK31" s="133">
        <v>1</v>
      </c>
      <c r="AL31" s="133">
        <v>1</v>
      </c>
      <c r="AM31" s="133">
        <v>1</v>
      </c>
      <c r="AN31" s="133">
        <v>1</v>
      </c>
      <c r="AO31" s="133">
        <v>1</v>
      </c>
      <c r="AP31" s="133">
        <v>1</v>
      </c>
      <c r="AQ31" s="133">
        <v>1</v>
      </c>
      <c r="AR31" s="133">
        <v>1</v>
      </c>
      <c r="AS31" s="133">
        <v>1</v>
      </c>
      <c r="AT31" s="133">
        <v>1</v>
      </c>
      <c r="AU31" s="133">
        <v>1</v>
      </c>
      <c r="AV31" s="133">
        <v>1</v>
      </c>
      <c r="AW31" s="222">
        <f t="shared" ref="AW31" si="588">IF(AK31="РНВ",$E31,IF(AL31="РНВ",$E31,IF(AM31="РНВ",$E31,IF(AN31="РНВ",$E31,IF(AO31="РНВ",$E31,IF(AP31="РНВ",$E31,IF(AQ31="РНВ",$E31,IF(AR31="РНВ",$E31,IF(AS31="РНВ",$E31,IF(AT31="РНВ",$E31,IF(AU31="РНВ",$E31,IF(AV31="РНВ",$E31,0))))))))))))</f>
        <v>0</v>
      </c>
      <c r="AX31" s="133">
        <v>1</v>
      </c>
      <c r="AY31" s="133">
        <v>1</v>
      </c>
      <c r="AZ31" s="133">
        <v>1</v>
      </c>
      <c r="BA31" s="133">
        <v>1</v>
      </c>
      <c r="BB31" s="133">
        <v>1</v>
      </c>
      <c r="BC31" s="133">
        <v>1</v>
      </c>
      <c r="BD31" s="133">
        <v>1</v>
      </c>
      <c r="BE31" s="133">
        <v>1</v>
      </c>
      <c r="BF31" s="133">
        <v>1</v>
      </c>
      <c r="BG31" s="223" t="s">
        <v>37</v>
      </c>
      <c r="BH31" s="253"/>
      <c r="BI31" s="253"/>
      <c r="BJ31" s="222">
        <f t="shared" ref="BJ31" si="589">IF(AX31="РНВ",$E31,IF(AY31="РНВ",$E31,IF(AZ31="РНВ",$E31,IF(BA31="РНВ",$E31,IF(BB31="РНВ",$E31,IF(BC31="РНВ",$E31,IF(BD31="РНВ",$E31,IF(BE31="РНВ",$E31,IF(BF31="РНВ",$E31,IF(BG31="РНВ",$E31,IF(BH31="РНВ",$E31,IF(BI31="РНВ",$E31,0))))))))))))</f>
        <v>8537.4599999999991</v>
      </c>
      <c r="BK31" s="253"/>
      <c r="BL31" s="253"/>
      <c r="BM31" s="253"/>
      <c r="BN31" s="253"/>
      <c r="BO31" s="253"/>
      <c r="BP31" s="253"/>
      <c r="BQ31" s="253"/>
      <c r="BR31" s="254"/>
      <c r="BS31" s="136"/>
      <c r="BT31" s="136"/>
      <c r="BU31" s="136"/>
      <c r="BV31" s="136"/>
      <c r="BW31" s="222">
        <f t="shared" ref="BW31" si="590">IF(BK31="РНВ",$E31,IF(BL31="РНВ",$E31,IF(BM31="РНВ",$E31,IF(BN31="РНВ",$E31,IF(BO31="РНВ",$E31,IF(BP31="РНВ",$E31,IF(BQ31="РНВ",$E31,IF(BR31="РНВ",$E31,IF(BS31="РНВ",$E31,IF(BT31="РНВ",$E31,IF(BU31="РНВ",$E31,IF(BV31="РНВ",$E31,0))))))))))))</f>
        <v>0</v>
      </c>
      <c r="BX31" s="136"/>
      <c r="BY31" s="135"/>
      <c r="BZ31" s="136"/>
      <c r="CA31" s="135"/>
      <c r="CB31" s="136"/>
      <c r="CC31" s="136"/>
      <c r="CD31" s="136"/>
      <c r="CE31" s="136"/>
      <c r="CF31" s="136"/>
      <c r="CG31" s="136"/>
      <c r="CH31" s="136"/>
      <c r="CI31" s="136"/>
      <c r="CJ31" s="222">
        <f t="shared" ref="CJ31" si="591">IF(BX31="РНВ",$E31,IF(BY31="РНВ",$E31,IF(BZ31="РНВ",$E31,IF(CA31="РНВ",$E31,IF(CB31="РНВ",$E31,IF(CC31="РНВ",$E31,IF(CD31="РНВ",$E31,IF(CE31="РНВ",$E31,IF(CF31="РНВ",$E31,IF(CG31="РНВ",$E31,IF(CH31="РНВ",$E31,IF(CI31="РНВ",$E31,0))))))))))))</f>
        <v>0</v>
      </c>
    </row>
    <row r="32" spans="1:88" ht="22.15" customHeight="1">
      <c r="A32" s="279"/>
      <c r="B32" s="295"/>
      <c r="C32" s="283"/>
      <c r="D32" s="279"/>
      <c r="E32" s="280"/>
      <c r="F32" s="279"/>
      <c r="G32" s="132"/>
      <c r="H32" s="132"/>
      <c r="I32" s="132"/>
      <c r="J32" s="125"/>
      <c r="K32" s="132"/>
      <c r="L32" s="131"/>
      <c r="M32" s="132"/>
      <c r="N32" s="131"/>
      <c r="O32" s="132"/>
      <c r="P32" s="132"/>
      <c r="Q32" s="132"/>
      <c r="R32" s="132"/>
      <c r="S32" s="132"/>
      <c r="T32" s="132"/>
      <c r="U32" s="132"/>
      <c r="V32" s="132"/>
      <c r="W32" s="125"/>
      <c r="X32" s="131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25"/>
      <c r="AK32" s="242">
        <f>IF(AK31&gt;0,$E31/$F31,0)</f>
        <v>355.72749999999996</v>
      </c>
      <c r="AL32" s="242">
        <f t="shared" ref="AL32" si="592">IF(AL31&gt;0,$E31/$F31,0)</f>
        <v>355.72749999999996</v>
      </c>
      <c r="AM32" s="242">
        <f t="shared" ref="AM32" si="593">IF(AM31&gt;0,$E31/$F31,0)</f>
        <v>355.72749999999996</v>
      </c>
      <c r="AN32" s="242">
        <f t="shared" ref="AN32" si="594">IF(AN31&gt;0,$E31/$F31,0)</f>
        <v>355.72749999999996</v>
      </c>
      <c r="AO32" s="242">
        <f t="shared" ref="AO32" si="595">IF(AO31&gt;0,$E31/$F31,0)</f>
        <v>355.72749999999996</v>
      </c>
      <c r="AP32" s="242">
        <f t="shared" ref="AP32" si="596">IF(AP31&gt;0,$E31/$F31,0)</f>
        <v>355.72749999999996</v>
      </c>
      <c r="AQ32" s="242">
        <f t="shared" ref="AQ32" si="597">IF(AQ31&gt;0,$E31/$F31,0)</f>
        <v>355.72749999999996</v>
      </c>
      <c r="AR32" s="242">
        <f t="shared" ref="AR32" si="598">IF(AR31&gt;0,$E31/$F31,0)</f>
        <v>355.72749999999996</v>
      </c>
      <c r="AS32" s="242">
        <f t="shared" ref="AS32" si="599">IF(AS31&gt;0,$E31/$F31,0)</f>
        <v>355.72749999999996</v>
      </c>
      <c r="AT32" s="242">
        <f t="shared" ref="AT32" si="600">IF(AT31&gt;0,$E31/$F31,0)</f>
        <v>355.72749999999996</v>
      </c>
      <c r="AU32" s="242">
        <f t="shared" ref="AU32" si="601">IF(AU31&gt;0,$E31/$F31,0)</f>
        <v>355.72749999999996</v>
      </c>
      <c r="AV32" s="242">
        <f t="shared" ref="AV32" si="602">IF(AV31&gt;0,$E31/$F31,0)</f>
        <v>355.72749999999996</v>
      </c>
      <c r="AW32" s="125"/>
      <c r="AX32" s="242">
        <f>IF(AX31&gt;0,$E31/$F31,0)</f>
        <v>355.72749999999996</v>
      </c>
      <c r="AY32" s="242">
        <f t="shared" ref="AY32" si="603">IF(AY31&gt;0,$E31/$F31,0)</f>
        <v>355.72749999999996</v>
      </c>
      <c r="AZ32" s="242">
        <f t="shared" ref="AZ32" si="604">IF(AZ31&gt;0,$E31/$F31,0)</f>
        <v>355.72749999999996</v>
      </c>
      <c r="BA32" s="242">
        <f t="shared" ref="BA32" si="605">IF(BA31&gt;0,$E31/$F31,0)</f>
        <v>355.72749999999996</v>
      </c>
      <c r="BB32" s="242">
        <f t="shared" ref="BB32" si="606">IF(BB31&gt;0,$E31/$F31,0)</f>
        <v>355.72749999999996</v>
      </c>
      <c r="BC32" s="242">
        <f t="shared" ref="BC32" si="607">IF(BC31&gt;0,$E31/$F31,0)</f>
        <v>355.72749999999996</v>
      </c>
      <c r="BD32" s="242">
        <f t="shared" ref="BD32" si="608">IF(BD31&gt;0,$E31/$F31,0)</f>
        <v>355.72749999999996</v>
      </c>
      <c r="BE32" s="242">
        <f t="shared" ref="BE32" si="609">IF(BE31&gt;0,$E31/$F31,0)</f>
        <v>355.72749999999996</v>
      </c>
      <c r="BF32" s="242">
        <f t="shared" ref="BF32" si="610">IF(BF31&gt;0,$E31/$F31,0)</f>
        <v>355.72749999999996</v>
      </c>
      <c r="BG32" s="242">
        <f t="shared" ref="BG32" si="611">IF(BG31&gt;0,$E31/$F31,0)</f>
        <v>355.72749999999996</v>
      </c>
      <c r="BH32" s="242">
        <f t="shared" ref="BH32" si="612">IF(BH31&gt;0,$E31/$F31,0)</f>
        <v>0</v>
      </c>
      <c r="BI32" s="242">
        <f t="shared" ref="BI32" si="613">IF(BI31&gt;0,$E31/$F31,0)</f>
        <v>0</v>
      </c>
      <c r="BJ32" s="125"/>
      <c r="BK32" s="242">
        <f>IF(BK31&gt;0,$E31/$F31,0)</f>
        <v>0</v>
      </c>
      <c r="BL32" s="242">
        <f t="shared" ref="BL32" si="614">IF(BL31&gt;0,$E31/$F31,0)</f>
        <v>0</v>
      </c>
      <c r="BM32" s="242">
        <f t="shared" ref="BM32" si="615">IF(BM31&gt;0,$E31/$F31,0)</f>
        <v>0</v>
      </c>
      <c r="BN32" s="242">
        <f t="shared" ref="BN32" si="616">IF(BN31&gt;0,$E31/$F31,0)</f>
        <v>0</v>
      </c>
      <c r="BO32" s="242">
        <f t="shared" ref="BO32" si="617">IF(BO31&gt;0,$E31/$F31,0)</f>
        <v>0</v>
      </c>
      <c r="BP32" s="242">
        <f t="shared" ref="BP32" si="618">IF(BP31&gt;0,$E31/$F31,0)</f>
        <v>0</v>
      </c>
      <c r="BQ32" s="242">
        <f t="shared" ref="BQ32" si="619">IF(BQ31&gt;0,$E31/$F31,0)</f>
        <v>0</v>
      </c>
      <c r="BR32" s="242">
        <f t="shared" ref="BR32" si="620">IF(BR31&gt;0,$E31/$F31,0)</f>
        <v>0</v>
      </c>
      <c r="BS32" s="242">
        <f t="shared" ref="BS32" si="621">IF(BS31&gt;0,$E31/$F31,0)</f>
        <v>0</v>
      </c>
      <c r="BT32" s="242">
        <f t="shared" ref="BT32" si="622">IF(BT31&gt;0,$E31/$F31,0)</f>
        <v>0</v>
      </c>
      <c r="BU32" s="242">
        <f t="shared" ref="BU32" si="623">IF(BU31&gt;0,$E31/$F31,0)</f>
        <v>0</v>
      </c>
      <c r="BV32" s="242">
        <f t="shared" ref="BV32" si="624">IF(BV31&gt;0,$E31/$F31,0)</f>
        <v>0</v>
      </c>
      <c r="BW32" s="125"/>
      <c r="BX32" s="242">
        <f>IF(BX31&gt;0,$E31/$F31,0)</f>
        <v>0</v>
      </c>
      <c r="BY32" s="242">
        <f t="shared" ref="BY32" si="625">IF(BY31&gt;0,$E31/$F31,0)</f>
        <v>0</v>
      </c>
      <c r="BZ32" s="242">
        <f t="shared" ref="BZ32" si="626">IF(BZ31&gt;0,$E31/$F31,0)</f>
        <v>0</v>
      </c>
      <c r="CA32" s="242">
        <f t="shared" ref="CA32" si="627">IF(CA31&gt;0,$E31/$F31,0)</f>
        <v>0</v>
      </c>
      <c r="CB32" s="242">
        <f t="shared" ref="CB32" si="628">IF(CB31&gt;0,$E31/$F31,0)</f>
        <v>0</v>
      </c>
      <c r="CC32" s="242">
        <f t="shared" ref="CC32" si="629">IF(CC31&gt;0,$E31/$F31,0)</f>
        <v>0</v>
      </c>
      <c r="CD32" s="242">
        <f t="shared" ref="CD32" si="630">IF(CD31&gt;0,$E31/$F31,0)</f>
        <v>0</v>
      </c>
      <c r="CE32" s="242">
        <f t="shared" ref="CE32" si="631">IF(CE31&gt;0,$E31/$F31,0)</f>
        <v>0</v>
      </c>
      <c r="CF32" s="242">
        <f t="shared" ref="CF32" si="632">IF(CF31&gt;0,$E31/$F31,0)</f>
        <v>0</v>
      </c>
      <c r="CG32" s="242">
        <f t="shared" ref="CG32" si="633">IF(CG31&gt;0,$E31/$F31,0)</f>
        <v>0</v>
      </c>
      <c r="CH32" s="242">
        <f t="shared" ref="CH32" si="634">IF(CH31&gt;0,$E31/$F31,0)</f>
        <v>0</v>
      </c>
      <c r="CI32" s="242">
        <f t="shared" ref="CI32" si="635">IF(CI31&gt;0,$E31/$F31,0)</f>
        <v>0</v>
      </c>
      <c r="CJ32" s="125"/>
    </row>
    <row r="33" spans="1:88" ht="82.5" customHeight="1">
      <c r="A33" s="279">
        <v>14</v>
      </c>
      <c r="B33" s="285" t="s">
        <v>206</v>
      </c>
      <c r="C33" s="286" t="s">
        <v>242</v>
      </c>
      <c r="D33" s="279">
        <v>2</v>
      </c>
      <c r="E33" s="280">
        <v>5652.62</v>
      </c>
      <c r="F33" s="281">
        <f t="shared" ref="F33" si="636">COUNTA(K33:V33,X33:AI33,AK33:AV33,AX33:BI33,BK33:BV33,BX33:CI33)</f>
        <v>18</v>
      </c>
      <c r="G33" s="136"/>
      <c r="H33" s="136"/>
      <c r="I33" s="136"/>
      <c r="J33" s="137"/>
      <c r="K33" s="136"/>
      <c r="L33" s="135"/>
      <c r="M33" s="136"/>
      <c r="N33" s="135"/>
      <c r="O33" s="136"/>
      <c r="P33" s="136"/>
      <c r="Q33" s="136"/>
      <c r="R33" s="136"/>
      <c r="S33" s="136"/>
      <c r="T33" s="136"/>
      <c r="U33" s="136"/>
      <c r="V33" s="136"/>
      <c r="W33" s="222">
        <f t="shared" ref="W33" si="637">IF(K33="РНВ",$E33,IF(L33="РНВ",$E33,IF(M33="РНВ",$E33,IF(N33="РНВ",$E33,IF(O33="РНВ",$E33,IF(P33="РНВ",$E33,IF(Q33="РНВ",$E33,IF(R33="РНВ",$E33,IF(S33="РНВ",$E33,IF(T33="РНВ",$E33,IF(U33="РНВ",$E33,IF(V33="РНВ",$E33,0))))))))))))</f>
        <v>0</v>
      </c>
      <c r="X33" s="136"/>
      <c r="Y33" s="135"/>
      <c r="Z33" s="136"/>
      <c r="AA33" s="135"/>
      <c r="AB33" s="136"/>
      <c r="AC33" s="136"/>
      <c r="AD33" s="136"/>
      <c r="AE33" s="136"/>
      <c r="AF33" s="136"/>
      <c r="AG33" s="136"/>
      <c r="AH33" s="136"/>
      <c r="AI33" s="136"/>
      <c r="AJ33" s="222">
        <f t="shared" ref="AJ33" si="638">IF(X33="РНВ",$E33,IF(Y33="РНВ",$E33,IF(Z33="РНВ",$E33,IF(AA33="РНВ",$E33,IF(AB33="РНВ",$E33,IF(AC33="РНВ",$E33,IF(AD33="РНВ",$E33,IF(AE33="РНВ",$E33,IF(AF33="РНВ",$E33,IF(AG33="РНВ",$E33,IF(AH33="РНВ",$E33,IF(AI33="РНВ",$E33,0))))))))))))</f>
        <v>0</v>
      </c>
      <c r="AK33" s="136"/>
      <c r="AL33" s="135"/>
      <c r="AM33" s="136"/>
      <c r="AN33" s="135"/>
      <c r="AO33" s="136"/>
      <c r="AP33" s="136"/>
      <c r="AQ33" s="136"/>
      <c r="AR33" s="136"/>
      <c r="AS33" s="136"/>
      <c r="AT33" s="133">
        <v>1</v>
      </c>
      <c r="AU33" s="133">
        <v>1</v>
      </c>
      <c r="AV33" s="133">
        <v>1</v>
      </c>
      <c r="AW33" s="222">
        <f t="shared" ref="AW33" si="639">IF(AK33="РНВ",$E33,IF(AL33="РНВ",$E33,IF(AM33="РНВ",$E33,IF(AN33="РНВ",$E33,IF(AO33="РНВ",$E33,IF(AP33="РНВ",$E33,IF(AQ33="РНВ",$E33,IF(AR33="РНВ",$E33,IF(AS33="РНВ",$E33,IF(AT33="РНВ",$E33,IF(AU33="РНВ",$E33,IF(AV33="РНВ",$E33,0))))))))))))</f>
        <v>0</v>
      </c>
      <c r="AX33" s="133">
        <v>1</v>
      </c>
      <c r="AY33" s="133">
        <v>1</v>
      </c>
      <c r="AZ33" s="133">
        <v>1</v>
      </c>
      <c r="BA33" s="133">
        <v>1</v>
      </c>
      <c r="BB33" s="133">
        <v>1</v>
      </c>
      <c r="BC33" s="133">
        <v>1</v>
      </c>
      <c r="BD33" s="133">
        <v>1</v>
      </c>
      <c r="BE33" s="133">
        <v>1</v>
      </c>
      <c r="BF33" s="133">
        <v>1</v>
      </c>
      <c r="BG33" s="133">
        <v>1</v>
      </c>
      <c r="BH33" s="133">
        <v>1</v>
      </c>
      <c r="BI33" s="133">
        <v>1</v>
      </c>
      <c r="BJ33" s="222">
        <f t="shared" ref="BJ33" si="640">IF(AX33="РНВ",$E33,IF(AY33="РНВ",$E33,IF(AZ33="РНВ",$E33,IF(BA33="РНВ",$E33,IF(BB33="РНВ",$E33,IF(BC33="РНВ",$E33,IF(BD33="РНВ",$E33,IF(BE33="РНВ",$E33,IF(BF33="РНВ",$E33,IF(BG33="РНВ",$E33,IF(BH33="РНВ",$E33,IF(BI33="РНВ",$E33,0))))))))))))</f>
        <v>0</v>
      </c>
      <c r="BK33" s="133">
        <v>1</v>
      </c>
      <c r="BL33" s="133">
        <v>1</v>
      </c>
      <c r="BM33" s="223" t="s">
        <v>37</v>
      </c>
      <c r="BN33" s="253"/>
      <c r="BO33" s="253"/>
      <c r="BP33" s="253"/>
      <c r="BQ33" s="253"/>
      <c r="BR33" s="253"/>
      <c r="BS33" s="253"/>
      <c r="BT33" s="253"/>
      <c r="BU33" s="253"/>
      <c r="BV33" s="254"/>
      <c r="BW33" s="222">
        <f t="shared" ref="BW33" si="641">IF(BK33="РНВ",$E33,IF(BL33="РНВ",$E33,IF(BM33="РНВ",$E33,IF(BN33="РНВ",$E33,IF(BO33="РНВ",$E33,IF(BP33="РНВ",$E33,IF(BQ33="РНВ",$E33,IF(BR33="РНВ",$E33,IF(BS33="РНВ",$E33,IF(BT33="РНВ",$E33,IF(BU33="РНВ",$E33,IF(BV33="РНВ",$E33,0))))))))))))</f>
        <v>5652.62</v>
      </c>
      <c r="BX33" s="136"/>
      <c r="BY33" s="135"/>
      <c r="BZ33" s="136"/>
      <c r="CA33" s="135"/>
      <c r="CB33" s="136"/>
      <c r="CC33" s="136"/>
      <c r="CD33" s="136"/>
      <c r="CE33" s="136"/>
      <c r="CF33" s="136"/>
      <c r="CG33" s="136"/>
      <c r="CH33" s="136"/>
      <c r="CI33" s="136"/>
      <c r="CJ33" s="222">
        <f t="shared" ref="CJ33" si="642">IF(BX33="РНВ",$E33,IF(BY33="РНВ",$E33,IF(BZ33="РНВ",$E33,IF(CA33="РНВ",$E33,IF(CB33="РНВ",$E33,IF(CC33="РНВ",$E33,IF(CD33="РНВ",$E33,IF(CE33="РНВ",$E33,IF(CF33="РНВ",$E33,IF(CG33="РНВ",$E33,IF(CH33="РНВ",$E33,IF(CI33="РНВ",$E33,0))))))))))))</f>
        <v>0</v>
      </c>
    </row>
    <row r="34" spans="1:88" ht="22.15" customHeight="1">
      <c r="A34" s="279"/>
      <c r="B34" s="279"/>
      <c r="C34" s="286"/>
      <c r="D34" s="279"/>
      <c r="E34" s="280"/>
      <c r="F34" s="279"/>
      <c r="G34" s="132"/>
      <c r="H34" s="132"/>
      <c r="I34" s="132"/>
      <c r="J34" s="125"/>
      <c r="K34" s="132"/>
      <c r="L34" s="131"/>
      <c r="M34" s="132"/>
      <c r="N34" s="131"/>
      <c r="O34" s="132"/>
      <c r="P34" s="164"/>
      <c r="Q34" s="132"/>
      <c r="R34" s="132"/>
      <c r="S34" s="132"/>
      <c r="T34" s="132"/>
      <c r="U34" s="132"/>
      <c r="V34" s="132"/>
      <c r="W34" s="125"/>
      <c r="X34" s="131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25"/>
      <c r="AK34" s="242">
        <f>IF(AK33&gt;0,$E33/$F33,0)</f>
        <v>0</v>
      </c>
      <c r="AL34" s="242">
        <f t="shared" ref="AL34" si="643">IF(AL33&gt;0,$E33/$F33,0)</f>
        <v>0</v>
      </c>
      <c r="AM34" s="242">
        <f t="shared" ref="AM34" si="644">IF(AM33&gt;0,$E33/$F33,0)</f>
        <v>0</v>
      </c>
      <c r="AN34" s="242">
        <f t="shared" ref="AN34" si="645">IF(AN33&gt;0,$E33/$F33,0)</f>
        <v>0</v>
      </c>
      <c r="AO34" s="242">
        <f t="shared" ref="AO34" si="646">IF(AO33&gt;0,$E33/$F33,0)</f>
        <v>0</v>
      </c>
      <c r="AP34" s="242">
        <f t="shared" ref="AP34" si="647">IF(AP33&gt;0,$E33/$F33,0)</f>
        <v>0</v>
      </c>
      <c r="AQ34" s="242">
        <f t="shared" ref="AQ34" si="648">IF(AQ33&gt;0,$E33/$F33,0)</f>
        <v>0</v>
      </c>
      <c r="AR34" s="242">
        <f t="shared" ref="AR34" si="649">IF(AR33&gt;0,$E33/$F33,0)</f>
        <v>0</v>
      </c>
      <c r="AS34" s="242">
        <f t="shared" ref="AS34" si="650">IF(AS33&gt;0,$E33/$F33,0)</f>
        <v>0</v>
      </c>
      <c r="AT34" s="242">
        <f t="shared" ref="AT34" si="651">IF(AT33&gt;0,$E33/$F33,0)</f>
        <v>314.03444444444443</v>
      </c>
      <c r="AU34" s="242">
        <f t="shared" ref="AU34" si="652">IF(AU33&gt;0,$E33/$F33,0)</f>
        <v>314.03444444444443</v>
      </c>
      <c r="AV34" s="242">
        <f t="shared" ref="AV34" si="653">IF(AV33&gt;0,$E33/$F33,0)</f>
        <v>314.03444444444443</v>
      </c>
      <c r="AW34" s="125"/>
      <c r="AX34" s="242">
        <f>IF(AX33&gt;0,$E33/$F33,0)</f>
        <v>314.03444444444443</v>
      </c>
      <c r="AY34" s="242">
        <f t="shared" ref="AY34" si="654">IF(AY33&gt;0,$E33/$F33,0)</f>
        <v>314.03444444444443</v>
      </c>
      <c r="AZ34" s="242">
        <f t="shared" ref="AZ34" si="655">IF(AZ33&gt;0,$E33/$F33,0)</f>
        <v>314.03444444444443</v>
      </c>
      <c r="BA34" s="242">
        <f t="shared" ref="BA34" si="656">IF(BA33&gt;0,$E33/$F33,0)</f>
        <v>314.03444444444443</v>
      </c>
      <c r="BB34" s="242">
        <f t="shared" ref="BB34" si="657">IF(BB33&gt;0,$E33/$F33,0)</f>
        <v>314.03444444444443</v>
      </c>
      <c r="BC34" s="242">
        <f t="shared" ref="BC34" si="658">IF(BC33&gt;0,$E33/$F33,0)</f>
        <v>314.03444444444443</v>
      </c>
      <c r="BD34" s="242">
        <f t="shared" ref="BD34" si="659">IF(BD33&gt;0,$E33/$F33,0)</f>
        <v>314.03444444444443</v>
      </c>
      <c r="BE34" s="242">
        <f t="shared" ref="BE34" si="660">IF(BE33&gt;0,$E33/$F33,0)</f>
        <v>314.03444444444443</v>
      </c>
      <c r="BF34" s="242">
        <f t="shared" ref="BF34" si="661">IF(BF33&gt;0,$E33/$F33,0)</f>
        <v>314.03444444444443</v>
      </c>
      <c r="BG34" s="242">
        <f t="shared" ref="BG34" si="662">IF(BG33&gt;0,$E33/$F33,0)</f>
        <v>314.03444444444443</v>
      </c>
      <c r="BH34" s="242">
        <f t="shared" ref="BH34" si="663">IF(BH33&gt;0,$E33/$F33,0)</f>
        <v>314.03444444444443</v>
      </c>
      <c r="BI34" s="242">
        <f t="shared" ref="BI34" si="664">IF(BI33&gt;0,$E33/$F33,0)</f>
        <v>314.03444444444443</v>
      </c>
      <c r="BJ34" s="125"/>
      <c r="BK34" s="242">
        <f>IF(BK33&gt;0,$E33/$F33,0)</f>
        <v>314.03444444444443</v>
      </c>
      <c r="BL34" s="242">
        <f t="shared" ref="BL34" si="665">IF(BL33&gt;0,$E33/$F33,0)</f>
        <v>314.03444444444443</v>
      </c>
      <c r="BM34" s="242">
        <f t="shared" ref="BM34" si="666">IF(BM33&gt;0,$E33/$F33,0)</f>
        <v>314.03444444444443</v>
      </c>
      <c r="BN34" s="242">
        <f t="shared" ref="BN34" si="667">IF(BN33&gt;0,$E33/$F33,0)</f>
        <v>0</v>
      </c>
      <c r="BO34" s="242">
        <f t="shared" ref="BO34" si="668">IF(BO33&gt;0,$E33/$F33,0)</f>
        <v>0</v>
      </c>
      <c r="BP34" s="242">
        <f t="shared" ref="BP34" si="669">IF(BP33&gt;0,$E33/$F33,0)</f>
        <v>0</v>
      </c>
      <c r="BQ34" s="242">
        <f t="shared" ref="BQ34" si="670">IF(BQ33&gt;0,$E33/$F33,0)</f>
        <v>0</v>
      </c>
      <c r="BR34" s="242">
        <f t="shared" ref="BR34" si="671">IF(BR33&gt;0,$E33/$F33,0)</f>
        <v>0</v>
      </c>
      <c r="BS34" s="242">
        <f t="shared" ref="BS34" si="672">IF(BS33&gt;0,$E33/$F33,0)</f>
        <v>0</v>
      </c>
      <c r="BT34" s="242">
        <f t="shared" ref="BT34" si="673">IF(BT33&gt;0,$E33/$F33,0)</f>
        <v>0</v>
      </c>
      <c r="BU34" s="242">
        <f t="shared" ref="BU34" si="674">IF(BU33&gt;0,$E33/$F33,0)</f>
        <v>0</v>
      </c>
      <c r="BV34" s="242">
        <f t="shared" ref="BV34" si="675">IF(BV33&gt;0,$E33/$F33,0)</f>
        <v>0</v>
      </c>
      <c r="BW34" s="125"/>
      <c r="BX34" s="242">
        <f>IF(BX33&gt;0,$E33/$F33,0)</f>
        <v>0</v>
      </c>
      <c r="BY34" s="242">
        <f t="shared" ref="BY34" si="676">IF(BY33&gt;0,$E33/$F33,0)</f>
        <v>0</v>
      </c>
      <c r="BZ34" s="242">
        <f t="shared" ref="BZ34" si="677">IF(BZ33&gt;0,$E33/$F33,0)</f>
        <v>0</v>
      </c>
      <c r="CA34" s="242">
        <f t="shared" ref="CA34" si="678">IF(CA33&gt;0,$E33/$F33,0)</f>
        <v>0</v>
      </c>
      <c r="CB34" s="242">
        <f t="shared" ref="CB34" si="679">IF(CB33&gt;0,$E33/$F33,0)</f>
        <v>0</v>
      </c>
      <c r="CC34" s="242">
        <f t="shared" ref="CC34" si="680">IF(CC33&gt;0,$E33/$F33,0)</f>
        <v>0</v>
      </c>
      <c r="CD34" s="242">
        <f t="shared" ref="CD34" si="681">IF(CD33&gt;0,$E33/$F33,0)</f>
        <v>0</v>
      </c>
      <c r="CE34" s="242">
        <f t="shared" ref="CE34" si="682">IF(CE33&gt;0,$E33/$F33,0)</f>
        <v>0</v>
      </c>
      <c r="CF34" s="242">
        <f t="shared" ref="CF34" si="683">IF(CF33&gt;0,$E33/$F33,0)</f>
        <v>0</v>
      </c>
      <c r="CG34" s="242">
        <f t="shared" ref="CG34" si="684">IF(CG33&gt;0,$E33/$F33,0)</f>
        <v>0</v>
      </c>
      <c r="CH34" s="242">
        <f t="shared" ref="CH34" si="685">IF(CH33&gt;0,$E33/$F33,0)</f>
        <v>0</v>
      </c>
      <c r="CI34" s="242">
        <f t="shared" ref="CI34" si="686">IF(CI33&gt;0,$E33/$F33,0)</f>
        <v>0</v>
      </c>
      <c r="CJ34" s="125"/>
    </row>
    <row r="35" spans="1:88" ht="82.5" customHeight="1">
      <c r="A35" s="279">
        <v>15</v>
      </c>
      <c r="B35" s="285" t="s">
        <v>207</v>
      </c>
      <c r="C35" s="279" t="s">
        <v>176</v>
      </c>
      <c r="D35" s="279">
        <v>3</v>
      </c>
      <c r="E35" s="280">
        <v>8564.36</v>
      </c>
      <c r="F35" s="281">
        <f t="shared" ref="F35" si="687">COUNTA(K35:V35,X35:AI35,AK35:AV35,AX35:BI35,BK35:BV35,BX35:CI35)</f>
        <v>30</v>
      </c>
      <c r="G35" s="136"/>
      <c r="H35" s="136"/>
      <c r="I35" s="136"/>
      <c r="J35" s="137"/>
      <c r="K35" s="136"/>
      <c r="L35" s="135"/>
      <c r="M35" s="136"/>
      <c r="N35" s="135"/>
      <c r="O35" s="136"/>
      <c r="P35" s="136"/>
      <c r="Q35" s="136"/>
      <c r="R35" s="136"/>
      <c r="S35" s="136"/>
      <c r="T35" s="136"/>
      <c r="U35" s="136"/>
      <c r="V35" s="136"/>
      <c r="W35" s="222">
        <f t="shared" ref="W35" si="688">IF(K35="РНВ",$E35,IF(L35="РНВ",$E35,IF(M35="РНВ",$E35,IF(N35="РНВ",$E35,IF(O35="РНВ",$E35,IF(P35="РНВ",$E35,IF(Q35="РНВ",$E35,IF(R35="РНВ",$E35,IF(S35="РНВ",$E35,IF(T35="РНВ",$E35,IF(U35="РНВ",$E35,IF(V35="РНВ",$E35,0))))))))))))</f>
        <v>0</v>
      </c>
      <c r="X35" s="135"/>
      <c r="Y35" s="136"/>
      <c r="Z35" s="136"/>
      <c r="AA35" s="136"/>
      <c r="AB35" s="136"/>
      <c r="AC35" s="133">
        <v>1</v>
      </c>
      <c r="AD35" s="133">
        <v>1</v>
      </c>
      <c r="AE35" s="133">
        <v>1</v>
      </c>
      <c r="AF35" s="133">
        <v>1</v>
      </c>
      <c r="AG35" s="133">
        <v>1</v>
      </c>
      <c r="AH35" s="133">
        <v>1</v>
      </c>
      <c r="AI35" s="133">
        <v>1</v>
      </c>
      <c r="AJ35" s="222">
        <f t="shared" ref="AJ35" si="689">IF(X35="РНВ",$E35,IF(Y35="РНВ",$E35,IF(Z35="РНВ",$E35,IF(AA35="РНВ",$E35,IF(AB35="РНВ",$E35,IF(AC35="РНВ",$E35,IF(AD35="РНВ",$E35,IF(AE35="РНВ",$E35,IF(AF35="РНВ",$E35,IF(AG35="РНВ",$E35,IF(AH35="РНВ",$E35,IF(AI35="РНВ",$E35,0))))))))))))</f>
        <v>0</v>
      </c>
      <c r="AK35" s="133">
        <v>1</v>
      </c>
      <c r="AL35" s="133">
        <v>1</v>
      </c>
      <c r="AM35" s="133">
        <v>1</v>
      </c>
      <c r="AN35" s="133">
        <v>1</v>
      </c>
      <c r="AO35" s="133">
        <v>1</v>
      </c>
      <c r="AP35" s="133">
        <v>1</v>
      </c>
      <c r="AQ35" s="133">
        <v>1</v>
      </c>
      <c r="AR35" s="133">
        <v>1</v>
      </c>
      <c r="AS35" s="133">
        <v>1</v>
      </c>
      <c r="AT35" s="133">
        <v>1</v>
      </c>
      <c r="AU35" s="133">
        <v>1</v>
      </c>
      <c r="AV35" s="133">
        <v>1</v>
      </c>
      <c r="AW35" s="222">
        <f t="shared" ref="AW35" si="690">IF(AK35="РНВ",$E35,IF(AL35="РНВ",$E35,IF(AM35="РНВ",$E35,IF(AN35="РНВ",$E35,IF(AO35="РНВ",$E35,IF(AP35="РНВ",$E35,IF(AQ35="РНВ",$E35,IF(AR35="РНВ",$E35,IF(AS35="РНВ",$E35,IF(AT35="РНВ",$E35,IF(AU35="РНВ",$E35,IF(AV35="РНВ",$E35,0))))))))))))</f>
        <v>0</v>
      </c>
      <c r="AX35" s="133">
        <v>1</v>
      </c>
      <c r="AY35" s="133">
        <v>1</v>
      </c>
      <c r="AZ35" s="133">
        <v>1</v>
      </c>
      <c r="BA35" s="133">
        <v>1</v>
      </c>
      <c r="BB35" s="133">
        <v>1</v>
      </c>
      <c r="BC35" s="133">
        <v>1</v>
      </c>
      <c r="BD35" s="133">
        <v>1</v>
      </c>
      <c r="BE35" s="133">
        <v>1</v>
      </c>
      <c r="BF35" s="133">
        <v>1</v>
      </c>
      <c r="BG35" s="133">
        <v>1</v>
      </c>
      <c r="BH35" s="227" t="s">
        <v>37</v>
      </c>
      <c r="BI35" s="136"/>
      <c r="BJ35" s="222">
        <f t="shared" ref="BJ35" si="691">IF(AX35="РНВ",$E35,IF(AY35="РНВ",$E35,IF(AZ35="РНВ",$E35,IF(BA35="РНВ",$E35,IF(BB35="РНВ",$E35,IF(BC35="РНВ",$E35,IF(BD35="РНВ",$E35,IF(BE35="РНВ",$E35,IF(BF35="РНВ",$E35,IF(BG35="РНВ",$E35,IF(BH35="РНВ",$E35,IF(BI35="РНВ",$E35,0))))))))))))</f>
        <v>8564.36</v>
      </c>
      <c r="BK35" s="136"/>
      <c r="BL35" s="135"/>
      <c r="BM35" s="136"/>
      <c r="BN35" s="135"/>
      <c r="BO35" s="136"/>
      <c r="BP35" s="136"/>
      <c r="BQ35" s="136"/>
      <c r="BR35" s="136"/>
      <c r="BS35" s="136"/>
      <c r="BT35" s="136"/>
      <c r="BU35" s="136"/>
      <c r="BV35" s="136"/>
      <c r="BW35" s="222">
        <f t="shared" ref="BW35" si="692">IF(BK35="РНВ",$E35,IF(BL35="РНВ",$E35,IF(BM35="РНВ",$E35,IF(BN35="РНВ",$E35,IF(BO35="РНВ",$E35,IF(BP35="РНВ",$E35,IF(BQ35="РНВ",$E35,IF(BR35="РНВ",$E35,IF(BS35="РНВ",$E35,IF(BT35="РНВ",$E35,IF(BU35="РНВ",$E35,IF(BV35="РНВ",$E35,0))))))))))))</f>
        <v>0</v>
      </c>
      <c r="BX35" s="136"/>
      <c r="BY35" s="135"/>
      <c r="BZ35" s="136"/>
      <c r="CA35" s="135"/>
      <c r="CB35" s="136"/>
      <c r="CC35" s="136"/>
      <c r="CD35" s="136"/>
      <c r="CE35" s="136"/>
      <c r="CF35" s="136"/>
      <c r="CG35" s="136"/>
      <c r="CH35" s="136"/>
      <c r="CI35" s="136"/>
      <c r="CJ35" s="222">
        <f t="shared" ref="CJ35" si="693">IF(BX35="РНВ",$E35,IF(BY35="РНВ",$E35,IF(BZ35="РНВ",$E35,IF(CA35="РНВ",$E35,IF(CB35="РНВ",$E35,IF(CC35="РНВ",$E35,IF(CD35="РНВ",$E35,IF(CE35="РНВ",$E35,IF(CF35="РНВ",$E35,IF(CG35="РНВ",$E35,IF(CH35="РНВ",$E35,IF(CI35="РНВ",$E35,0))))))))))))</f>
        <v>0</v>
      </c>
    </row>
    <row r="36" spans="1:88" ht="22.15" customHeight="1">
      <c r="A36" s="279"/>
      <c r="B36" s="279"/>
      <c r="C36" s="279"/>
      <c r="D36" s="279"/>
      <c r="E36" s="280"/>
      <c r="F36" s="279"/>
      <c r="G36" s="132"/>
      <c r="H36" s="132"/>
      <c r="I36" s="132"/>
      <c r="J36" s="125"/>
      <c r="K36" s="132"/>
      <c r="L36" s="131"/>
      <c r="M36" s="132"/>
      <c r="N36" s="131"/>
      <c r="O36" s="132"/>
      <c r="P36" s="164"/>
      <c r="Q36" s="132"/>
      <c r="R36" s="132"/>
      <c r="S36" s="132"/>
      <c r="T36" s="132"/>
      <c r="U36" s="132"/>
      <c r="V36" s="132">
        <v>647082</v>
      </c>
      <c r="W36" s="125"/>
      <c r="X36" s="131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25"/>
      <c r="AK36" s="242">
        <f>IF(AK35&gt;0,$E35/$F35,0)</f>
        <v>285.4786666666667</v>
      </c>
      <c r="AL36" s="242">
        <f t="shared" ref="AL36" si="694">IF(AL35&gt;0,$E35/$F35,0)</f>
        <v>285.4786666666667</v>
      </c>
      <c r="AM36" s="242">
        <f t="shared" ref="AM36" si="695">IF(AM35&gt;0,$E35/$F35,0)</f>
        <v>285.4786666666667</v>
      </c>
      <c r="AN36" s="242">
        <f t="shared" ref="AN36" si="696">IF(AN35&gt;0,$E35/$F35,0)</f>
        <v>285.4786666666667</v>
      </c>
      <c r="AO36" s="242">
        <f t="shared" ref="AO36" si="697">IF(AO35&gt;0,$E35/$F35,0)</f>
        <v>285.4786666666667</v>
      </c>
      <c r="AP36" s="242">
        <f t="shared" ref="AP36" si="698">IF(AP35&gt;0,$E35/$F35,0)</f>
        <v>285.4786666666667</v>
      </c>
      <c r="AQ36" s="242">
        <f t="shared" ref="AQ36" si="699">IF(AQ35&gt;0,$E35/$F35,0)</f>
        <v>285.4786666666667</v>
      </c>
      <c r="AR36" s="242">
        <f t="shared" ref="AR36" si="700">IF(AR35&gt;0,$E35/$F35,0)</f>
        <v>285.4786666666667</v>
      </c>
      <c r="AS36" s="242">
        <f t="shared" ref="AS36" si="701">IF(AS35&gt;0,$E35/$F35,0)</f>
        <v>285.4786666666667</v>
      </c>
      <c r="AT36" s="242">
        <f t="shared" ref="AT36" si="702">IF(AT35&gt;0,$E35/$F35,0)</f>
        <v>285.4786666666667</v>
      </c>
      <c r="AU36" s="242">
        <f t="shared" ref="AU36" si="703">IF(AU35&gt;0,$E35/$F35,0)</f>
        <v>285.4786666666667</v>
      </c>
      <c r="AV36" s="242">
        <f t="shared" ref="AV36" si="704">IF(AV35&gt;0,$E35/$F35,0)</f>
        <v>285.4786666666667</v>
      </c>
      <c r="AW36" s="125"/>
      <c r="AX36" s="242">
        <f>IF(AX35&gt;0,$E35/$F35,0)</f>
        <v>285.4786666666667</v>
      </c>
      <c r="AY36" s="242">
        <f t="shared" ref="AY36" si="705">IF(AY35&gt;0,$E35/$F35,0)</f>
        <v>285.4786666666667</v>
      </c>
      <c r="AZ36" s="242">
        <f t="shared" ref="AZ36" si="706">IF(AZ35&gt;0,$E35/$F35,0)</f>
        <v>285.4786666666667</v>
      </c>
      <c r="BA36" s="242">
        <f t="shared" ref="BA36" si="707">IF(BA35&gt;0,$E35/$F35,0)</f>
        <v>285.4786666666667</v>
      </c>
      <c r="BB36" s="242">
        <f t="shared" ref="BB36" si="708">IF(BB35&gt;0,$E35/$F35,0)</f>
        <v>285.4786666666667</v>
      </c>
      <c r="BC36" s="242">
        <f t="shared" ref="BC36" si="709">IF(BC35&gt;0,$E35/$F35,0)</f>
        <v>285.4786666666667</v>
      </c>
      <c r="BD36" s="242">
        <f t="shared" ref="BD36" si="710">IF(BD35&gt;0,$E35/$F35,0)</f>
        <v>285.4786666666667</v>
      </c>
      <c r="BE36" s="242">
        <f t="shared" ref="BE36" si="711">IF(BE35&gt;0,$E35/$F35,0)</f>
        <v>285.4786666666667</v>
      </c>
      <c r="BF36" s="242">
        <f t="shared" ref="BF36" si="712">IF(BF35&gt;0,$E35/$F35,0)</f>
        <v>285.4786666666667</v>
      </c>
      <c r="BG36" s="242">
        <f t="shared" ref="BG36" si="713">IF(BG35&gt;0,$E35/$F35,0)</f>
        <v>285.4786666666667</v>
      </c>
      <c r="BH36" s="242">
        <f t="shared" ref="BH36" si="714">IF(BH35&gt;0,$E35/$F35,0)</f>
        <v>285.4786666666667</v>
      </c>
      <c r="BI36" s="242">
        <f t="shared" ref="BI36" si="715">IF(BI35&gt;0,$E35/$F35,0)</f>
        <v>0</v>
      </c>
      <c r="BJ36" s="125"/>
      <c r="BK36" s="242">
        <f>IF(BK35&gt;0,$E35/$F35,0)</f>
        <v>0</v>
      </c>
      <c r="BL36" s="242">
        <f t="shared" ref="BL36" si="716">IF(BL35&gt;0,$E35/$F35,0)</f>
        <v>0</v>
      </c>
      <c r="BM36" s="242">
        <f t="shared" ref="BM36" si="717">IF(BM35&gt;0,$E35/$F35,0)</f>
        <v>0</v>
      </c>
      <c r="BN36" s="242">
        <f t="shared" ref="BN36" si="718">IF(BN35&gt;0,$E35/$F35,0)</f>
        <v>0</v>
      </c>
      <c r="BO36" s="242">
        <f t="shared" ref="BO36" si="719">IF(BO35&gt;0,$E35/$F35,0)</f>
        <v>0</v>
      </c>
      <c r="BP36" s="242">
        <f t="shared" ref="BP36" si="720">IF(BP35&gt;0,$E35/$F35,0)</f>
        <v>0</v>
      </c>
      <c r="BQ36" s="242">
        <f t="shared" ref="BQ36" si="721">IF(BQ35&gt;0,$E35/$F35,0)</f>
        <v>0</v>
      </c>
      <c r="BR36" s="242">
        <f t="shared" ref="BR36" si="722">IF(BR35&gt;0,$E35/$F35,0)</f>
        <v>0</v>
      </c>
      <c r="BS36" s="242">
        <f t="shared" ref="BS36" si="723">IF(BS35&gt;0,$E35/$F35,0)</f>
        <v>0</v>
      </c>
      <c r="BT36" s="242">
        <f t="shared" ref="BT36" si="724">IF(BT35&gt;0,$E35/$F35,0)</f>
        <v>0</v>
      </c>
      <c r="BU36" s="242">
        <f t="shared" ref="BU36" si="725">IF(BU35&gt;0,$E35/$F35,0)</f>
        <v>0</v>
      </c>
      <c r="BV36" s="242">
        <f t="shared" ref="BV36" si="726">IF(BV35&gt;0,$E35/$F35,0)</f>
        <v>0</v>
      </c>
      <c r="BW36" s="125"/>
      <c r="BX36" s="242">
        <f>IF(BX35&gt;0,$E35/$F35,0)</f>
        <v>0</v>
      </c>
      <c r="BY36" s="242">
        <f t="shared" ref="BY36" si="727">IF(BY35&gt;0,$E35/$F35,0)</f>
        <v>0</v>
      </c>
      <c r="BZ36" s="242">
        <f t="shared" ref="BZ36" si="728">IF(BZ35&gt;0,$E35/$F35,0)</f>
        <v>0</v>
      </c>
      <c r="CA36" s="242">
        <f t="shared" ref="CA36" si="729">IF(CA35&gt;0,$E35/$F35,0)</f>
        <v>0</v>
      </c>
      <c r="CB36" s="242">
        <f t="shared" ref="CB36" si="730">IF(CB35&gt;0,$E35/$F35,0)</f>
        <v>0</v>
      </c>
      <c r="CC36" s="242">
        <f t="shared" ref="CC36" si="731">IF(CC35&gt;0,$E35/$F35,0)</f>
        <v>0</v>
      </c>
      <c r="CD36" s="242">
        <f t="shared" ref="CD36" si="732">IF(CD35&gt;0,$E35/$F35,0)</f>
        <v>0</v>
      </c>
      <c r="CE36" s="242">
        <f t="shared" ref="CE36" si="733">IF(CE35&gt;0,$E35/$F35,0)</f>
        <v>0</v>
      </c>
      <c r="CF36" s="242">
        <f t="shared" ref="CF36" si="734">IF(CF35&gt;0,$E35/$F35,0)</f>
        <v>0</v>
      </c>
      <c r="CG36" s="242">
        <f t="shared" ref="CG36" si="735">IF(CG35&gt;0,$E35/$F35,0)</f>
        <v>0</v>
      </c>
      <c r="CH36" s="242">
        <f t="shared" ref="CH36" si="736">IF(CH35&gt;0,$E35/$F35,0)</f>
        <v>0</v>
      </c>
      <c r="CI36" s="242">
        <f t="shared" ref="CI36" si="737">IF(CI35&gt;0,$E35/$F35,0)</f>
        <v>0</v>
      </c>
      <c r="CJ36" s="125"/>
    </row>
    <row r="37" spans="1:88" ht="82.5" customHeight="1">
      <c r="A37" s="279">
        <v>16</v>
      </c>
      <c r="B37" s="285" t="s">
        <v>222</v>
      </c>
      <c r="C37" s="283" t="s">
        <v>243</v>
      </c>
      <c r="D37" s="279">
        <v>2</v>
      </c>
      <c r="E37" s="280">
        <v>5635</v>
      </c>
      <c r="F37" s="281">
        <f>COUNTA(K37:V37,X37:AI37,AK37:AV37,AX37:BI37,BK37:BV37,BX37:CI37)</f>
        <v>24</v>
      </c>
      <c r="G37" s="136"/>
      <c r="H37" s="136"/>
      <c r="I37" s="136"/>
      <c r="J37" s="137"/>
      <c r="K37" s="136"/>
      <c r="L37" s="135"/>
      <c r="M37" s="136"/>
      <c r="N37" s="135"/>
      <c r="O37" s="136"/>
      <c r="P37" s="136"/>
      <c r="Q37" s="136"/>
      <c r="R37" s="136"/>
      <c r="S37" s="136"/>
      <c r="T37" s="136"/>
      <c r="U37" s="136"/>
      <c r="V37" s="136"/>
      <c r="W37" s="222">
        <f t="shared" ref="W37" si="738">IF(K37="РНВ",$E37,IF(L37="РНВ",$E37,IF(M37="РНВ",$E37,IF(N37="РНВ",$E37,IF(O37="РНВ",$E37,IF(P37="РНВ",$E37,IF(Q37="РНВ",$E37,IF(R37="РНВ",$E37,IF(S37="РНВ",$E37,IF(T37="РНВ",$E37,IF(U37="РНВ",$E37,IF(V37="РНВ",$E37,0))))))))))))</f>
        <v>0</v>
      </c>
      <c r="X37" s="135"/>
      <c r="Y37" s="136"/>
      <c r="Z37" s="136"/>
      <c r="AA37" s="136"/>
      <c r="AB37" s="136"/>
      <c r="AC37" s="136"/>
      <c r="AD37" s="136"/>
      <c r="AE37" s="136"/>
      <c r="AF37" s="136"/>
      <c r="AG37" s="151"/>
      <c r="AH37" s="151"/>
      <c r="AI37" s="253"/>
      <c r="AJ37" s="222">
        <f t="shared" ref="AJ37" si="739">IF(X37="РНВ",$E37,IF(Y37="РНВ",$E37,IF(Z37="РНВ",$E37,IF(AA37="РНВ",$E37,IF(AB37="РНВ",$E37,IF(AC37="РНВ",$E37,IF(AD37="РНВ",$E37,IF(AE37="РНВ",$E37,IF(AF37="РНВ",$E37,IF(AG37="РНВ",$E37,IF(AH37="РНВ",$E37,IF(AI37="РНВ",$E37,0))))))))))))</f>
        <v>0</v>
      </c>
      <c r="AK37" s="259">
        <v>1</v>
      </c>
      <c r="AL37" s="259">
        <v>1</v>
      </c>
      <c r="AM37" s="133">
        <v>1</v>
      </c>
      <c r="AN37" s="133">
        <v>1</v>
      </c>
      <c r="AO37" s="133">
        <v>1</v>
      </c>
      <c r="AP37" s="133">
        <v>1</v>
      </c>
      <c r="AQ37" s="133">
        <v>1</v>
      </c>
      <c r="AR37" s="133">
        <v>1</v>
      </c>
      <c r="AS37" s="133">
        <v>1</v>
      </c>
      <c r="AT37" s="133">
        <v>1</v>
      </c>
      <c r="AU37" s="133">
        <v>1</v>
      </c>
      <c r="AV37" s="133">
        <v>1</v>
      </c>
      <c r="AW37" s="222">
        <f t="shared" ref="AW37" si="740">IF(AK37="РНВ",$E37,IF(AL37="РНВ",$E37,IF(AM37="РНВ",$E37,IF(AN37="РНВ",$E37,IF(AO37="РНВ",$E37,IF(AP37="РНВ",$E37,IF(AQ37="РНВ",$E37,IF(AR37="РНВ",$E37,IF(AS37="РНВ",$E37,IF(AT37="РНВ",$E37,IF(AU37="РНВ",$E37,IF(AV37="РНВ",$E37,0))))))))))))</f>
        <v>0</v>
      </c>
      <c r="AX37" s="133">
        <v>1</v>
      </c>
      <c r="AY37" s="133">
        <v>1</v>
      </c>
      <c r="AZ37" s="133">
        <v>1</v>
      </c>
      <c r="BA37" s="133">
        <v>1</v>
      </c>
      <c r="BB37" s="133">
        <v>1</v>
      </c>
      <c r="BC37" s="133">
        <v>1</v>
      </c>
      <c r="BD37" s="133">
        <v>1</v>
      </c>
      <c r="BE37" s="133">
        <v>1</v>
      </c>
      <c r="BF37" s="133">
        <v>1</v>
      </c>
      <c r="BG37" s="133">
        <v>1</v>
      </c>
      <c r="BH37" s="133">
        <v>1</v>
      </c>
      <c r="BI37" s="227" t="s">
        <v>37</v>
      </c>
      <c r="BJ37" s="222">
        <f>IF(AX37="РНВ",$E37,IF(AY37="РНВ",$E37,IF(AZ37="РНВ",$E37,IF(BA37="РНВ",$E37,IF(BB37="РНВ",$E37,IF(BI37="РНВ",$E37,IF(BD37="РНВ",$E37,IF(BE37="РНВ",$E37,IF(#REF!="РНВ",$E37,IF(#REF!="РНВ",$E37,IF(BH37="РНВ",$E37,IF(#REF!="РНВ",$E37,0))))))))))))</f>
        <v>5635</v>
      </c>
      <c r="BK37" s="136"/>
      <c r="BL37" s="135"/>
      <c r="BM37" s="136"/>
      <c r="BN37" s="135"/>
      <c r="BO37" s="136"/>
      <c r="BP37" s="136"/>
      <c r="BQ37" s="136"/>
      <c r="BR37" s="136"/>
      <c r="BS37" s="136"/>
      <c r="BT37" s="136"/>
      <c r="BU37" s="136"/>
      <c r="BV37" s="136"/>
      <c r="BW37" s="222">
        <f t="shared" ref="BW37" si="741">IF(BK37="РНВ",$E37,IF(BL37="РНВ",$E37,IF(BM37="РНВ",$E37,IF(BN37="РНВ",$E37,IF(BO37="РНВ",$E37,IF(BP37="РНВ",$E37,IF(BQ37="РНВ",$E37,IF(BR37="РНВ",$E37,IF(BS37="РНВ",$E37,IF(BT37="РНВ",$E37,IF(BU37="РНВ",$E37,IF(BV37="РНВ",$E37,0))))))))))))</f>
        <v>0</v>
      </c>
      <c r="BX37" s="136"/>
      <c r="BY37" s="135"/>
      <c r="BZ37" s="136"/>
      <c r="CA37" s="135"/>
      <c r="CB37" s="136"/>
      <c r="CC37" s="136"/>
      <c r="CD37" s="136"/>
      <c r="CE37" s="136"/>
      <c r="CF37" s="136"/>
      <c r="CG37" s="136"/>
      <c r="CH37" s="136"/>
      <c r="CI37" s="136"/>
      <c r="CJ37" s="222">
        <f t="shared" ref="CJ37" si="742">IF(BX37="РНВ",$E37,IF(BY37="РНВ",$E37,IF(BZ37="РНВ",$E37,IF(CA37="РНВ",$E37,IF(CB37="РНВ",$E37,IF(CC37="РНВ",$E37,IF(CD37="РНВ",$E37,IF(CE37="РНВ",$E37,IF(CF37="РНВ",$E37,IF(CG37="РНВ",$E37,IF(CH37="РНВ",$E37,IF(CI37="РНВ",$E37,0))))))))))))</f>
        <v>0</v>
      </c>
    </row>
    <row r="38" spans="1:88" ht="19.899999999999999" customHeight="1">
      <c r="A38" s="279"/>
      <c r="B38" s="279"/>
      <c r="C38" s="283"/>
      <c r="D38" s="279"/>
      <c r="E38" s="280"/>
      <c r="F38" s="279"/>
      <c r="G38" s="132"/>
      <c r="H38" s="132"/>
      <c r="I38" s="132"/>
      <c r="J38" s="125"/>
      <c r="K38" s="132"/>
      <c r="L38" s="131"/>
      <c r="M38" s="132"/>
      <c r="N38" s="131"/>
      <c r="O38" s="132"/>
      <c r="P38" s="164"/>
      <c r="Q38" s="132"/>
      <c r="R38" s="132"/>
      <c r="S38" s="132"/>
      <c r="T38" s="132"/>
      <c r="U38" s="132"/>
      <c r="V38" s="132">
        <f>447755*E37/SUM($E$37:$E$44)</f>
        <v>59287.530253542311</v>
      </c>
      <c r="W38" s="125"/>
      <c r="X38" s="131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25"/>
      <c r="AK38" s="242">
        <f>IF(AK37&gt;0,$E37/$F37,0)</f>
        <v>234.79166666666666</v>
      </c>
      <c r="AL38" s="242">
        <f t="shared" ref="AL38" si="743">IF(AL37&gt;0,$E37/$F37,0)</f>
        <v>234.79166666666666</v>
      </c>
      <c r="AM38" s="242">
        <f t="shared" ref="AM38" si="744">IF(AM37&gt;0,$E37/$F37,0)</f>
        <v>234.79166666666666</v>
      </c>
      <c r="AN38" s="242">
        <f t="shared" ref="AN38" si="745">IF(AN37&gt;0,$E37/$F37,0)</f>
        <v>234.79166666666666</v>
      </c>
      <c r="AO38" s="242">
        <f t="shared" ref="AO38" si="746">IF(AO37&gt;0,$E37/$F37,0)</f>
        <v>234.79166666666666</v>
      </c>
      <c r="AP38" s="242">
        <f t="shared" ref="AP38" si="747">IF(AP37&gt;0,$E37/$F37,0)</f>
        <v>234.79166666666666</v>
      </c>
      <c r="AQ38" s="242">
        <f t="shared" ref="AQ38" si="748">IF(AQ37&gt;0,$E37/$F37,0)</f>
        <v>234.79166666666666</v>
      </c>
      <c r="AR38" s="242">
        <f t="shared" ref="AR38" si="749">IF(AR37&gt;0,$E37/$F37,0)</f>
        <v>234.79166666666666</v>
      </c>
      <c r="AS38" s="242">
        <f t="shared" ref="AS38" si="750">IF(AS37&gt;0,$E37/$F37,0)</f>
        <v>234.79166666666666</v>
      </c>
      <c r="AT38" s="242">
        <f t="shared" ref="AT38" si="751">IF(AT37&gt;0,$E37/$F37,0)</f>
        <v>234.79166666666666</v>
      </c>
      <c r="AU38" s="242">
        <f t="shared" ref="AU38" si="752">IF(AU37&gt;0,$E37/$F37,0)</f>
        <v>234.79166666666666</v>
      </c>
      <c r="AV38" s="242">
        <f t="shared" ref="AV38" si="753">IF(AV37&gt;0,$E37/$F37,0)</f>
        <v>234.79166666666666</v>
      </c>
      <c r="AW38" s="125"/>
      <c r="AX38" s="242">
        <f>IF(AX37&gt;0,$E37/$F37,0)</f>
        <v>234.79166666666666</v>
      </c>
      <c r="AY38" s="242">
        <f t="shared" ref="AY38" si="754">IF(AY37&gt;0,$E37/$F37,0)</f>
        <v>234.79166666666666</v>
      </c>
      <c r="AZ38" s="242">
        <f t="shared" ref="AZ38" si="755">IF(AZ37&gt;0,$E37/$F37,0)</f>
        <v>234.79166666666666</v>
      </c>
      <c r="BA38" s="242">
        <f t="shared" ref="BA38" si="756">IF(BA37&gt;0,$E37/$F37,0)</f>
        <v>234.79166666666666</v>
      </c>
      <c r="BB38" s="242">
        <f t="shared" ref="BB38" si="757">IF(BB37&gt;0,$E37/$F37,0)</f>
        <v>234.79166666666666</v>
      </c>
      <c r="BC38" s="242">
        <f>IF(BI37&gt;0,$E37/$F37,0)</f>
        <v>234.79166666666666</v>
      </c>
      <c r="BD38" s="242">
        <f t="shared" ref="BD38" si="758">IF(BD37&gt;0,$E37/$F37,0)</f>
        <v>234.79166666666666</v>
      </c>
      <c r="BE38" s="242">
        <f t="shared" ref="BE38" si="759">IF(BE37&gt;0,$E37/$F37,0)</f>
        <v>234.79166666666666</v>
      </c>
      <c r="BF38" s="242">
        <f t="shared" ref="BF38:BF40" si="760">IF(BF37&gt;0,$E37/$F37,0)</f>
        <v>234.79166666666666</v>
      </c>
      <c r="BG38" s="242">
        <f t="shared" ref="BG38:BG40" si="761">IF(BG37&gt;0,$E37/$F37,0)</f>
        <v>234.79166666666666</v>
      </c>
      <c r="BH38" s="242">
        <f t="shared" ref="BH38:BH40" si="762">IF(BH37&gt;0,$E37/$F37,0)</f>
        <v>234.79166666666666</v>
      </c>
      <c r="BI38" s="242">
        <f t="shared" ref="BI38:BI40" si="763">IF(BI37&gt;0,$E37/$F37,0)</f>
        <v>234.79166666666666</v>
      </c>
      <c r="BJ38" s="125"/>
      <c r="BK38" s="242">
        <f>IF(BK37&gt;0,$E37/$F37,0)</f>
        <v>0</v>
      </c>
      <c r="BL38" s="242">
        <f t="shared" ref="BL38" si="764">IF(BL37&gt;0,$E37/$F37,0)</f>
        <v>0</v>
      </c>
      <c r="BM38" s="242">
        <f t="shared" ref="BM38" si="765">IF(BM37&gt;0,$E37/$F37,0)</f>
        <v>0</v>
      </c>
      <c r="BN38" s="242">
        <f t="shared" ref="BN38" si="766">IF(BN37&gt;0,$E37/$F37,0)</f>
        <v>0</v>
      </c>
      <c r="BO38" s="242">
        <f t="shared" ref="BO38" si="767">IF(BO37&gt;0,$E37/$F37,0)</f>
        <v>0</v>
      </c>
      <c r="BP38" s="242">
        <f t="shared" ref="BP38" si="768">IF(BP37&gt;0,$E37/$F37,0)</f>
        <v>0</v>
      </c>
      <c r="BQ38" s="242">
        <f t="shared" ref="BQ38" si="769">IF(BQ37&gt;0,$E37/$F37,0)</f>
        <v>0</v>
      </c>
      <c r="BR38" s="242">
        <f t="shared" ref="BR38" si="770">IF(BR37&gt;0,$E37/$F37,0)</f>
        <v>0</v>
      </c>
      <c r="BS38" s="242">
        <f t="shared" ref="BS38" si="771">IF(BS37&gt;0,$E37/$F37,0)</f>
        <v>0</v>
      </c>
      <c r="BT38" s="242">
        <f t="shared" ref="BT38" si="772">IF(BT37&gt;0,$E37/$F37,0)</f>
        <v>0</v>
      </c>
      <c r="BU38" s="242">
        <f t="shared" ref="BU38" si="773">IF(BU37&gt;0,$E37/$F37,0)</f>
        <v>0</v>
      </c>
      <c r="BV38" s="242">
        <f t="shared" ref="BV38" si="774">IF(BV37&gt;0,$E37/$F37,0)</f>
        <v>0</v>
      </c>
      <c r="BW38" s="125"/>
      <c r="BX38" s="242">
        <f>IF(BX37&gt;0,$E37/$F37,0)</f>
        <v>0</v>
      </c>
      <c r="BY38" s="242">
        <f t="shared" ref="BY38" si="775">IF(BY37&gt;0,$E37/$F37,0)</f>
        <v>0</v>
      </c>
      <c r="BZ38" s="242">
        <f t="shared" ref="BZ38" si="776">IF(BZ37&gt;0,$E37/$F37,0)</f>
        <v>0</v>
      </c>
      <c r="CA38" s="242">
        <f t="shared" ref="CA38" si="777">IF(CA37&gt;0,$E37/$F37,0)</f>
        <v>0</v>
      </c>
      <c r="CB38" s="242">
        <f t="shared" ref="CB38" si="778">IF(CB37&gt;0,$E37/$F37,0)</f>
        <v>0</v>
      </c>
      <c r="CC38" s="242">
        <f t="shared" ref="CC38" si="779">IF(CC37&gt;0,$E37/$F37,0)</f>
        <v>0</v>
      </c>
      <c r="CD38" s="242">
        <f t="shared" ref="CD38" si="780">IF(CD37&gt;0,$E37/$F37,0)</f>
        <v>0</v>
      </c>
      <c r="CE38" s="242">
        <f t="shared" ref="CE38" si="781">IF(CE37&gt;0,$E37/$F37,0)</f>
        <v>0</v>
      </c>
      <c r="CF38" s="242">
        <f t="shared" ref="CF38" si="782">IF(CF37&gt;0,$E37/$F37,0)</f>
        <v>0</v>
      </c>
      <c r="CG38" s="242">
        <f t="shared" ref="CG38" si="783">IF(CG37&gt;0,$E37/$F37,0)</f>
        <v>0</v>
      </c>
      <c r="CH38" s="242">
        <f t="shared" ref="CH38" si="784">IF(CH37&gt;0,$E37/$F37,0)</f>
        <v>0</v>
      </c>
      <c r="CI38" s="242">
        <f t="shared" ref="CI38" si="785">IF(CI37&gt;0,$E37/$F37,0)</f>
        <v>0</v>
      </c>
      <c r="CJ38" s="125"/>
    </row>
    <row r="39" spans="1:88" ht="82.5" customHeight="1">
      <c r="A39" s="279">
        <v>17</v>
      </c>
      <c r="B39" s="285" t="s">
        <v>223</v>
      </c>
      <c r="C39" s="286" t="s">
        <v>242</v>
      </c>
      <c r="D39" s="279">
        <v>4</v>
      </c>
      <c r="E39" s="280">
        <v>11270</v>
      </c>
      <c r="F39" s="281">
        <f t="shared" ref="F39" si="786">COUNTA(K39:V39,X39:AI39,AK39:AV39,AX39:BI39,BK39:BV39,BX39:CI39)</f>
        <v>21</v>
      </c>
      <c r="G39" s="136"/>
      <c r="H39" s="136"/>
      <c r="I39" s="136"/>
      <c r="J39" s="137"/>
      <c r="K39" s="136"/>
      <c r="L39" s="135"/>
      <c r="M39" s="136"/>
      <c r="N39" s="135"/>
      <c r="O39" s="136"/>
      <c r="P39" s="136"/>
      <c r="Q39" s="136"/>
      <c r="R39" s="136"/>
      <c r="S39" s="136"/>
      <c r="T39" s="136"/>
      <c r="U39" s="136"/>
      <c r="V39" s="136"/>
      <c r="W39" s="222">
        <f t="shared" ref="W39" si="787">IF(K39="РНВ",$E39,IF(L39="РНВ",$E39,IF(M39="РНВ",$E39,IF(N39="РНВ",$E39,IF(O39="РНВ",$E39,IF(P39="РНВ",$E39,IF(Q39="РНВ",$E39,IF(R39="РНВ",$E39,IF(S39="РНВ",$E39,IF(T39="РНВ",$E39,IF(U39="РНВ",$E39,IF(V39="РНВ",$E39,0))))))))))))</f>
        <v>0</v>
      </c>
      <c r="X39" s="135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222">
        <f t="shared" ref="AJ39" si="788">IF(X39="РНВ",$E39,IF(Y39="РНВ",$E39,IF(Z39="РНВ",$E39,IF(AA39="РНВ",$E39,IF(AB39="РНВ",$E39,IF(AC39="РНВ",$E39,IF(AD39="РНВ",$E39,IF(AE39="РНВ",$E39,IF(AF39="РНВ",$E39,IF(AG39="РНВ",$E39,IF(AH39="РНВ",$E39,IF(AI39="РНВ",$E39,0))))))))))))</f>
        <v>0</v>
      </c>
      <c r="AK39" s="136"/>
      <c r="AL39" s="136"/>
      <c r="AM39" s="136"/>
      <c r="AN39" s="151"/>
      <c r="AO39" s="151"/>
      <c r="AP39" s="151"/>
      <c r="AQ39" s="151"/>
      <c r="AR39" s="151"/>
      <c r="AS39" s="133">
        <v>1</v>
      </c>
      <c r="AT39" s="133">
        <v>1</v>
      </c>
      <c r="AU39" s="133">
        <v>1</v>
      </c>
      <c r="AV39" s="133">
        <v>1</v>
      </c>
      <c r="AW39" s="222">
        <f t="shared" ref="AW39" si="789">IF(AK39="РНВ",$E39,IF(AL39="РНВ",$E39,IF(AM39="РНВ",$E39,IF(AN39="РНВ",$E39,IF(AO39="РНВ",$E39,IF(AP39="РНВ",$E39,IF(AQ39="РНВ",$E39,IF(AR39="РНВ",$E39,IF(AS39="РНВ",$E39,IF(AT39="РНВ",$E39,IF(AU39="РНВ",$E39,IF(AV39="РНВ",$E39,0))))))))))))</f>
        <v>0</v>
      </c>
      <c r="AX39" s="133">
        <v>1</v>
      </c>
      <c r="AY39" s="133">
        <v>1</v>
      </c>
      <c r="AZ39" s="133">
        <v>1</v>
      </c>
      <c r="BA39" s="133">
        <v>1</v>
      </c>
      <c r="BB39" s="133">
        <v>1</v>
      </c>
      <c r="BC39" s="133">
        <v>1</v>
      </c>
      <c r="BD39" s="133">
        <v>1</v>
      </c>
      <c r="BE39" s="133">
        <v>1</v>
      </c>
      <c r="BF39" s="133">
        <v>1</v>
      </c>
      <c r="BG39" s="133">
        <v>1</v>
      </c>
      <c r="BH39" s="133">
        <v>1</v>
      </c>
      <c r="BI39" s="133">
        <v>1</v>
      </c>
      <c r="BJ39" s="222">
        <f t="shared" ref="BJ39" si="790">IF(AX39="РНВ",$E39,IF(AY39="РНВ",$E39,IF(AZ39="РНВ",$E39,IF(BA39="РНВ",$E39,IF(BB39="РНВ",$E39,IF(BC39="РНВ",$E39,IF(BD39="РНВ",$E39,IF(BE39="РНВ",$E39,IF(BF39="РНВ",$E39,IF(BG39="РНВ",$E39,IF(BH39="РНВ",$E39,IF(BI39="РНВ",$E39,0))))))))))))</f>
        <v>0</v>
      </c>
      <c r="BK39" s="133">
        <v>1</v>
      </c>
      <c r="BL39" s="133">
        <v>1</v>
      </c>
      <c r="BM39" s="133">
        <v>1</v>
      </c>
      <c r="BN39" s="133">
        <v>1</v>
      </c>
      <c r="BO39" s="227" t="s">
        <v>37</v>
      </c>
      <c r="BP39" s="136"/>
      <c r="BQ39" s="136"/>
      <c r="BR39" s="136"/>
      <c r="BS39" s="136"/>
      <c r="BT39" s="136"/>
      <c r="BU39" s="136"/>
      <c r="BV39" s="136"/>
      <c r="BW39" s="222">
        <f t="shared" ref="BW39" si="791">IF(BK39="РНВ",$E39,IF(BL39="РНВ",$E39,IF(BM39="РНВ",$E39,IF(BN39="РНВ",$E39,IF(BO39="РНВ",$E39,IF(BP39="РНВ",$E39,IF(BQ39="РНВ",$E39,IF(BR39="РНВ",$E39,IF(BS39="РНВ",$E39,IF(BT39="РНВ",$E39,IF(BU39="РНВ",$E39,IF(BV39="РНВ",$E39,0))))))))))))</f>
        <v>11270</v>
      </c>
      <c r="BX39" s="136"/>
      <c r="BY39" s="135"/>
      <c r="BZ39" s="136"/>
      <c r="CA39" s="135"/>
      <c r="CB39" s="136"/>
      <c r="CC39" s="136"/>
      <c r="CD39" s="136"/>
      <c r="CE39" s="136"/>
      <c r="CF39" s="136"/>
      <c r="CG39" s="136"/>
      <c r="CH39" s="136"/>
      <c r="CI39" s="136"/>
      <c r="CJ39" s="222">
        <f t="shared" ref="CJ39" si="792">IF(BX39="РНВ",$E39,IF(BY39="РНВ",$E39,IF(BZ39="РНВ",$E39,IF(CA39="РНВ",$E39,IF(CB39="РНВ",$E39,IF(CC39="РНВ",$E39,IF(CD39="РНВ",$E39,IF(CE39="РНВ",$E39,IF(CF39="РНВ",$E39,IF(CG39="РНВ",$E39,IF(CH39="РНВ",$E39,IF(CI39="РНВ",$E39,0))))))))))))</f>
        <v>0</v>
      </c>
    </row>
    <row r="40" spans="1:88" ht="19.899999999999999" customHeight="1">
      <c r="A40" s="279"/>
      <c r="B40" s="279"/>
      <c r="C40" s="286"/>
      <c r="D40" s="279"/>
      <c r="E40" s="280"/>
      <c r="F40" s="279"/>
      <c r="G40" s="132"/>
      <c r="H40" s="132"/>
      <c r="I40" s="132"/>
      <c r="J40" s="125"/>
      <c r="K40" s="132"/>
      <c r="L40" s="131"/>
      <c r="M40" s="132"/>
      <c r="N40" s="131"/>
      <c r="O40" s="132"/>
      <c r="P40" s="164"/>
      <c r="Q40" s="132"/>
      <c r="R40" s="132"/>
      <c r="S40" s="132"/>
      <c r="T40" s="132"/>
      <c r="U40" s="132"/>
      <c r="V40" s="132">
        <f>447755*E39/SUM($E$37:$E$44)</f>
        <v>118575.06050708462</v>
      </c>
      <c r="W40" s="125"/>
      <c r="X40" s="131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25"/>
      <c r="AK40" s="242">
        <f>IF(AK39&gt;0,$E39/$F39,0)</f>
        <v>0</v>
      </c>
      <c r="AL40" s="242">
        <f t="shared" ref="AL40" si="793">IF(AL39&gt;0,$E39/$F39,0)</f>
        <v>0</v>
      </c>
      <c r="AM40" s="242">
        <f t="shared" ref="AM40" si="794">IF(AM39&gt;0,$E39/$F39,0)</f>
        <v>0</v>
      </c>
      <c r="AN40" s="242">
        <f t="shared" ref="AN40" si="795">IF(AN39&gt;0,$E39/$F39,0)</f>
        <v>0</v>
      </c>
      <c r="AO40" s="242">
        <f t="shared" ref="AO40" si="796">IF(AO39&gt;0,$E39/$F39,0)</f>
        <v>0</v>
      </c>
      <c r="AP40" s="242">
        <f t="shared" ref="AP40" si="797">IF(AP39&gt;0,$E39/$F39,0)</f>
        <v>0</v>
      </c>
      <c r="AQ40" s="242">
        <f t="shared" ref="AQ40" si="798">IF(AQ39&gt;0,$E39/$F39,0)</f>
        <v>0</v>
      </c>
      <c r="AR40" s="242">
        <f t="shared" ref="AR40" si="799">IF(AR39&gt;0,$E39/$F39,0)</f>
        <v>0</v>
      </c>
      <c r="AS40" s="242">
        <f t="shared" ref="AS40" si="800">IF(AS39&gt;0,$E39/$F39,0)</f>
        <v>536.66666666666663</v>
      </c>
      <c r="AT40" s="242">
        <f t="shared" ref="AT40" si="801">IF(AT39&gt;0,$E39/$F39,0)</f>
        <v>536.66666666666663</v>
      </c>
      <c r="AU40" s="242">
        <f t="shared" ref="AU40" si="802">IF(AU39&gt;0,$E39/$F39,0)</f>
        <v>536.66666666666663</v>
      </c>
      <c r="AV40" s="242">
        <f t="shared" ref="AV40" si="803">IF(AV39&gt;0,$E39/$F39,0)</f>
        <v>536.66666666666663</v>
      </c>
      <c r="AW40" s="125"/>
      <c r="AX40" s="242">
        <f>IF(AX39&gt;0,$E39/$F39,0)</f>
        <v>536.66666666666663</v>
      </c>
      <c r="AY40" s="242">
        <f t="shared" ref="AY40" si="804">IF(AY39&gt;0,$E39/$F39,0)</f>
        <v>536.66666666666663</v>
      </c>
      <c r="AZ40" s="242">
        <f t="shared" ref="AZ40" si="805">IF(AZ39&gt;0,$E39/$F39,0)</f>
        <v>536.66666666666663</v>
      </c>
      <c r="BA40" s="242">
        <f t="shared" ref="BA40" si="806">IF(BA39&gt;0,$E39/$F39,0)</f>
        <v>536.66666666666663</v>
      </c>
      <c r="BB40" s="242">
        <f t="shared" ref="BB40" si="807">IF(BB39&gt;0,$E39/$F39,0)</f>
        <v>536.66666666666663</v>
      </c>
      <c r="BC40" s="242">
        <f t="shared" ref="BC40" si="808">IF(BC39&gt;0,$E39/$F39,0)</f>
        <v>536.66666666666663</v>
      </c>
      <c r="BD40" s="242">
        <f t="shared" ref="BD40" si="809">IF(BD39&gt;0,$E39/$F39,0)</f>
        <v>536.66666666666663</v>
      </c>
      <c r="BE40" s="242">
        <f t="shared" ref="BE40" si="810">IF(BE39&gt;0,$E39/$F39,0)</f>
        <v>536.66666666666663</v>
      </c>
      <c r="BF40" s="242">
        <f t="shared" si="760"/>
        <v>536.66666666666663</v>
      </c>
      <c r="BG40" s="242">
        <f t="shared" si="761"/>
        <v>536.66666666666663</v>
      </c>
      <c r="BH40" s="242">
        <f t="shared" si="762"/>
        <v>536.66666666666663</v>
      </c>
      <c r="BI40" s="242">
        <f t="shared" si="763"/>
        <v>536.66666666666663</v>
      </c>
      <c r="BJ40" s="125"/>
      <c r="BK40" s="242">
        <f>IF(BK39&gt;0,$E39/$F39,0)</f>
        <v>536.66666666666663</v>
      </c>
      <c r="BL40" s="242">
        <f t="shared" ref="BL40" si="811">IF(BL39&gt;0,$E39/$F39,0)</f>
        <v>536.66666666666663</v>
      </c>
      <c r="BM40" s="242">
        <f t="shared" ref="BM40" si="812">IF(BM39&gt;0,$E39/$F39,0)</f>
        <v>536.66666666666663</v>
      </c>
      <c r="BN40" s="242">
        <f t="shared" ref="BN40" si="813">IF(BN39&gt;0,$E39/$F39,0)</f>
        <v>536.66666666666663</v>
      </c>
      <c r="BO40" s="242">
        <f t="shared" ref="BO40" si="814">IF(BO39&gt;0,$E39/$F39,0)</f>
        <v>536.66666666666663</v>
      </c>
      <c r="BP40" s="242">
        <f t="shared" ref="BP40" si="815">IF(BP39&gt;0,$E39/$F39,0)</f>
        <v>0</v>
      </c>
      <c r="BQ40" s="242">
        <f t="shared" ref="BQ40" si="816">IF(BQ39&gt;0,$E39/$F39,0)</f>
        <v>0</v>
      </c>
      <c r="BR40" s="242">
        <f t="shared" ref="BR40" si="817">IF(BR39&gt;0,$E39/$F39,0)</f>
        <v>0</v>
      </c>
      <c r="BS40" s="242">
        <f t="shared" ref="BS40" si="818">IF(BS39&gt;0,$E39/$F39,0)</f>
        <v>0</v>
      </c>
      <c r="BT40" s="242">
        <f t="shared" ref="BT40" si="819">IF(BT39&gt;0,$E39/$F39,0)</f>
        <v>0</v>
      </c>
      <c r="BU40" s="242">
        <f t="shared" ref="BU40" si="820">IF(BU39&gt;0,$E39/$F39,0)</f>
        <v>0</v>
      </c>
      <c r="BV40" s="242">
        <f t="shared" ref="BV40" si="821">IF(BV39&gt;0,$E39/$F39,0)</f>
        <v>0</v>
      </c>
      <c r="BW40" s="125"/>
      <c r="BX40" s="242">
        <f>IF(BX39&gt;0,$E39/$F39,0)</f>
        <v>0</v>
      </c>
      <c r="BY40" s="242">
        <f t="shared" ref="BY40" si="822">IF(BY39&gt;0,$E39/$F39,0)</f>
        <v>0</v>
      </c>
      <c r="BZ40" s="242">
        <f t="shared" ref="BZ40" si="823">IF(BZ39&gt;0,$E39/$F39,0)</f>
        <v>0</v>
      </c>
      <c r="CA40" s="242">
        <f t="shared" ref="CA40" si="824">IF(CA39&gt;0,$E39/$F39,0)</f>
        <v>0</v>
      </c>
      <c r="CB40" s="242">
        <f t="shared" ref="CB40" si="825">IF(CB39&gt;0,$E39/$F39,0)</f>
        <v>0</v>
      </c>
      <c r="CC40" s="242">
        <f t="shared" ref="CC40" si="826">IF(CC39&gt;0,$E39/$F39,0)</f>
        <v>0</v>
      </c>
      <c r="CD40" s="242">
        <f t="shared" ref="CD40" si="827">IF(CD39&gt;0,$E39/$F39,0)</f>
        <v>0</v>
      </c>
      <c r="CE40" s="242">
        <f t="shared" ref="CE40" si="828">IF(CE39&gt;0,$E39/$F39,0)</f>
        <v>0</v>
      </c>
      <c r="CF40" s="242">
        <f t="shared" ref="CF40" si="829">IF(CF39&gt;0,$E39/$F39,0)</f>
        <v>0</v>
      </c>
      <c r="CG40" s="242">
        <f t="shared" ref="CG40" si="830">IF(CG39&gt;0,$E39/$F39,0)</f>
        <v>0</v>
      </c>
      <c r="CH40" s="242">
        <f t="shared" ref="CH40" si="831">IF(CH39&gt;0,$E39/$F39,0)</f>
        <v>0</v>
      </c>
      <c r="CI40" s="242">
        <f t="shared" ref="CI40" si="832">IF(CI39&gt;0,$E39/$F39,0)</f>
        <v>0</v>
      </c>
      <c r="CJ40" s="125"/>
    </row>
    <row r="41" spans="1:88" ht="82.5" customHeight="1">
      <c r="A41" s="284">
        <v>18</v>
      </c>
      <c r="B41" s="285" t="s">
        <v>224</v>
      </c>
      <c r="C41" s="286" t="s">
        <v>242</v>
      </c>
      <c r="D41" s="279">
        <v>5</v>
      </c>
      <c r="E41" s="293">
        <v>14382</v>
      </c>
      <c r="F41" s="281">
        <f t="shared" ref="F41" si="833">COUNTA(K41:V41,X41:AI41,AK41:AV41,AX41:BI41,BK41:BV41,BX41:CI41)</f>
        <v>24</v>
      </c>
      <c r="G41" s="157"/>
      <c r="H41" s="157"/>
      <c r="I41" s="157"/>
      <c r="J41" s="125"/>
      <c r="K41" s="157"/>
      <c r="L41" s="158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222">
        <f t="shared" ref="W41" si="834">IF(K41="РНВ",$E41,IF(L41="РНВ",$E41,IF(M41="РНВ",$E41,IF(N41="РНВ",$E41,IF(O41="РНВ",$E41,IF(P41="РНВ",$E41,IF(Q41="РНВ",$E41,IF(R41="РНВ",$E41,IF(S41="РНВ",$E41,IF(T41="РНВ",$E41,IF(U41="РНВ",$E41,IF(V41="РНВ",$E41,0))))))))))))</f>
        <v>0</v>
      </c>
      <c r="X41" s="158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222">
        <f t="shared" ref="AJ41" si="835">IF(X41="РНВ",$E41,IF(Y41="РНВ",$E41,IF(Z41="РНВ",$E41,IF(AA41="РНВ",$E41,IF(AB41="РНВ",$E41,IF(AC41="РНВ",$E41,IF(AD41="РНВ",$E41,IF(AE41="РНВ",$E41,IF(AF41="РНВ",$E41,IF(AG41="РНВ",$E41,IF(AH41="РНВ",$E41,IF(AI41="РНВ",$E41,0))))))))))))</f>
        <v>0</v>
      </c>
      <c r="AK41" s="136"/>
      <c r="AL41" s="136"/>
      <c r="AM41" s="136"/>
      <c r="AN41" s="136"/>
      <c r="AO41" s="136"/>
      <c r="AP41" s="136"/>
      <c r="AQ41" s="136"/>
      <c r="AR41" s="136"/>
      <c r="AS41" s="136"/>
      <c r="AT41" s="151"/>
      <c r="AU41" s="151"/>
      <c r="AV41" s="151"/>
      <c r="AW41" s="222">
        <f t="shared" ref="AW41" si="836">IF(AK41="РНВ",$E41,IF(AL41="РНВ",$E41,IF(AM41="РНВ",$E41,IF(AN41="РНВ",$E41,IF(AO41="РНВ",$E41,IF(AP41="РНВ",$E41,IF(AQ41="РНВ",$E41,IF(AR41="РНВ",$E41,IF(AS41="РНВ",$E41,IF(AT41="РНВ",$E41,IF(AU41="РНВ",$E41,IF(AV41="РНВ",$E41,0))))))))))))</f>
        <v>0</v>
      </c>
      <c r="AX41" s="151"/>
      <c r="AY41" s="151"/>
      <c r="AZ41" s="151"/>
      <c r="BA41" s="133">
        <v>1</v>
      </c>
      <c r="BB41" s="133">
        <v>1</v>
      </c>
      <c r="BC41" s="133">
        <v>1</v>
      </c>
      <c r="BD41" s="133">
        <v>1</v>
      </c>
      <c r="BE41" s="133">
        <v>1</v>
      </c>
      <c r="BF41" s="133">
        <v>1</v>
      </c>
      <c r="BG41" s="133">
        <v>1</v>
      </c>
      <c r="BH41" s="133">
        <v>1</v>
      </c>
      <c r="BI41" s="133">
        <v>1</v>
      </c>
      <c r="BJ41" s="222">
        <f t="shared" ref="BJ41" si="837">IF(AX41="РНВ",$E41,IF(AY41="РНВ",$E41,IF(AZ41="РНВ",$E41,IF(BA41="РНВ",$E41,IF(BB41="РНВ",$E41,IF(BC41="РНВ",$E41,IF(BD41="РНВ",$E41,IF(BE41="РНВ",$E41,IF(BF41="РНВ",$E41,IF(BG41="РНВ",$E41,IF(BH41="РНВ",$E41,IF(BI41="РНВ",$E41,0))))))))))))</f>
        <v>0</v>
      </c>
      <c r="BK41" s="133">
        <v>1</v>
      </c>
      <c r="BL41" s="133">
        <v>1</v>
      </c>
      <c r="BM41" s="133">
        <v>1</v>
      </c>
      <c r="BN41" s="133">
        <v>1</v>
      </c>
      <c r="BO41" s="133">
        <v>1</v>
      </c>
      <c r="BP41" s="133">
        <v>1</v>
      </c>
      <c r="BQ41" s="133">
        <v>1</v>
      </c>
      <c r="BR41" s="133">
        <v>1</v>
      </c>
      <c r="BS41" s="133">
        <v>1</v>
      </c>
      <c r="BT41" s="133">
        <v>1</v>
      </c>
      <c r="BU41" s="133">
        <v>1</v>
      </c>
      <c r="BV41" s="133">
        <v>1</v>
      </c>
      <c r="BW41" s="222">
        <f t="shared" ref="BW41" si="838">IF(BK41="РНВ",$E41,IF(BL41="РНВ",$E41,IF(BM41="РНВ",$E41,IF(BN41="РНВ",$E41,IF(BO41="РНВ",$E41,IF(BP41="РНВ",$E41,IF(BQ41="РНВ",$E41,IF(BR41="РНВ",$E41,IF(BS41="РНВ",$E41,IF(BT41="РНВ",$E41,IF(BU41="РНВ",$E41,IF(BV41="РНВ",$E41,0))))))))))))</f>
        <v>0</v>
      </c>
      <c r="BX41" s="133">
        <v>1</v>
      </c>
      <c r="BY41" s="133">
        <v>1</v>
      </c>
      <c r="BZ41" s="223" t="s">
        <v>37</v>
      </c>
      <c r="CA41" s="135"/>
      <c r="CB41" s="136"/>
      <c r="CC41" s="136"/>
      <c r="CD41" s="136"/>
      <c r="CE41" s="136"/>
      <c r="CF41" s="136"/>
      <c r="CG41" s="136"/>
      <c r="CH41" s="136"/>
      <c r="CI41" s="136"/>
      <c r="CJ41" s="222">
        <f t="shared" ref="CJ41" si="839">IF(BX41="РНВ",$E41,IF(BY41="РНВ",$E41,IF(BZ41="РНВ",$E41,IF(CA41="РНВ",$E41,IF(CB41="РНВ",$E41,IF(CC41="РНВ",$E41,IF(CD41="РНВ",$E41,IF(CE41="РНВ",$E41,IF(CF41="РНВ",$E41,IF(CG41="РНВ",$E41,IF(CH41="РНВ",$E41,IF(CI41="РНВ",$E41,0))))))))))))</f>
        <v>14382</v>
      </c>
    </row>
    <row r="42" spans="1:88" ht="19.899999999999999" customHeight="1">
      <c r="A42" s="279"/>
      <c r="B42" s="279"/>
      <c r="C42" s="286"/>
      <c r="D42" s="279"/>
      <c r="E42" s="290"/>
      <c r="F42" s="279"/>
      <c r="G42" s="132"/>
      <c r="H42" s="132"/>
      <c r="I42" s="132"/>
      <c r="J42" s="125"/>
      <c r="K42" s="132"/>
      <c r="L42" s="131"/>
      <c r="M42" s="132"/>
      <c r="N42" s="131"/>
      <c r="O42" s="132"/>
      <c r="P42" s="164"/>
      <c r="Q42" s="132"/>
      <c r="R42" s="132"/>
      <c r="S42" s="132"/>
      <c r="T42" s="132"/>
      <c r="U42" s="132"/>
      <c r="V42" s="132">
        <f>447755*E41/SUM($E$37:$E$44)</f>
        <v>151317.34873228846</v>
      </c>
      <c r="W42" s="125"/>
      <c r="X42" s="131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25"/>
      <c r="AK42" s="242">
        <f>IF(AK41&gt;0,$E41/$F41,0)</f>
        <v>0</v>
      </c>
      <c r="AL42" s="242">
        <f t="shared" ref="AL42" si="840">IF(AL41&gt;0,$E41/$F41,0)</f>
        <v>0</v>
      </c>
      <c r="AM42" s="242">
        <f t="shared" ref="AM42" si="841">IF(AM41&gt;0,$E41/$F41,0)</f>
        <v>0</v>
      </c>
      <c r="AN42" s="242">
        <f t="shared" ref="AN42" si="842">IF(AN41&gt;0,$E41/$F41,0)</f>
        <v>0</v>
      </c>
      <c r="AO42" s="242">
        <f t="shared" ref="AO42" si="843">IF(AO41&gt;0,$E41/$F41,0)</f>
        <v>0</v>
      </c>
      <c r="AP42" s="242">
        <f t="shared" ref="AP42" si="844">IF(AP41&gt;0,$E41/$F41,0)</f>
        <v>0</v>
      </c>
      <c r="AQ42" s="242">
        <f t="shared" ref="AQ42" si="845">IF(AQ41&gt;0,$E41/$F41,0)</f>
        <v>0</v>
      </c>
      <c r="AR42" s="242">
        <f t="shared" ref="AR42" si="846">IF(AR41&gt;0,$E41/$F41,0)</f>
        <v>0</v>
      </c>
      <c r="AS42" s="242">
        <f t="shared" ref="AS42" si="847">IF(AS41&gt;0,$E41/$F41,0)</f>
        <v>0</v>
      </c>
      <c r="AT42" s="242">
        <f t="shared" ref="AT42" si="848">IF(AT41&gt;0,$E41/$F41,0)</f>
        <v>0</v>
      </c>
      <c r="AU42" s="242">
        <f t="shared" ref="AU42" si="849">IF(AU41&gt;0,$E41/$F41,0)</f>
        <v>0</v>
      </c>
      <c r="AV42" s="242">
        <f t="shared" ref="AV42" si="850">IF(AV41&gt;0,$E41/$F41,0)</f>
        <v>0</v>
      </c>
      <c r="AW42" s="125"/>
      <c r="AX42" s="242">
        <f>IF(AX41&gt;0,$E41/$F41,0)</f>
        <v>0</v>
      </c>
      <c r="AY42" s="242">
        <f t="shared" ref="AY42" si="851">IF(AY41&gt;0,$E41/$F41,0)</f>
        <v>0</v>
      </c>
      <c r="AZ42" s="242">
        <f t="shared" ref="AZ42" si="852">IF(AZ41&gt;0,$E41/$F41,0)</f>
        <v>0</v>
      </c>
      <c r="BA42" s="242">
        <f t="shared" ref="BA42" si="853">IF(BA41&gt;0,$E41/$F41,0)</f>
        <v>599.25</v>
      </c>
      <c r="BB42" s="242">
        <f t="shared" ref="BB42" si="854">IF(BB41&gt;0,$E41/$F41,0)</f>
        <v>599.25</v>
      </c>
      <c r="BC42" s="242">
        <f t="shared" ref="BC42" si="855">IF(BC41&gt;0,$E41/$F41,0)</f>
        <v>599.25</v>
      </c>
      <c r="BD42" s="242">
        <f t="shared" ref="BD42" si="856">IF(BD41&gt;0,$E41/$F41,0)</f>
        <v>599.25</v>
      </c>
      <c r="BE42" s="242">
        <f t="shared" ref="BE42" si="857">IF(BE41&gt;0,$E41/$F41,0)</f>
        <v>599.25</v>
      </c>
      <c r="BF42" s="242">
        <f t="shared" ref="BF42" si="858">IF(BF41&gt;0,$E41/$F41,0)</f>
        <v>599.25</v>
      </c>
      <c r="BG42" s="242">
        <f t="shared" ref="BG42" si="859">IF(BG41&gt;0,$E41/$F41,0)</f>
        <v>599.25</v>
      </c>
      <c r="BH42" s="242">
        <f t="shared" ref="BH42" si="860">IF(BH41&gt;0,$E41/$F41,0)</f>
        <v>599.25</v>
      </c>
      <c r="BI42" s="242">
        <f t="shared" ref="BI42" si="861">IF(BI41&gt;0,$E41/$F41,0)</f>
        <v>599.25</v>
      </c>
      <c r="BJ42" s="125"/>
      <c r="BK42" s="242">
        <f>IF(BK41&gt;0,$E41/$F41,0)</f>
        <v>599.25</v>
      </c>
      <c r="BL42" s="242">
        <f t="shared" ref="BL42" si="862">IF(BL41&gt;0,$E41/$F41,0)</f>
        <v>599.25</v>
      </c>
      <c r="BM42" s="242">
        <f t="shared" ref="BM42" si="863">IF(BM41&gt;0,$E41/$F41,0)</f>
        <v>599.25</v>
      </c>
      <c r="BN42" s="242">
        <f t="shared" ref="BN42" si="864">IF(BN41&gt;0,$E41/$F41,0)</f>
        <v>599.25</v>
      </c>
      <c r="BO42" s="242">
        <f t="shared" ref="BO42" si="865">IF(BO41&gt;0,$E41/$F41,0)</f>
        <v>599.25</v>
      </c>
      <c r="BP42" s="242">
        <f t="shared" ref="BP42" si="866">IF(BP41&gt;0,$E41/$F41,0)</f>
        <v>599.25</v>
      </c>
      <c r="BQ42" s="242">
        <f t="shared" ref="BQ42" si="867">IF(BQ41&gt;0,$E41/$F41,0)</f>
        <v>599.25</v>
      </c>
      <c r="BR42" s="242">
        <f t="shared" ref="BR42" si="868">IF(BR41&gt;0,$E41/$F41,0)</f>
        <v>599.25</v>
      </c>
      <c r="BS42" s="242">
        <f t="shared" ref="BS42" si="869">IF(BS41&gt;0,$E41/$F41,0)</f>
        <v>599.25</v>
      </c>
      <c r="BT42" s="242">
        <f t="shared" ref="BT42" si="870">IF(BT41&gt;0,$E41/$F41,0)</f>
        <v>599.25</v>
      </c>
      <c r="BU42" s="242">
        <f t="shared" ref="BU42" si="871">IF(BU41&gt;0,$E41/$F41,0)</f>
        <v>599.25</v>
      </c>
      <c r="BV42" s="242">
        <f t="shared" ref="BV42" si="872">IF(BV41&gt;0,$E41/$F41,0)</f>
        <v>599.25</v>
      </c>
      <c r="BW42" s="125"/>
      <c r="BX42" s="242">
        <f>IF(BX41&gt;0,$E41/$F41,0)</f>
        <v>599.25</v>
      </c>
      <c r="BY42" s="242">
        <f t="shared" ref="BY42" si="873">IF(BY41&gt;0,$E41/$F41,0)</f>
        <v>599.25</v>
      </c>
      <c r="BZ42" s="242">
        <f t="shared" ref="BZ42" si="874">IF(BZ41&gt;0,$E41/$F41,0)</f>
        <v>599.25</v>
      </c>
      <c r="CA42" s="242">
        <f t="shared" ref="CA42" si="875">IF(CA41&gt;0,$E41/$F41,0)</f>
        <v>0</v>
      </c>
      <c r="CB42" s="242">
        <f t="shared" ref="CB42" si="876">IF(CB41&gt;0,$E41/$F41,0)</f>
        <v>0</v>
      </c>
      <c r="CC42" s="242">
        <f t="shared" ref="CC42" si="877">IF(CC41&gt;0,$E41/$F41,0)</f>
        <v>0</v>
      </c>
      <c r="CD42" s="242">
        <f t="shared" ref="CD42" si="878">IF(CD41&gt;0,$E41/$F41,0)</f>
        <v>0</v>
      </c>
      <c r="CE42" s="242">
        <f t="shared" ref="CE42" si="879">IF(CE41&gt;0,$E41/$F41,0)</f>
        <v>0</v>
      </c>
      <c r="CF42" s="242">
        <f t="shared" ref="CF42" si="880">IF(CF41&gt;0,$E41/$F41,0)</f>
        <v>0</v>
      </c>
      <c r="CG42" s="242">
        <f t="shared" ref="CG42" si="881">IF(CG41&gt;0,$E41/$F41,0)</f>
        <v>0</v>
      </c>
      <c r="CH42" s="242">
        <f t="shared" ref="CH42" si="882">IF(CH41&gt;0,$E41/$F41,0)</f>
        <v>0</v>
      </c>
      <c r="CI42" s="242">
        <f t="shared" ref="CI42" si="883">IF(CI41&gt;0,$E41/$F41,0)</f>
        <v>0</v>
      </c>
      <c r="CJ42" s="125"/>
    </row>
    <row r="43" spans="1:88" ht="82.5" customHeight="1">
      <c r="A43" s="279">
        <v>19</v>
      </c>
      <c r="B43" s="285" t="s">
        <v>225</v>
      </c>
      <c r="C43" s="286" t="s">
        <v>242</v>
      </c>
      <c r="D43" s="279">
        <v>4</v>
      </c>
      <c r="E43" s="280">
        <v>11270</v>
      </c>
      <c r="F43" s="281">
        <f t="shared" ref="F43" si="884">COUNTA(K43:V43,X43:AI43,AK43:AV43,AX43:BI43,BK43:BV43,BX43:CI43)</f>
        <v>21</v>
      </c>
      <c r="G43" s="135"/>
      <c r="H43" s="136"/>
      <c r="I43" s="136"/>
      <c r="J43" s="137"/>
      <c r="K43" s="136"/>
      <c r="L43" s="136"/>
      <c r="M43" s="136"/>
      <c r="N43" s="136"/>
      <c r="O43" s="136"/>
      <c r="P43" s="135"/>
      <c r="Q43" s="136"/>
      <c r="R43" s="136"/>
      <c r="S43" s="165"/>
      <c r="T43" s="136"/>
      <c r="U43" s="136"/>
      <c r="V43" s="136"/>
      <c r="W43" s="222">
        <f t="shared" ref="W43" si="885">IF(K43="РНВ",$E43,IF(L43="РНВ",$E43,IF(M43="РНВ",$E43,IF(N43="РНВ",$E43,IF(O43="РНВ",$E43,IF(P43="РНВ",$E43,IF(Q43="РНВ",$E43,IF(R43="РНВ",$E43,IF(S43="РНВ",$E43,IF(T43="РНВ",$E43,IF(U43="РНВ",$E43,IF(V43="РНВ",$E43,0))))))))))))</f>
        <v>0</v>
      </c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222">
        <f t="shared" ref="AJ43" si="886">IF(X43="РНВ",$E43,IF(Y43="РНВ",$E43,IF(Z43="РНВ",$E43,IF(AA43="РНВ",$E43,IF(AB43="РНВ",$E43,IF(AC43="РНВ",$E43,IF(AD43="РНВ",$E43,IF(AE43="РНВ",$E43,IF(AF43="РНВ",$E43,IF(AG43="РНВ",$E43,IF(AH43="РНВ",$E43,IF(AI43="РНВ",$E43,0))))))))))))</f>
        <v>0</v>
      </c>
      <c r="AK43" s="158"/>
      <c r="AL43" s="158"/>
      <c r="AM43" s="158"/>
      <c r="AN43" s="158"/>
      <c r="AO43" s="158"/>
      <c r="AP43" s="158"/>
      <c r="AQ43" s="158"/>
      <c r="AR43" s="136"/>
      <c r="AS43" s="136"/>
      <c r="AT43" s="136"/>
      <c r="AU43" s="136"/>
      <c r="AV43" s="136"/>
      <c r="AW43" s="222">
        <f t="shared" ref="AW43" si="887">IF(AK43="РНВ",$E43,IF(AL43="РНВ",$E43,IF(AM43="РНВ",$E43,IF(AN43="РНВ",$E43,IF(AO43="РНВ",$E43,IF(AP43="РНВ",$E43,IF(AQ43="РНВ",$E43,IF(AR43="РНВ",$E43,IF(AS43="РНВ",$E43,IF(AT43="РНВ",$E43,IF(AU43="РНВ",$E43,IF(AV43="РНВ",$E43,0))))))))))))</f>
        <v>0</v>
      </c>
      <c r="AX43" s="136"/>
      <c r="AY43" s="136"/>
      <c r="AZ43" s="136"/>
      <c r="BA43" s="151"/>
      <c r="BB43" s="151"/>
      <c r="BC43" s="151"/>
      <c r="BD43" s="151"/>
      <c r="BE43" s="151"/>
      <c r="BF43" s="133">
        <v>1</v>
      </c>
      <c r="BG43" s="133">
        <v>1</v>
      </c>
      <c r="BH43" s="133">
        <v>1</v>
      </c>
      <c r="BI43" s="133">
        <v>1</v>
      </c>
      <c r="BJ43" s="222">
        <f t="shared" ref="BJ43" si="888">IF(AX43="РНВ",$E43,IF(AY43="РНВ",$E43,IF(AZ43="РНВ",$E43,IF(BA43="РНВ",$E43,IF(BB43="РНВ",$E43,IF(BC43="РНВ",$E43,IF(BD43="РНВ",$E43,IF(BE43="РНВ",$E43,IF(BF43="РНВ",$E43,IF(BG43="РНВ",$E43,IF(BH43="РНВ",$E43,IF(BI43="РНВ",$E43,0))))))))))))</f>
        <v>0</v>
      </c>
      <c r="BK43" s="133">
        <v>1</v>
      </c>
      <c r="BL43" s="133">
        <v>1</v>
      </c>
      <c r="BM43" s="133">
        <v>1</v>
      </c>
      <c r="BN43" s="133">
        <v>1</v>
      </c>
      <c r="BO43" s="133">
        <v>1</v>
      </c>
      <c r="BP43" s="133">
        <v>1</v>
      </c>
      <c r="BQ43" s="133">
        <v>1</v>
      </c>
      <c r="BR43" s="133">
        <v>1</v>
      </c>
      <c r="BS43" s="133">
        <v>1</v>
      </c>
      <c r="BT43" s="133">
        <v>1</v>
      </c>
      <c r="BU43" s="133">
        <v>1</v>
      </c>
      <c r="BV43" s="133">
        <v>1</v>
      </c>
      <c r="BW43" s="222">
        <f t="shared" ref="BW43" si="889">IF(BK43="РНВ",$E43,IF(BL43="РНВ",$E43,IF(BM43="РНВ",$E43,IF(BN43="РНВ",$E43,IF(BO43="РНВ",$E43,IF(BP43="РНВ",$E43,IF(BQ43="РНВ",$E43,IF(BR43="РНВ",$E43,IF(BS43="РНВ",$E43,IF(BT43="РНВ",$E43,IF(BU43="РНВ",$E43,IF(BV43="РНВ",$E43,0))))))))))))</f>
        <v>0</v>
      </c>
      <c r="BX43" s="133">
        <v>1</v>
      </c>
      <c r="BY43" s="133">
        <v>1</v>
      </c>
      <c r="BZ43" s="133">
        <v>1</v>
      </c>
      <c r="CA43" s="133">
        <v>1</v>
      </c>
      <c r="CB43" s="223" t="s">
        <v>37</v>
      </c>
      <c r="CC43" s="136"/>
      <c r="CD43" s="136"/>
      <c r="CE43" s="136"/>
      <c r="CF43" s="136"/>
      <c r="CG43" s="136"/>
      <c r="CH43" s="136"/>
      <c r="CI43" s="136"/>
      <c r="CJ43" s="222">
        <f t="shared" ref="CJ43" si="890">IF(BX43="РНВ",$E43,IF(BY43="РНВ",$E43,IF(BZ43="РНВ",$E43,IF(CA43="РНВ",$E43,IF(CB43="РНВ",$E43,IF(CC43="РНВ",$E43,IF(CD43="РНВ",$E43,IF(CE43="РНВ",$E43,IF(CF43="РНВ",$E43,IF(CG43="РНВ",$E43,IF(CH43="РНВ",$E43,IF(CI43="РНВ",$E43,0))))))))))))</f>
        <v>11270</v>
      </c>
    </row>
    <row r="44" spans="1:88" ht="21" customHeight="1">
      <c r="A44" s="279"/>
      <c r="B44" s="279"/>
      <c r="C44" s="286"/>
      <c r="D44" s="279"/>
      <c r="E44" s="280"/>
      <c r="F44" s="279"/>
      <c r="G44" s="131"/>
      <c r="H44" s="132"/>
      <c r="I44" s="132"/>
      <c r="J44" s="125"/>
      <c r="K44" s="132"/>
      <c r="L44" s="132"/>
      <c r="M44" s="132"/>
      <c r="N44" s="132"/>
      <c r="O44" s="132"/>
      <c r="P44" s="131"/>
      <c r="Q44" s="132"/>
      <c r="R44" s="132"/>
      <c r="S44" s="132"/>
      <c r="T44" s="132"/>
      <c r="U44" s="132"/>
      <c r="V44" s="132">
        <f>447755*E43/SUM($E$37:$E$44)</f>
        <v>118575.06050708462</v>
      </c>
      <c r="W44" s="125"/>
      <c r="X44" s="131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25"/>
      <c r="AK44" s="242">
        <f>IF(AK43&gt;0,$E43/$F43,0)</f>
        <v>0</v>
      </c>
      <c r="AL44" s="242">
        <f t="shared" ref="AL44" si="891">IF(AL43&gt;0,$E43/$F43,0)</f>
        <v>0</v>
      </c>
      <c r="AM44" s="242">
        <f t="shared" ref="AM44" si="892">IF(AM43&gt;0,$E43/$F43,0)</f>
        <v>0</v>
      </c>
      <c r="AN44" s="242">
        <f t="shared" ref="AN44" si="893">IF(AN43&gt;0,$E43/$F43,0)</f>
        <v>0</v>
      </c>
      <c r="AO44" s="242">
        <f t="shared" ref="AO44" si="894">IF(AO43&gt;0,$E43/$F43,0)</f>
        <v>0</v>
      </c>
      <c r="AP44" s="242">
        <f t="shared" ref="AP44" si="895">IF(AP43&gt;0,$E43/$F43,0)</f>
        <v>0</v>
      </c>
      <c r="AQ44" s="242">
        <f t="shared" ref="AQ44" si="896">IF(AQ43&gt;0,$E43/$F43,0)</f>
        <v>0</v>
      </c>
      <c r="AR44" s="242">
        <f t="shared" ref="AR44" si="897">IF(AR43&gt;0,$E43/$F43,0)</f>
        <v>0</v>
      </c>
      <c r="AS44" s="242">
        <f t="shared" ref="AS44" si="898">IF(AS43&gt;0,$E43/$F43,0)</f>
        <v>0</v>
      </c>
      <c r="AT44" s="242">
        <f t="shared" ref="AT44" si="899">IF(AT43&gt;0,$E43/$F43,0)</f>
        <v>0</v>
      </c>
      <c r="AU44" s="242">
        <f t="shared" ref="AU44" si="900">IF(AU43&gt;0,$E43/$F43,0)</f>
        <v>0</v>
      </c>
      <c r="AV44" s="242">
        <f t="shared" ref="AV44" si="901">IF(AV43&gt;0,$E43/$F43,0)</f>
        <v>0</v>
      </c>
      <c r="AW44" s="125"/>
      <c r="AX44" s="242">
        <f>IF(AX43&gt;0,$E43/$F43,0)</f>
        <v>0</v>
      </c>
      <c r="AY44" s="242">
        <f t="shared" ref="AY44" si="902">IF(AY43&gt;0,$E43/$F43,0)</f>
        <v>0</v>
      </c>
      <c r="AZ44" s="242">
        <f t="shared" ref="AZ44" si="903">IF(AZ43&gt;0,$E43/$F43,0)</f>
        <v>0</v>
      </c>
      <c r="BA44" s="242">
        <f t="shared" ref="BA44" si="904">IF(BA43&gt;0,$E43/$F43,0)</f>
        <v>0</v>
      </c>
      <c r="BB44" s="242">
        <f t="shared" ref="BB44" si="905">IF(BB43&gt;0,$E43/$F43,0)</f>
        <v>0</v>
      </c>
      <c r="BC44" s="242">
        <f t="shared" ref="BC44" si="906">IF(BC43&gt;0,$E43/$F43,0)</f>
        <v>0</v>
      </c>
      <c r="BD44" s="242">
        <f t="shared" ref="BD44" si="907">IF(BD43&gt;0,$E43/$F43,0)</f>
        <v>0</v>
      </c>
      <c r="BE44" s="242">
        <f t="shared" ref="BE44" si="908">IF(BE43&gt;0,$E43/$F43,0)</f>
        <v>0</v>
      </c>
      <c r="BF44" s="242">
        <f t="shared" ref="BF44" si="909">IF(BF43&gt;0,$E43/$F43,0)</f>
        <v>536.66666666666663</v>
      </c>
      <c r="BG44" s="242">
        <f t="shared" ref="BG44" si="910">IF(BG43&gt;0,$E43/$F43,0)</f>
        <v>536.66666666666663</v>
      </c>
      <c r="BH44" s="242">
        <f t="shared" ref="BH44" si="911">IF(BH43&gt;0,$E43/$F43,0)</f>
        <v>536.66666666666663</v>
      </c>
      <c r="BI44" s="242">
        <f t="shared" ref="BI44" si="912">IF(BI43&gt;0,$E43/$F43,0)</f>
        <v>536.66666666666663</v>
      </c>
      <c r="BJ44" s="125"/>
      <c r="BK44" s="242">
        <f>IF(BK43&gt;0,$E43/$F43,0)</f>
        <v>536.66666666666663</v>
      </c>
      <c r="BL44" s="242">
        <f t="shared" ref="BL44" si="913">IF(BL43&gt;0,$E43/$F43,0)</f>
        <v>536.66666666666663</v>
      </c>
      <c r="BM44" s="242">
        <f t="shared" ref="BM44" si="914">IF(BM43&gt;0,$E43/$F43,0)</f>
        <v>536.66666666666663</v>
      </c>
      <c r="BN44" s="242">
        <f t="shared" ref="BN44" si="915">IF(BN43&gt;0,$E43/$F43,0)</f>
        <v>536.66666666666663</v>
      </c>
      <c r="BO44" s="242">
        <f t="shared" ref="BO44" si="916">IF(BO43&gt;0,$E43/$F43,0)</f>
        <v>536.66666666666663</v>
      </c>
      <c r="BP44" s="242">
        <f t="shared" ref="BP44" si="917">IF(BP43&gt;0,$E43/$F43,0)</f>
        <v>536.66666666666663</v>
      </c>
      <c r="BQ44" s="242">
        <f t="shared" ref="BQ44" si="918">IF(BQ43&gt;0,$E43/$F43,0)</f>
        <v>536.66666666666663</v>
      </c>
      <c r="BR44" s="242">
        <f t="shared" ref="BR44" si="919">IF(BR43&gt;0,$E43/$F43,0)</f>
        <v>536.66666666666663</v>
      </c>
      <c r="BS44" s="242">
        <f t="shared" ref="BS44" si="920">IF(BS43&gt;0,$E43/$F43,0)</f>
        <v>536.66666666666663</v>
      </c>
      <c r="BT44" s="242">
        <f t="shared" ref="BT44" si="921">IF(BT43&gt;0,$E43/$F43,0)</f>
        <v>536.66666666666663</v>
      </c>
      <c r="BU44" s="242">
        <f t="shared" ref="BU44" si="922">IF(BU43&gt;0,$E43/$F43,0)</f>
        <v>536.66666666666663</v>
      </c>
      <c r="BV44" s="242">
        <f t="shared" ref="BV44" si="923">IF(BV43&gt;0,$E43/$F43,0)</f>
        <v>536.66666666666663</v>
      </c>
      <c r="BW44" s="125"/>
      <c r="BX44" s="242">
        <f>IF(BX43&gt;0,$E43/$F43,0)</f>
        <v>536.66666666666663</v>
      </c>
      <c r="BY44" s="242">
        <f t="shared" ref="BY44" si="924">IF(BY43&gt;0,$E43/$F43,0)</f>
        <v>536.66666666666663</v>
      </c>
      <c r="BZ44" s="242">
        <f t="shared" ref="BZ44" si="925">IF(BZ43&gt;0,$E43/$F43,0)</f>
        <v>536.66666666666663</v>
      </c>
      <c r="CA44" s="242">
        <f t="shared" ref="CA44" si="926">IF(CA43&gt;0,$E43/$F43,0)</f>
        <v>536.66666666666663</v>
      </c>
      <c r="CB44" s="242">
        <f t="shared" ref="CB44" si="927">IF(CB43&gt;0,$E43/$F43,0)</f>
        <v>536.66666666666663</v>
      </c>
      <c r="CC44" s="242">
        <f t="shared" ref="CC44" si="928">IF(CC43&gt;0,$E43/$F43,0)</f>
        <v>0</v>
      </c>
      <c r="CD44" s="242">
        <f t="shared" ref="CD44" si="929">IF(CD43&gt;0,$E43/$F43,0)</f>
        <v>0</v>
      </c>
      <c r="CE44" s="242">
        <f t="shared" ref="CE44" si="930">IF(CE43&gt;0,$E43/$F43,0)</f>
        <v>0</v>
      </c>
      <c r="CF44" s="242">
        <f t="shared" ref="CF44" si="931">IF(CF43&gt;0,$E43/$F43,0)</f>
        <v>0</v>
      </c>
      <c r="CG44" s="242">
        <f t="shared" ref="CG44" si="932">IF(CG43&gt;0,$E43/$F43,0)</f>
        <v>0</v>
      </c>
      <c r="CH44" s="242">
        <f t="shared" ref="CH44" si="933">IF(CH43&gt;0,$E43/$F43,0)</f>
        <v>0</v>
      </c>
      <c r="CI44" s="242">
        <f t="shared" ref="CI44" si="934">IF(CI43&gt;0,$E43/$F43,0)</f>
        <v>0</v>
      </c>
      <c r="CJ44" s="125"/>
    </row>
    <row r="45" spans="1:88" ht="82.5" customHeight="1">
      <c r="A45" s="279">
        <v>20</v>
      </c>
      <c r="B45" s="285" t="s">
        <v>235</v>
      </c>
      <c r="C45" s="278" t="s">
        <v>176</v>
      </c>
      <c r="D45" s="279">
        <v>5</v>
      </c>
      <c r="E45" s="280">
        <v>16789.14</v>
      </c>
      <c r="F45" s="281">
        <f t="shared" ref="F45" si="935">COUNTA(K45:V45,X45:AI45,AK45:AV45,AX45:BI45,BK45:BV45,BX45:CI45)</f>
        <v>26</v>
      </c>
      <c r="G45" s="135"/>
      <c r="H45" s="136"/>
      <c r="I45" s="136"/>
      <c r="J45" s="137"/>
      <c r="K45" s="136"/>
      <c r="L45" s="136"/>
      <c r="M45" s="136"/>
      <c r="N45" s="136"/>
      <c r="O45" s="136"/>
      <c r="P45" s="135"/>
      <c r="Q45" s="136"/>
      <c r="R45" s="136"/>
      <c r="S45" s="166"/>
      <c r="T45" s="136"/>
      <c r="U45" s="136"/>
      <c r="V45" s="136"/>
      <c r="W45" s="222">
        <f t="shared" ref="W45" si="936">IF(K45="РНВ",$E45,IF(L45="РНВ",$E45,IF(M45="РНВ",$E45,IF(N45="РНВ",$E45,IF(O45="РНВ",$E45,IF(P45="РНВ",$E45,IF(Q45="РНВ",$E45,IF(R45="РНВ",$E45,IF(S45="РНВ",$E45,IF(T45="РНВ",$E45,IF(U45="РНВ",$E45,IF(V45="РНВ",$E45,0))))))))))))</f>
        <v>0</v>
      </c>
      <c r="X45" s="135"/>
      <c r="Y45" s="136"/>
      <c r="Z45" s="136"/>
      <c r="AA45" s="136"/>
      <c r="AB45" s="136"/>
      <c r="AC45" s="136"/>
      <c r="AD45" s="136"/>
      <c r="AE45" s="136"/>
      <c r="AF45" s="136"/>
      <c r="AG45" s="133">
        <v>1</v>
      </c>
      <c r="AH45" s="133">
        <v>1</v>
      </c>
      <c r="AI45" s="133">
        <v>1</v>
      </c>
      <c r="AJ45" s="222">
        <f t="shared" ref="AJ45" si="937">IF(X45="РНВ",$E45,IF(Y45="РНВ",$E45,IF(Z45="РНВ",$E45,IF(AA45="РНВ",$E45,IF(AB45="РНВ",$E45,IF(AC45="РНВ",$E45,IF(AD45="РНВ",$E45,IF(AE45="РНВ",$E45,IF(AF45="РНВ",$E45,IF(AG45="РНВ",$E45,IF(AH45="РНВ",$E45,IF(AI45="РНВ",$E45,0))))))))))))</f>
        <v>0</v>
      </c>
      <c r="AK45" s="133">
        <v>1</v>
      </c>
      <c r="AL45" s="133">
        <v>1</v>
      </c>
      <c r="AM45" s="133">
        <v>1</v>
      </c>
      <c r="AN45" s="133">
        <v>1</v>
      </c>
      <c r="AO45" s="133">
        <v>1</v>
      </c>
      <c r="AP45" s="133">
        <v>1</v>
      </c>
      <c r="AQ45" s="133">
        <v>1</v>
      </c>
      <c r="AR45" s="133">
        <v>1</v>
      </c>
      <c r="AS45" s="133">
        <v>1</v>
      </c>
      <c r="AT45" s="133">
        <v>1</v>
      </c>
      <c r="AU45" s="133">
        <v>1</v>
      </c>
      <c r="AV45" s="133">
        <v>1</v>
      </c>
      <c r="AW45" s="222">
        <f t="shared" ref="AW45" si="938">IF(AK45="РНВ",$E45,IF(AL45="РНВ",$E45,IF(AM45="РНВ",$E45,IF(AN45="РНВ",$E45,IF(AO45="РНВ",$E45,IF(AP45="РНВ",$E45,IF(AQ45="РНВ",$E45,IF(AR45="РНВ",$E45,IF(AS45="РНВ",$E45,IF(AT45="РНВ",$E45,IF(AU45="РНВ",$E45,IF(AV45="РНВ",$E45,0))))))))))))</f>
        <v>0</v>
      </c>
      <c r="AX45" s="133">
        <v>1</v>
      </c>
      <c r="AY45" s="133">
        <v>1</v>
      </c>
      <c r="AZ45" s="133">
        <v>1</v>
      </c>
      <c r="BA45" s="133">
        <v>1</v>
      </c>
      <c r="BB45" s="133">
        <v>1</v>
      </c>
      <c r="BC45" s="133">
        <v>1</v>
      </c>
      <c r="BD45" s="133">
        <v>1</v>
      </c>
      <c r="BE45" s="133">
        <v>1</v>
      </c>
      <c r="BF45" s="133">
        <v>1</v>
      </c>
      <c r="BG45" s="133">
        <v>1</v>
      </c>
      <c r="BH45" s="223" t="s">
        <v>37</v>
      </c>
      <c r="BI45" s="136"/>
      <c r="BJ45" s="222">
        <f t="shared" ref="BJ45" si="939">IF(AX45="РНВ",$E45,IF(AY45="РНВ",$E45,IF(AZ45="РНВ",$E45,IF(BA45="РНВ",$E45,IF(BB45="РНВ",$E45,IF(BC45="РНВ",$E45,IF(BD45="РНВ",$E45,IF(BE45="РНВ",$E45,IF(BF45="РНВ",$E45,IF(BG45="РНВ",$E45,IF(BH45="РНВ",$E45,IF(BI45="РНВ",$E45,0))))))))))))</f>
        <v>16789.14</v>
      </c>
      <c r="BK45" s="136"/>
      <c r="BL45" s="136"/>
      <c r="BM45" s="136"/>
      <c r="BN45" s="136"/>
      <c r="BO45" s="136"/>
      <c r="BP45" s="136"/>
      <c r="BQ45" s="136"/>
      <c r="BR45" s="136"/>
      <c r="BS45" s="136"/>
      <c r="BT45" s="136"/>
      <c r="BU45" s="136"/>
      <c r="BV45" s="136"/>
      <c r="BW45" s="222">
        <f t="shared" ref="BW45" si="940">IF(BK45="РНВ",$E45,IF(BL45="РНВ",$E45,IF(BM45="РНВ",$E45,IF(BN45="РНВ",$E45,IF(BO45="РНВ",$E45,IF(BP45="РНВ",$E45,IF(BQ45="РНВ",$E45,IF(BR45="РНВ",$E45,IF(BS45="РНВ",$E45,IF(BT45="РНВ",$E45,IF(BU45="РНВ",$E45,IF(BV45="РНВ",$E45,0))))))))))))</f>
        <v>0</v>
      </c>
      <c r="BX45" s="136"/>
      <c r="BY45" s="135"/>
      <c r="BZ45" s="136"/>
      <c r="CA45" s="135"/>
      <c r="CB45" s="136"/>
      <c r="CC45" s="136"/>
      <c r="CD45" s="136"/>
      <c r="CE45" s="136"/>
      <c r="CF45" s="136"/>
      <c r="CG45" s="136"/>
      <c r="CH45" s="136"/>
      <c r="CI45" s="136"/>
      <c r="CJ45" s="222">
        <f t="shared" ref="CJ45" si="941">IF(BX45="РНВ",$E45,IF(BY45="РНВ",$E45,IF(BZ45="РНВ",$E45,IF(CA45="РНВ",$E45,IF(CB45="РНВ",$E45,IF(CC45="РНВ",$E45,IF(CD45="РНВ",$E45,IF(CE45="РНВ",$E45,IF(CF45="РНВ",$E45,IF(CG45="РНВ",$E45,IF(CH45="РНВ",$E45,IF(CI45="РНВ",$E45,0))))))))))))</f>
        <v>0</v>
      </c>
    </row>
    <row r="46" spans="1:88" ht="23.45" customHeight="1">
      <c r="A46" s="279"/>
      <c r="B46" s="279"/>
      <c r="C46" s="278"/>
      <c r="D46" s="279"/>
      <c r="E46" s="280"/>
      <c r="F46" s="279"/>
      <c r="G46" s="131"/>
      <c r="H46" s="132"/>
      <c r="I46" s="132"/>
      <c r="J46" s="125"/>
      <c r="K46" s="132"/>
      <c r="L46" s="132"/>
      <c r="M46" s="132"/>
      <c r="N46" s="132"/>
      <c r="O46" s="132"/>
      <c r="P46" s="131"/>
      <c r="Q46" s="132"/>
      <c r="R46" s="132"/>
      <c r="S46" s="167"/>
      <c r="T46" s="132"/>
      <c r="U46" s="132"/>
      <c r="V46" s="132"/>
      <c r="W46" s="125"/>
      <c r="X46" s="131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25"/>
      <c r="AK46" s="242">
        <f>IF(AK45&gt;0,$E45/$F45,0)</f>
        <v>645.7361538461538</v>
      </c>
      <c r="AL46" s="242">
        <f t="shared" ref="AL46" si="942">IF(AL45&gt;0,$E45/$F45,0)</f>
        <v>645.7361538461538</v>
      </c>
      <c r="AM46" s="242">
        <f t="shared" ref="AM46" si="943">IF(AM45&gt;0,$E45/$F45,0)</f>
        <v>645.7361538461538</v>
      </c>
      <c r="AN46" s="242">
        <f t="shared" ref="AN46" si="944">IF(AN45&gt;0,$E45/$F45,0)</f>
        <v>645.7361538461538</v>
      </c>
      <c r="AO46" s="242">
        <f t="shared" ref="AO46" si="945">IF(AO45&gt;0,$E45/$F45,0)</f>
        <v>645.7361538461538</v>
      </c>
      <c r="AP46" s="242">
        <f t="shared" ref="AP46" si="946">IF(AP45&gt;0,$E45/$F45,0)</f>
        <v>645.7361538461538</v>
      </c>
      <c r="AQ46" s="242">
        <f t="shared" ref="AQ46" si="947">IF(AQ45&gt;0,$E45/$F45,0)</f>
        <v>645.7361538461538</v>
      </c>
      <c r="AR46" s="242">
        <f t="shared" ref="AR46" si="948">IF(AR45&gt;0,$E45/$F45,0)</f>
        <v>645.7361538461538</v>
      </c>
      <c r="AS46" s="242">
        <f t="shared" ref="AS46" si="949">IF(AS45&gt;0,$E45/$F45,0)</f>
        <v>645.7361538461538</v>
      </c>
      <c r="AT46" s="242">
        <f t="shared" ref="AT46" si="950">IF(AT45&gt;0,$E45/$F45,0)</f>
        <v>645.7361538461538</v>
      </c>
      <c r="AU46" s="242">
        <f t="shared" ref="AU46" si="951">IF(AU45&gt;0,$E45/$F45,0)</f>
        <v>645.7361538461538</v>
      </c>
      <c r="AV46" s="242">
        <f t="shared" ref="AV46" si="952">IF(AV45&gt;0,$E45/$F45,0)</f>
        <v>645.7361538461538</v>
      </c>
      <c r="AW46" s="125"/>
      <c r="AX46" s="242">
        <f>IF(AX45&gt;0,$E45/$F45,0)</f>
        <v>645.7361538461538</v>
      </c>
      <c r="AY46" s="242">
        <f t="shared" ref="AY46" si="953">IF(AY45&gt;0,$E45/$F45,0)</f>
        <v>645.7361538461538</v>
      </c>
      <c r="AZ46" s="242">
        <f t="shared" ref="AZ46" si="954">IF(AZ45&gt;0,$E45/$F45,0)</f>
        <v>645.7361538461538</v>
      </c>
      <c r="BA46" s="242">
        <f t="shared" ref="BA46" si="955">IF(BA45&gt;0,$E45/$F45,0)</f>
        <v>645.7361538461538</v>
      </c>
      <c r="BB46" s="242">
        <f t="shared" ref="BB46" si="956">IF(BB45&gt;0,$E45/$F45,0)</f>
        <v>645.7361538461538</v>
      </c>
      <c r="BC46" s="242">
        <f t="shared" ref="BC46" si="957">IF(BC45&gt;0,$E45/$F45,0)</f>
        <v>645.7361538461538</v>
      </c>
      <c r="BD46" s="242">
        <f t="shared" ref="BD46" si="958">IF(BD45&gt;0,$E45/$F45,0)</f>
        <v>645.7361538461538</v>
      </c>
      <c r="BE46" s="242">
        <f t="shared" ref="BE46" si="959">IF(BE45&gt;0,$E45/$F45,0)</f>
        <v>645.7361538461538</v>
      </c>
      <c r="BF46" s="242">
        <f t="shared" ref="BF46" si="960">IF(BF45&gt;0,$E45/$F45,0)</f>
        <v>645.7361538461538</v>
      </c>
      <c r="BG46" s="242">
        <f t="shared" ref="BG46" si="961">IF(BG45&gt;0,$E45/$F45,0)</f>
        <v>645.7361538461538</v>
      </c>
      <c r="BH46" s="242">
        <f t="shared" ref="BH46" si="962">IF(BH45&gt;0,$E45/$F45,0)</f>
        <v>645.7361538461538</v>
      </c>
      <c r="BI46" s="242">
        <f t="shared" ref="BI46" si="963">IF(BI45&gt;0,$E45/$F45,0)</f>
        <v>0</v>
      </c>
      <c r="BJ46" s="125"/>
      <c r="BK46" s="242">
        <f>IF(BK45&gt;0,$E45/$F45,0)</f>
        <v>0</v>
      </c>
      <c r="BL46" s="242">
        <f t="shared" ref="BL46" si="964">IF(BL45&gt;0,$E45/$F45,0)</f>
        <v>0</v>
      </c>
      <c r="BM46" s="242">
        <f t="shared" ref="BM46" si="965">IF(BM45&gt;0,$E45/$F45,0)</f>
        <v>0</v>
      </c>
      <c r="BN46" s="242">
        <f t="shared" ref="BN46" si="966">IF(BN45&gt;0,$E45/$F45,0)</f>
        <v>0</v>
      </c>
      <c r="BO46" s="242">
        <f t="shared" ref="BO46" si="967">IF(BO45&gt;0,$E45/$F45,0)</f>
        <v>0</v>
      </c>
      <c r="BP46" s="242">
        <f t="shared" ref="BP46" si="968">IF(BP45&gt;0,$E45/$F45,0)</f>
        <v>0</v>
      </c>
      <c r="BQ46" s="242">
        <f t="shared" ref="BQ46" si="969">IF(BQ45&gt;0,$E45/$F45,0)</f>
        <v>0</v>
      </c>
      <c r="BR46" s="242">
        <f t="shared" ref="BR46" si="970">IF(BR45&gt;0,$E45/$F45,0)</f>
        <v>0</v>
      </c>
      <c r="BS46" s="242">
        <f t="shared" ref="BS46" si="971">IF(BS45&gt;0,$E45/$F45,0)</f>
        <v>0</v>
      </c>
      <c r="BT46" s="242">
        <f t="shared" ref="BT46" si="972">IF(BT45&gt;0,$E45/$F45,0)</f>
        <v>0</v>
      </c>
      <c r="BU46" s="242">
        <f t="shared" ref="BU46" si="973">IF(BU45&gt;0,$E45/$F45,0)</f>
        <v>0</v>
      </c>
      <c r="BV46" s="242">
        <f t="shared" ref="BV46" si="974">IF(BV45&gt;0,$E45/$F45,0)</f>
        <v>0</v>
      </c>
      <c r="BW46" s="125"/>
      <c r="BX46" s="132"/>
      <c r="BY46" s="132"/>
      <c r="BZ46" s="132"/>
      <c r="CA46" s="132"/>
      <c r="CB46" s="132"/>
      <c r="CC46" s="132"/>
      <c r="CD46" s="132"/>
      <c r="CE46" s="132"/>
      <c r="CF46" s="132"/>
      <c r="CG46" s="132"/>
      <c r="CH46" s="132"/>
      <c r="CI46" s="132"/>
      <c r="CJ46" s="125"/>
    </row>
    <row r="47" spans="1:88" ht="82.5" customHeight="1">
      <c r="A47" s="279">
        <v>21</v>
      </c>
      <c r="B47" s="285" t="s">
        <v>236</v>
      </c>
      <c r="C47" s="286" t="s">
        <v>242</v>
      </c>
      <c r="D47" s="279">
        <v>3</v>
      </c>
      <c r="E47" s="280">
        <v>10997</v>
      </c>
      <c r="F47" s="281">
        <f t="shared" ref="F47" si="975">COUNTA(K47:V47,X47:AI47,AK47:AV47,AX47:BI47,BK47:BV47,BX47:CI47)</f>
        <v>24</v>
      </c>
      <c r="G47" s="135"/>
      <c r="H47" s="136"/>
      <c r="I47" s="136"/>
      <c r="J47" s="137"/>
      <c r="K47" s="136"/>
      <c r="L47" s="136"/>
      <c r="M47" s="136"/>
      <c r="N47" s="136"/>
      <c r="O47" s="136"/>
      <c r="P47" s="135"/>
      <c r="Q47" s="136"/>
      <c r="R47" s="136"/>
      <c r="S47" s="166"/>
      <c r="T47" s="136"/>
      <c r="U47" s="136"/>
      <c r="V47" s="136"/>
      <c r="W47" s="222">
        <f t="shared" ref="W47" si="976">IF(K47="РНВ",$E47,IF(L47="РНВ",$E47,IF(M47="РНВ",$E47,IF(N47="РНВ",$E47,IF(O47="РНВ",$E47,IF(P47="РНВ",$E47,IF(Q47="РНВ",$E47,IF(R47="РНВ",$E47,IF(S47="РНВ",$E47,IF(T47="РНВ",$E47,IF(U47="РНВ",$E47,IF(V47="РНВ",$E47,0))))))))))))</f>
        <v>0</v>
      </c>
      <c r="X47" s="135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222">
        <f t="shared" ref="AJ47" si="977">IF(X47="РНВ",$E47,IF(Y47="РНВ",$E47,IF(Z47="РНВ",$E47,IF(AA47="РНВ",$E47,IF(AB47="РНВ",$E47,IF(AC47="РНВ",$E47,IF(AD47="РНВ",$E47,IF(AE47="РНВ",$E47,IF(AF47="РНВ",$E47,IF(AG47="РНВ",$E47,IF(AH47="РНВ",$E47,IF(AI47="РНВ",$E47,0))))))))))))</f>
        <v>0</v>
      </c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259">
        <v>1</v>
      </c>
      <c r="AW47" s="222">
        <f t="shared" ref="AW47" si="978">IF(AK47="РНВ",$E47,IF(AL47="РНВ",$E47,IF(AM47="РНВ",$E47,IF(AN47="РНВ",$E47,IF(AO47="РНВ",$E47,IF(AP47="РНВ",$E47,IF(AQ47="РНВ",$E47,IF(AR47="РНВ",$E47,IF(AS47="РНВ",$E47,IF(AT47="РНВ",$E47,IF(AU47="РНВ",$E47,IF(AV47="РНВ",$E47,0))))))))))))</f>
        <v>0</v>
      </c>
      <c r="AX47" s="259">
        <v>1</v>
      </c>
      <c r="AY47" s="259">
        <v>1</v>
      </c>
      <c r="AZ47" s="133">
        <v>1</v>
      </c>
      <c r="BA47" s="133">
        <v>1</v>
      </c>
      <c r="BB47" s="133">
        <v>1</v>
      </c>
      <c r="BC47" s="133">
        <v>1</v>
      </c>
      <c r="BD47" s="133">
        <v>1</v>
      </c>
      <c r="BE47" s="133">
        <v>1</v>
      </c>
      <c r="BF47" s="133">
        <v>1</v>
      </c>
      <c r="BG47" s="133">
        <v>1</v>
      </c>
      <c r="BH47" s="133">
        <v>1</v>
      </c>
      <c r="BI47" s="133">
        <v>1</v>
      </c>
      <c r="BJ47" s="222">
        <f t="shared" ref="BJ47" si="979">IF(AX47="РНВ",$E47,IF(AY47="РНВ",$E47,IF(AZ47="РНВ",$E47,IF(BA47="РНВ",$E47,IF(BB47="РНВ",$E47,IF(BC47="РНВ",$E47,IF(BD47="РНВ",$E47,IF(BE47="РНВ",$E47,IF(BF47="РНВ",$E47,IF(BG47="РНВ",$E47,IF(BH47="РНВ",$E47,IF(BI47="РНВ",$E47,0))))))))))))</f>
        <v>0</v>
      </c>
      <c r="BK47" s="133">
        <v>1</v>
      </c>
      <c r="BL47" s="133">
        <v>1</v>
      </c>
      <c r="BM47" s="133">
        <v>1</v>
      </c>
      <c r="BN47" s="133">
        <v>1</v>
      </c>
      <c r="BO47" s="133">
        <v>1</v>
      </c>
      <c r="BP47" s="133">
        <v>1</v>
      </c>
      <c r="BQ47" s="133">
        <v>1</v>
      </c>
      <c r="BR47" s="133">
        <v>1</v>
      </c>
      <c r="BS47" s="133">
        <v>1</v>
      </c>
      <c r="BT47" s="133">
        <v>1</v>
      </c>
      <c r="BU47" s="223" t="s">
        <v>37</v>
      </c>
      <c r="BV47" s="136"/>
      <c r="BW47" s="222">
        <f t="shared" ref="BW47" si="980">IF(BK47="РНВ",$E47,IF(BL47="РНВ",$E47,IF(BM47="РНВ",$E47,IF(BN47="РНВ",$E47,IF(BO47="РНВ",$E47,IF(BP47="РНВ",$E47,IF(BQ47="РНВ",$E47,IF(BR47="РНВ",$E47,IF(BS47="РНВ",$E47,IF(BT47="РНВ",$E47,IF(BU47="РНВ",$E47,IF(BV47="РНВ",$E47,0))))))))))))</f>
        <v>10997</v>
      </c>
      <c r="BX47" s="136"/>
      <c r="BY47" s="136"/>
      <c r="BZ47" s="136"/>
      <c r="CA47" s="136"/>
      <c r="CB47" s="136"/>
      <c r="CC47" s="136"/>
      <c r="CD47" s="136"/>
      <c r="CE47" s="136"/>
      <c r="CF47" s="136"/>
      <c r="CG47" s="136"/>
      <c r="CH47" s="136"/>
      <c r="CI47" s="136"/>
      <c r="CJ47" s="222">
        <f t="shared" ref="CJ47" si="981">IF(BX47="РНВ",$E47,IF(BY47="РНВ",$E47,IF(BZ47="РНВ",$E47,IF(CA47="РНВ",$E47,IF(CB47="РНВ",$E47,IF(CC47="РНВ",$E47,IF(CD47="РНВ",$E47,IF(CE47="РНВ",$E47,IF(CF47="РНВ",$E47,IF(CG47="РНВ",$E47,IF(CH47="РНВ",$E47,IF(CI47="РНВ",$E47,0))))))))))))</f>
        <v>0</v>
      </c>
    </row>
    <row r="48" spans="1:88" ht="24.6" customHeight="1">
      <c r="A48" s="279"/>
      <c r="B48" s="279"/>
      <c r="C48" s="286"/>
      <c r="D48" s="279"/>
      <c r="E48" s="280"/>
      <c r="F48" s="279"/>
      <c r="G48" s="131"/>
      <c r="H48" s="132"/>
      <c r="I48" s="132"/>
      <c r="J48" s="125"/>
      <c r="K48" s="132"/>
      <c r="L48" s="132"/>
      <c r="M48" s="132"/>
      <c r="N48" s="132"/>
      <c r="O48" s="132"/>
      <c r="P48" s="131"/>
      <c r="Q48" s="132"/>
      <c r="R48" s="132"/>
      <c r="S48" s="167"/>
      <c r="T48" s="132"/>
      <c r="U48" s="132"/>
      <c r="V48" s="132"/>
      <c r="W48" s="125"/>
      <c r="X48" s="131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25"/>
      <c r="AK48" s="242">
        <f>IF(AK47&gt;0,$E47/$F47,0)</f>
        <v>0</v>
      </c>
      <c r="AL48" s="242">
        <f t="shared" ref="AL48" si="982">IF(AL47&gt;0,$E47/$F47,0)</f>
        <v>0</v>
      </c>
      <c r="AM48" s="242">
        <f t="shared" ref="AM48" si="983">IF(AM47&gt;0,$E47/$F47,0)</f>
        <v>0</v>
      </c>
      <c r="AN48" s="242">
        <f t="shared" ref="AN48" si="984">IF(AN47&gt;0,$E47/$F47,0)</f>
        <v>0</v>
      </c>
      <c r="AO48" s="242">
        <f t="shared" ref="AO48" si="985">IF(AO47&gt;0,$E47/$F47,0)</f>
        <v>0</v>
      </c>
      <c r="AP48" s="242">
        <f t="shared" ref="AP48" si="986">IF(AP47&gt;0,$E47/$F47,0)</f>
        <v>0</v>
      </c>
      <c r="AQ48" s="242">
        <f t="shared" ref="AQ48" si="987">IF(AQ47&gt;0,$E47/$F47,0)</f>
        <v>0</v>
      </c>
      <c r="AR48" s="242">
        <f t="shared" ref="AR48" si="988">IF(AR47&gt;0,$E47/$F47,0)</f>
        <v>0</v>
      </c>
      <c r="AS48" s="242">
        <f t="shared" ref="AS48" si="989">IF(AS47&gt;0,$E47/$F47,0)</f>
        <v>0</v>
      </c>
      <c r="AT48" s="242">
        <f t="shared" ref="AT48" si="990">IF(AT47&gt;0,$E47/$F47,0)</f>
        <v>0</v>
      </c>
      <c r="AU48" s="242">
        <f t="shared" ref="AU48" si="991">IF(AU47&gt;0,$E47/$F47,0)</f>
        <v>0</v>
      </c>
      <c r="AV48" s="242">
        <f t="shared" ref="AV48" si="992">IF(AV47&gt;0,$E47/$F47,0)</f>
        <v>458.20833333333331</v>
      </c>
      <c r="AW48" s="125"/>
      <c r="AX48" s="242">
        <f>IF(AX47&gt;0,$E47/$F47,0)</f>
        <v>458.20833333333331</v>
      </c>
      <c r="AY48" s="242">
        <f t="shared" ref="AY48" si="993">IF(AY47&gt;0,$E47/$F47,0)</f>
        <v>458.20833333333331</v>
      </c>
      <c r="AZ48" s="242">
        <f t="shared" ref="AZ48" si="994">IF(AZ47&gt;0,$E47/$F47,0)</f>
        <v>458.20833333333331</v>
      </c>
      <c r="BA48" s="242">
        <f t="shared" ref="BA48" si="995">IF(BA47&gt;0,$E47/$F47,0)</f>
        <v>458.20833333333331</v>
      </c>
      <c r="BB48" s="242">
        <f t="shared" ref="BB48" si="996">IF(BB47&gt;0,$E47/$F47,0)</f>
        <v>458.20833333333331</v>
      </c>
      <c r="BC48" s="242">
        <f t="shared" ref="BC48" si="997">IF(BC47&gt;0,$E47/$F47,0)</f>
        <v>458.20833333333331</v>
      </c>
      <c r="BD48" s="242">
        <f t="shared" ref="BD48" si="998">IF(BD47&gt;0,$E47/$F47,0)</f>
        <v>458.20833333333331</v>
      </c>
      <c r="BE48" s="242">
        <f t="shared" ref="BE48" si="999">IF(BE47&gt;0,$E47/$F47,0)</f>
        <v>458.20833333333331</v>
      </c>
      <c r="BF48" s="242">
        <f t="shared" ref="BF48" si="1000">IF(BF47&gt;0,$E47/$F47,0)</f>
        <v>458.20833333333331</v>
      </c>
      <c r="BG48" s="242">
        <f t="shared" ref="BG48" si="1001">IF(BG47&gt;0,$E47/$F47,0)</f>
        <v>458.20833333333331</v>
      </c>
      <c r="BH48" s="242">
        <f t="shared" ref="BH48" si="1002">IF(BH47&gt;0,$E47/$F47,0)</f>
        <v>458.20833333333331</v>
      </c>
      <c r="BI48" s="242">
        <f t="shared" ref="BI48" si="1003">IF(BI47&gt;0,$E47/$F47,0)</f>
        <v>458.20833333333331</v>
      </c>
      <c r="BJ48" s="125"/>
      <c r="BK48" s="242">
        <f>IF(BK47&gt;0,$E47/$F47,0)</f>
        <v>458.20833333333331</v>
      </c>
      <c r="BL48" s="242">
        <f t="shared" ref="BL48" si="1004">IF(BL47&gt;0,$E47/$F47,0)</f>
        <v>458.20833333333331</v>
      </c>
      <c r="BM48" s="242">
        <f t="shared" ref="BM48" si="1005">IF(BM47&gt;0,$E47/$F47,0)</f>
        <v>458.20833333333331</v>
      </c>
      <c r="BN48" s="242">
        <f t="shared" ref="BN48" si="1006">IF(BN47&gt;0,$E47/$F47,0)</f>
        <v>458.20833333333331</v>
      </c>
      <c r="BO48" s="242">
        <f t="shared" ref="BO48" si="1007">IF(BO47&gt;0,$E47/$F47,0)</f>
        <v>458.20833333333331</v>
      </c>
      <c r="BP48" s="242">
        <f t="shared" ref="BP48" si="1008">IF(BP47&gt;0,$E47/$F47,0)</f>
        <v>458.20833333333331</v>
      </c>
      <c r="BQ48" s="242">
        <f t="shared" ref="BQ48" si="1009">IF(BQ47&gt;0,$E47/$F47,0)</f>
        <v>458.20833333333331</v>
      </c>
      <c r="BR48" s="242">
        <f t="shared" ref="BR48" si="1010">IF(BR47&gt;0,$E47/$F47,0)</f>
        <v>458.20833333333331</v>
      </c>
      <c r="BS48" s="242">
        <f t="shared" ref="BS48" si="1011">IF(BS47&gt;0,$E47/$F47,0)</f>
        <v>458.20833333333331</v>
      </c>
      <c r="BT48" s="242">
        <f t="shared" ref="BT48" si="1012">IF(BT47&gt;0,$E47/$F47,0)</f>
        <v>458.20833333333331</v>
      </c>
      <c r="BU48" s="242">
        <f t="shared" ref="BU48" si="1013">IF(BU47&gt;0,$E47/$F47,0)</f>
        <v>458.20833333333331</v>
      </c>
      <c r="BV48" s="242">
        <f t="shared" ref="BV48" si="1014">IF(BV47&gt;0,$E47/$F47,0)</f>
        <v>0</v>
      </c>
      <c r="BW48" s="125"/>
      <c r="BX48" s="242">
        <f>IF(BX47&gt;0,$E47/$F47,0)</f>
        <v>0</v>
      </c>
      <c r="BY48" s="242">
        <f t="shared" ref="BY48" si="1015">IF(BY47&gt;0,$E47/$F47,0)</f>
        <v>0</v>
      </c>
      <c r="BZ48" s="242">
        <f t="shared" ref="BZ48" si="1016">IF(BZ47&gt;0,$E47/$F47,0)</f>
        <v>0</v>
      </c>
      <c r="CA48" s="242">
        <f t="shared" ref="CA48" si="1017">IF(CA47&gt;0,$E47/$F47,0)</f>
        <v>0</v>
      </c>
      <c r="CB48" s="242">
        <f t="shared" ref="CB48" si="1018">IF(CB47&gt;0,$E47/$F47,0)</f>
        <v>0</v>
      </c>
      <c r="CC48" s="242">
        <f t="shared" ref="CC48" si="1019">IF(CC47&gt;0,$E47/$F47,0)</f>
        <v>0</v>
      </c>
      <c r="CD48" s="242">
        <f t="shared" ref="CD48" si="1020">IF(CD47&gt;0,$E47/$F47,0)</f>
        <v>0</v>
      </c>
      <c r="CE48" s="242">
        <f t="shared" ref="CE48" si="1021">IF(CE47&gt;0,$E47/$F47,0)</f>
        <v>0</v>
      </c>
      <c r="CF48" s="242">
        <f t="shared" ref="CF48" si="1022">IF(CF47&gt;0,$E47/$F47,0)</f>
        <v>0</v>
      </c>
      <c r="CG48" s="242">
        <f t="shared" ref="CG48" si="1023">IF(CG47&gt;0,$E47/$F47,0)</f>
        <v>0</v>
      </c>
      <c r="CH48" s="242">
        <f t="shared" ref="CH48" si="1024">IF(CH47&gt;0,$E47/$F47,0)</f>
        <v>0</v>
      </c>
      <c r="CI48" s="242">
        <f t="shared" ref="CI48" si="1025">IF(CI47&gt;0,$E47/$F47,0)</f>
        <v>0</v>
      </c>
      <c r="CJ48" s="125"/>
    </row>
    <row r="49" spans="1:88" ht="82.5" customHeight="1">
      <c r="A49" s="279">
        <v>22</v>
      </c>
      <c r="B49" s="285" t="s">
        <v>237</v>
      </c>
      <c r="C49" s="286" t="s">
        <v>242</v>
      </c>
      <c r="D49" s="279">
        <v>5</v>
      </c>
      <c r="E49" s="280">
        <v>16789.14</v>
      </c>
      <c r="F49" s="281">
        <f t="shared" ref="F49" si="1026">COUNTA(K49:V49,X49:AI49,AK49:AV49,AX49:BI49,BK49:BV49,BX49:CI49)</f>
        <v>24</v>
      </c>
      <c r="G49" s="135"/>
      <c r="H49" s="136"/>
      <c r="I49" s="136"/>
      <c r="J49" s="137"/>
      <c r="K49" s="136"/>
      <c r="L49" s="136"/>
      <c r="M49" s="136"/>
      <c r="N49" s="136"/>
      <c r="O49" s="136"/>
      <c r="P49" s="135"/>
      <c r="Q49" s="136"/>
      <c r="R49" s="136"/>
      <c r="S49" s="166"/>
      <c r="T49" s="136"/>
      <c r="U49" s="136"/>
      <c r="V49" s="136"/>
      <c r="W49" s="222">
        <f t="shared" ref="W49" si="1027">IF(K49="РНВ",$E49,IF(L49="РНВ",$E49,IF(M49="РНВ",$E49,IF(N49="РНВ",$E49,IF(O49="РНВ",$E49,IF(P49="РНВ",$E49,IF(Q49="РНВ",$E49,IF(R49="РНВ",$E49,IF(S49="РНВ",$E49,IF(T49="РНВ",$E49,IF(U49="РНВ",$E49,IF(V49="РНВ",$E49,0))))))))))))</f>
        <v>0</v>
      </c>
      <c r="X49" s="135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222">
        <f t="shared" ref="AJ49" si="1028">IF(X49="РНВ",$E49,IF(Y49="РНВ",$E49,IF(Z49="РНВ",$E49,IF(AA49="РНВ",$E49,IF(AB49="РНВ",$E49,IF(AC49="РНВ",$E49,IF(AD49="РНВ",$E49,IF(AE49="РНВ",$E49,IF(AF49="РНВ",$E49,IF(AG49="РНВ",$E49,IF(AH49="РНВ",$E49,IF(AI49="РНВ",$E49,0))))))))))))</f>
        <v>0</v>
      </c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222">
        <f t="shared" ref="AW49" si="1029">IF(AK49="РНВ",$E49,IF(AL49="РНВ",$E49,IF(AM49="РНВ",$E49,IF(AN49="РНВ",$E49,IF(AO49="РНВ",$E49,IF(AP49="РНВ",$E49,IF(AQ49="РНВ",$E49,IF(AR49="РНВ",$E49,IF(AS49="РНВ",$E49,IF(AT49="РНВ",$E49,IF(AU49="РНВ",$E49,IF(AV49="РНВ",$E49,0))))))))))))</f>
        <v>0</v>
      </c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222">
        <f t="shared" ref="BJ49" si="1030">IF(AX49="РНВ",$E49,IF(AY49="РНВ",$E49,IF(AZ49="РНВ",$E49,IF(BA49="РНВ",$E49,IF(BB49="РНВ",$E49,IF(BC49="РНВ",$E49,IF(BD49="РНВ",$E49,IF(BE49="РНВ",$E49,IF(BF49="РНВ",$E49,IF(BG49="РНВ",$E49,IF(BH49="РНВ",$E49,IF(BI49="РНВ",$E49,0))))))))))))</f>
        <v>0</v>
      </c>
      <c r="BK49" s="133">
        <v>1</v>
      </c>
      <c r="BL49" s="133">
        <v>1</v>
      </c>
      <c r="BM49" s="133">
        <v>1</v>
      </c>
      <c r="BN49" s="133">
        <v>1</v>
      </c>
      <c r="BO49" s="133">
        <v>1</v>
      </c>
      <c r="BP49" s="133">
        <v>1</v>
      </c>
      <c r="BQ49" s="133">
        <v>1</v>
      </c>
      <c r="BR49" s="133">
        <v>1</v>
      </c>
      <c r="BS49" s="133">
        <v>1</v>
      </c>
      <c r="BT49" s="133">
        <v>1</v>
      </c>
      <c r="BU49" s="133">
        <v>1</v>
      </c>
      <c r="BV49" s="133">
        <v>1</v>
      </c>
      <c r="BW49" s="222">
        <f t="shared" ref="BW49" si="1031">IF(BK49="РНВ",$E49,IF(BL49="РНВ",$E49,IF(BM49="РНВ",$E49,IF(BN49="РНВ",$E49,IF(BO49="РНВ",$E49,IF(BP49="РНВ",$E49,IF(BQ49="РНВ",$E49,IF(BR49="РНВ",$E49,IF(BS49="РНВ",$E49,IF(BT49="РНВ",$E49,IF(BU49="РНВ",$E49,IF(BV49="РНВ",$E49,0))))))))))))</f>
        <v>0</v>
      </c>
      <c r="BX49" s="133">
        <v>1</v>
      </c>
      <c r="BY49" s="133">
        <v>1</v>
      </c>
      <c r="BZ49" s="133">
        <v>1</v>
      </c>
      <c r="CA49" s="133">
        <v>1</v>
      </c>
      <c r="CB49" s="133">
        <v>1</v>
      </c>
      <c r="CC49" s="133">
        <v>1</v>
      </c>
      <c r="CD49" s="133">
        <v>1</v>
      </c>
      <c r="CE49" s="133">
        <v>1</v>
      </c>
      <c r="CF49" s="133">
        <v>1</v>
      </c>
      <c r="CG49" s="133">
        <v>1</v>
      </c>
      <c r="CH49" s="133">
        <v>1</v>
      </c>
      <c r="CI49" s="133">
        <v>1</v>
      </c>
      <c r="CJ49" s="222">
        <f t="shared" ref="CJ49" si="1032">IF(BX49="РНВ",$E49,IF(BY49="РНВ",$E49,IF(BZ49="РНВ",$E49,IF(CA49="РНВ",$E49,IF(CB49="РНВ",$E49,IF(CC49="РНВ",$E49,IF(CD49="РНВ",$E49,IF(CE49="РНВ",$E49,IF(CF49="РНВ",$E49,IF(CG49="РНВ",$E49,IF(CH49="РНВ",$E49,IF(CI49="РНВ",$E49,0))))))))))))</f>
        <v>0</v>
      </c>
    </row>
    <row r="50" spans="1:88" ht="24.6" customHeight="1">
      <c r="A50" s="279"/>
      <c r="B50" s="279"/>
      <c r="C50" s="286"/>
      <c r="D50" s="279"/>
      <c r="E50" s="280"/>
      <c r="F50" s="279"/>
      <c r="G50" s="131"/>
      <c r="H50" s="132"/>
      <c r="I50" s="132"/>
      <c r="J50" s="125"/>
      <c r="K50" s="132"/>
      <c r="L50" s="132"/>
      <c r="M50" s="132"/>
      <c r="N50" s="132"/>
      <c r="O50" s="132"/>
      <c r="P50" s="131"/>
      <c r="Q50" s="132"/>
      <c r="R50" s="132"/>
      <c r="S50" s="167"/>
      <c r="T50" s="132"/>
      <c r="U50" s="132"/>
      <c r="V50" s="132"/>
      <c r="W50" s="125"/>
      <c r="X50" s="131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25"/>
      <c r="AK50" s="242">
        <f>IF(AK49&gt;0,$E49/$F49,0)</f>
        <v>0</v>
      </c>
      <c r="AL50" s="242">
        <f t="shared" ref="AL50" si="1033">IF(AL49&gt;0,$E49/$F49,0)</f>
        <v>0</v>
      </c>
      <c r="AM50" s="242">
        <f t="shared" ref="AM50" si="1034">IF(AM49&gt;0,$E49/$F49,0)</f>
        <v>0</v>
      </c>
      <c r="AN50" s="242">
        <f t="shared" ref="AN50" si="1035">IF(AN49&gt;0,$E49/$F49,0)</f>
        <v>0</v>
      </c>
      <c r="AO50" s="242">
        <f t="shared" ref="AO50" si="1036">IF(AO49&gt;0,$E49/$F49,0)</f>
        <v>0</v>
      </c>
      <c r="AP50" s="242">
        <f t="shared" ref="AP50" si="1037">IF(AP49&gt;0,$E49/$F49,0)</f>
        <v>0</v>
      </c>
      <c r="AQ50" s="242">
        <f t="shared" ref="AQ50" si="1038">IF(AQ49&gt;0,$E49/$F49,0)</f>
        <v>0</v>
      </c>
      <c r="AR50" s="242">
        <f t="shared" ref="AR50" si="1039">IF(AR49&gt;0,$E49/$F49,0)</f>
        <v>0</v>
      </c>
      <c r="AS50" s="242">
        <f t="shared" ref="AS50" si="1040">IF(AS49&gt;0,$E49/$F49,0)</f>
        <v>0</v>
      </c>
      <c r="AT50" s="242">
        <f t="shared" ref="AT50" si="1041">IF(AT49&gt;0,$E49/$F49,0)</f>
        <v>0</v>
      </c>
      <c r="AU50" s="242">
        <f t="shared" ref="AU50" si="1042">IF(AU49&gt;0,$E49/$F49,0)</f>
        <v>0</v>
      </c>
      <c r="AV50" s="242">
        <f t="shared" ref="AV50" si="1043">IF(AV49&gt;0,$E49/$F49,0)</f>
        <v>0</v>
      </c>
      <c r="AW50" s="125"/>
      <c r="AX50" s="242">
        <f>IF(AX49&gt;0,$E49/$F49,0)</f>
        <v>0</v>
      </c>
      <c r="AY50" s="242">
        <f t="shared" ref="AY50" si="1044">IF(AY49&gt;0,$E49/$F49,0)</f>
        <v>0</v>
      </c>
      <c r="AZ50" s="242">
        <f t="shared" ref="AZ50" si="1045">IF(AZ49&gt;0,$E49/$F49,0)</f>
        <v>0</v>
      </c>
      <c r="BA50" s="242">
        <f t="shared" ref="BA50" si="1046">IF(BA49&gt;0,$E49/$F49,0)</f>
        <v>0</v>
      </c>
      <c r="BB50" s="242">
        <f t="shared" ref="BB50" si="1047">IF(BB49&gt;0,$E49/$F49,0)</f>
        <v>0</v>
      </c>
      <c r="BC50" s="242">
        <f t="shared" ref="BC50" si="1048">IF(BC49&gt;0,$E49/$F49,0)</f>
        <v>0</v>
      </c>
      <c r="BD50" s="242">
        <f t="shared" ref="BD50" si="1049">IF(BD49&gt;0,$E49/$F49,0)</f>
        <v>0</v>
      </c>
      <c r="BE50" s="242">
        <f t="shared" ref="BE50" si="1050">IF(BE49&gt;0,$E49/$F49,0)</f>
        <v>0</v>
      </c>
      <c r="BF50" s="242">
        <f t="shared" ref="BF50" si="1051">IF(BF49&gt;0,$E49/$F49,0)</f>
        <v>0</v>
      </c>
      <c r="BG50" s="242">
        <f t="shared" ref="BG50" si="1052">IF(BG49&gt;0,$E49/$F49,0)</f>
        <v>0</v>
      </c>
      <c r="BH50" s="242">
        <f t="shared" ref="BH50" si="1053">IF(BH49&gt;0,$E49/$F49,0)</f>
        <v>0</v>
      </c>
      <c r="BI50" s="242">
        <f t="shared" ref="BI50" si="1054">IF(BI49&gt;0,$E49/$F49,0)</f>
        <v>0</v>
      </c>
      <c r="BJ50" s="125"/>
      <c r="BK50" s="242">
        <f>IF(BK49&gt;0,$E49/$F49,0)</f>
        <v>699.54750000000001</v>
      </c>
      <c r="BL50" s="242">
        <f t="shared" ref="BL50" si="1055">IF(BL49&gt;0,$E49/$F49,0)</f>
        <v>699.54750000000001</v>
      </c>
      <c r="BM50" s="242">
        <f t="shared" ref="BM50" si="1056">IF(BM49&gt;0,$E49/$F49,0)</f>
        <v>699.54750000000001</v>
      </c>
      <c r="BN50" s="242">
        <f t="shared" ref="BN50" si="1057">IF(BN49&gt;0,$E49/$F49,0)</f>
        <v>699.54750000000001</v>
      </c>
      <c r="BO50" s="242">
        <f t="shared" ref="BO50" si="1058">IF(BO49&gt;0,$E49/$F49,0)</f>
        <v>699.54750000000001</v>
      </c>
      <c r="BP50" s="242">
        <f t="shared" ref="BP50" si="1059">IF(BP49&gt;0,$E49/$F49,0)</f>
        <v>699.54750000000001</v>
      </c>
      <c r="BQ50" s="242">
        <f t="shared" ref="BQ50" si="1060">IF(BQ49&gt;0,$E49/$F49,0)</f>
        <v>699.54750000000001</v>
      </c>
      <c r="BR50" s="242">
        <f t="shared" ref="BR50" si="1061">IF(BR49&gt;0,$E49/$F49,0)</f>
        <v>699.54750000000001</v>
      </c>
      <c r="BS50" s="242">
        <f t="shared" ref="BS50" si="1062">IF(BS49&gt;0,$E49/$F49,0)</f>
        <v>699.54750000000001</v>
      </c>
      <c r="BT50" s="242">
        <f t="shared" ref="BT50" si="1063">IF(BT49&gt;0,$E49/$F49,0)</f>
        <v>699.54750000000001</v>
      </c>
      <c r="BU50" s="242">
        <f t="shared" ref="BU50" si="1064">IF(BU49&gt;0,$E49/$F49,0)</f>
        <v>699.54750000000001</v>
      </c>
      <c r="BV50" s="242">
        <f t="shared" ref="BV50" si="1065">IF(BV49&gt;0,$E49/$F49,0)</f>
        <v>699.54750000000001</v>
      </c>
      <c r="BW50" s="125"/>
      <c r="BX50" s="242">
        <f>IF(BX49&gt;0,$E49/$F49,0)</f>
        <v>699.54750000000001</v>
      </c>
      <c r="BY50" s="242">
        <f t="shared" ref="BY50" si="1066">IF(BY49&gt;0,$E49/$F49,0)</f>
        <v>699.54750000000001</v>
      </c>
      <c r="BZ50" s="242">
        <f t="shared" ref="BZ50" si="1067">IF(BZ49&gt;0,$E49/$F49,0)</f>
        <v>699.54750000000001</v>
      </c>
      <c r="CA50" s="242">
        <f t="shared" ref="CA50" si="1068">IF(CA49&gt;0,$E49/$F49,0)</f>
        <v>699.54750000000001</v>
      </c>
      <c r="CB50" s="242">
        <f t="shared" ref="CB50" si="1069">IF(CB49&gt;0,$E49/$F49,0)</f>
        <v>699.54750000000001</v>
      </c>
      <c r="CC50" s="242">
        <f t="shared" ref="CC50" si="1070">IF(CC49&gt;0,$E49/$F49,0)</f>
        <v>699.54750000000001</v>
      </c>
      <c r="CD50" s="242">
        <f t="shared" ref="CD50" si="1071">IF(CD49&gt;0,$E49/$F49,0)</f>
        <v>699.54750000000001</v>
      </c>
      <c r="CE50" s="242">
        <f t="shared" ref="CE50" si="1072">IF(CE49&gt;0,$E49/$F49,0)</f>
        <v>699.54750000000001</v>
      </c>
      <c r="CF50" s="242">
        <f t="shared" ref="CF50" si="1073">IF(CF49&gt;0,$E49/$F49,0)</f>
        <v>699.54750000000001</v>
      </c>
      <c r="CG50" s="242">
        <f t="shared" ref="CG50" si="1074">IF(CG49&gt;0,$E49/$F49,0)</f>
        <v>699.54750000000001</v>
      </c>
      <c r="CH50" s="242">
        <f t="shared" ref="CH50" si="1075">IF(CH49&gt;0,$E49/$F49,0)</f>
        <v>699.54750000000001</v>
      </c>
      <c r="CI50" s="242">
        <f t="shared" ref="CI50" si="1076">IF(CI49&gt;0,$E49/$F49,0)</f>
        <v>699.54750000000001</v>
      </c>
      <c r="CJ50" s="125"/>
    </row>
    <row r="51" spans="1:88" ht="82.5" customHeight="1">
      <c r="A51" s="279">
        <v>23</v>
      </c>
      <c r="B51" s="285" t="s">
        <v>238</v>
      </c>
      <c r="C51" s="286" t="s">
        <v>242</v>
      </c>
      <c r="D51" s="279">
        <v>3</v>
      </c>
      <c r="E51" s="280">
        <v>10997</v>
      </c>
      <c r="F51" s="281">
        <v>21</v>
      </c>
      <c r="G51" s="135"/>
      <c r="H51" s="136"/>
      <c r="I51" s="136"/>
      <c r="J51" s="137"/>
      <c r="K51" s="136"/>
      <c r="L51" s="136"/>
      <c r="M51" s="136"/>
      <c r="N51" s="136"/>
      <c r="O51" s="136"/>
      <c r="P51" s="135"/>
      <c r="Q51" s="136"/>
      <c r="R51" s="136"/>
      <c r="S51" s="166"/>
      <c r="T51" s="136"/>
      <c r="U51" s="136"/>
      <c r="V51" s="136"/>
      <c r="W51" s="222">
        <f t="shared" ref="W51" si="1077">IF(K51="РНВ",$E51,IF(L51="РНВ",$E51,IF(M51="РНВ",$E51,IF(N51="РНВ",$E51,IF(O51="РНВ",$E51,IF(P51="РНВ",$E51,IF(Q51="РНВ",$E51,IF(R51="РНВ",$E51,IF(S51="РНВ",$E51,IF(T51="РНВ",$E51,IF(U51="РНВ",$E51,IF(V51="РНВ",$E51,0))))))))))))</f>
        <v>0</v>
      </c>
      <c r="X51" s="135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222">
        <f t="shared" ref="AJ51" si="1078">IF(X51="РНВ",$E51,IF(Y51="РНВ",$E51,IF(Z51="РНВ",$E51,IF(AA51="РНВ",$E51,IF(AB51="РНВ",$E51,IF(AC51="РНВ",$E51,IF(AD51="РНВ",$E51,IF(AE51="РНВ",$E51,IF(AF51="РНВ",$E51,IF(AG51="РНВ",$E51,IF(AH51="РНВ",$E51,IF(AI51="РНВ",$E51,0))))))))))))</f>
        <v>0</v>
      </c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222">
        <f t="shared" ref="AW51" si="1079">IF(AK51="РНВ",$E51,IF(AL51="РНВ",$E51,IF(AM51="РНВ",$E51,IF(AN51="РНВ",$E51,IF(AO51="РНВ",$E51,IF(AP51="РНВ",$E51,IF(AQ51="РНВ",$E51,IF(AR51="РНВ",$E51,IF(AS51="РНВ",$E51,IF(AT51="РНВ",$E51,IF(AU51="РНВ",$E51,IF(AV51="РНВ",$E51,0))))))))))))</f>
        <v>0</v>
      </c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222">
        <f t="shared" ref="BJ51" si="1080">IF(AX51="РНВ",$E51,IF(AY51="РНВ",$E51,IF(AZ51="РНВ",$E51,IF(BA51="РНВ",$E51,IF(BB51="РНВ",$E51,IF(BC51="РНВ",$E51,IF(BD51="РНВ",$E51,IF(BE51="РНВ",$E51,IF(BF51="РНВ",$E51,IF(BG51="РНВ",$E51,IF(BH51="РНВ",$E51,IF(BI51="РНВ",$E51,0))))))))))))</f>
        <v>0</v>
      </c>
      <c r="BK51" s="136"/>
      <c r="BL51" s="136"/>
      <c r="BM51" s="136"/>
      <c r="BN51" s="136"/>
      <c r="BO51" s="136"/>
      <c r="BP51" s="136"/>
      <c r="BQ51" s="136"/>
      <c r="BR51" s="136"/>
      <c r="BS51" s="136"/>
      <c r="BT51" s="136"/>
      <c r="BU51" s="136"/>
      <c r="BV51" s="136"/>
      <c r="BW51" s="222">
        <f t="shared" ref="BW51" si="1081">IF(BK51="РНВ",$E51,IF(BL51="РНВ",$E51,IF(BM51="РНВ",$E51,IF(BN51="РНВ",$E51,IF(BO51="РНВ",$E51,IF(BP51="РНВ",$E51,IF(BQ51="РНВ",$E51,IF(BR51="РНВ",$E51,IF(BS51="РНВ",$E51,IF(BT51="РНВ",$E51,IF(BU51="РНВ",$E51,IF(BV51="РНВ",$E51,0))))))))))))</f>
        <v>0</v>
      </c>
      <c r="BX51" s="133">
        <v>1</v>
      </c>
      <c r="BY51" s="133">
        <v>1</v>
      </c>
      <c r="BZ51" s="133">
        <v>1</v>
      </c>
      <c r="CA51" s="133">
        <v>1</v>
      </c>
      <c r="CB51" s="133">
        <v>1</v>
      </c>
      <c r="CC51" s="133">
        <v>1</v>
      </c>
      <c r="CD51" s="133">
        <v>1</v>
      </c>
      <c r="CE51" s="133">
        <v>1</v>
      </c>
      <c r="CF51" s="133">
        <v>1</v>
      </c>
      <c r="CG51" s="133">
        <v>1</v>
      </c>
      <c r="CH51" s="133">
        <v>1</v>
      </c>
      <c r="CI51" s="133">
        <v>1</v>
      </c>
      <c r="CJ51" s="222">
        <f t="shared" ref="CJ51" si="1082">IF(BX51="РНВ",$E51,IF(BY51="РНВ",$E51,IF(BZ51="РНВ",$E51,IF(CA51="РНВ",$E51,IF(CB51="РНВ",$E51,IF(CC51="РНВ",$E51,IF(CD51="РНВ",$E51,IF(CE51="РНВ",$E51,IF(CF51="РНВ",$E51,IF(CG51="РНВ",$E51,IF(CH51="РНВ",$E51,IF(CI51="РНВ",$E51,0))))))))))))</f>
        <v>0</v>
      </c>
    </row>
    <row r="52" spans="1:88" ht="24.6" customHeight="1">
      <c r="A52" s="279"/>
      <c r="B52" s="279"/>
      <c r="C52" s="286"/>
      <c r="D52" s="279"/>
      <c r="E52" s="280"/>
      <c r="F52" s="279"/>
      <c r="G52" s="131"/>
      <c r="H52" s="132"/>
      <c r="I52" s="132"/>
      <c r="J52" s="125"/>
      <c r="K52" s="132"/>
      <c r="L52" s="132"/>
      <c r="M52" s="132"/>
      <c r="N52" s="132"/>
      <c r="O52" s="132"/>
      <c r="P52" s="131"/>
      <c r="Q52" s="132"/>
      <c r="R52" s="132"/>
      <c r="S52" s="167"/>
      <c r="T52" s="132"/>
      <c r="U52" s="132"/>
      <c r="V52" s="132"/>
      <c r="W52" s="125"/>
      <c r="X52" s="131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25"/>
      <c r="AK52" s="242">
        <f>IF(AK51&gt;0,$E51/$F51,0)</f>
        <v>0</v>
      </c>
      <c r="AL52" s="242">
        <f t="shared" ref="AL52" si="1083">IF(AL51&gt;0,$E51/$F51,0)</f>
        <v>0</v>
      </c>
      <c r="AM52" s="242">
        <f t="shared" ref="AM52" si="1084">IF(AM51&gt;0,$E51/$F51,0)</f>
        <v>0</v>
      </c>
      <c r="AN52" s="242">
        <f t="shared" ref="AN52" si="1085">IF(AN51&gt;0,$E51/$F51,0)</f>
        <v>0</v>
      </c>
      <c r="AO52" s="242">
        <f t="shared" ref="AO52" si="1086">IF(AO51&gt;0,$E51/$F51,0)</f>
        <v>0</v>
      </c>
      <c r="AP52" s="242">
        <f t="shared" ref="AP52" si="1087">IF(AP51&gt;0,$E51/$F51,0)</f>
        <v>0</v>
      </c>
      <c r="AQ52" s="242">
        <f t="shared" ref="AQ52" si="1088">IF(AQ51&gt;0,$E51/$F51,0)</f>
        <v>0</v>
      </c>
      <c r="AR52" s="242">
        <f t="shared" ref="AR52" si="1089">IF(AR51&gt;0,$E51/$F51,0)</f>
        <v>0</v>
      </c>
      <c r="AS52" s="242">
        <f t="shared" ref="AS52" si="1090">IF(AS51&gt;0,$E51/$F51,0)</f>
        <v>0</v>
      </c>
      <c r="AT52" s="242">
        <f t="shared" ref="AT52" si="1091">IF(AT51&gt;0,$E51/$F51,0)</f>
        <v>0</v>
      </c>
      <c r="AU52" s="242">
        <f t="shared" ref="AU52" si="1092">IF(AU51&gt;0,$E51/$F51,0)</f>
        <v>0</v>
      </c>
      <c r="AV52" s="242">
        <f t="shared" ref="AV52" si="1093">IF(AV51&gt;0,$E51/$F51,0)</f>
        <v>0</v>
      </c>
      <c r="AW52" s="125"/>
      <c r="AX52" s="242">
        <f>IF(AX51&gt;0,$E51/$F51,0)</f>
        <v>0</v>
      </c>
      <c r="AY52" s="242">
        <f t="shared" ref="AY52" si="1094">IF(AY51&gt;0,$E51/$F51,0)</f>
        <v>0</v>
      </c>
      <c r="AZ52" s="242">
        <f t="shared" ref="AZ52" si="1095">IF(AZ51&gt;0,$E51/$F51,0)</f>
        <v>0</v>
      </c>
      <c r="BA52" s="242">
        <f t="shared" ref="BA52" si="1096">IF(BA51&gt;0,$E51/$F51,0)</f>
        <v>0</v>
      </c>
      <c r="BB52" s="242">
        <f t="shared" ref="BB52" si="1097">IF(BB51&gt;0,$E51/$F51,0)</f>
        <v>0</v>
      </c>
      <c r="BC52" s="242">
        <f t="shared" ref="BC52" si="1098">IF(BC51&gt;0,$E51/$F51,0)</f>
        <v>0</v>
      </c>
      <c r="BD52" s="242">
        <f t="shared" ref="BD52" si="1099">IF(BD51&gt;0,$E51/$F51,0)</f>
        <v>0</v>
      </c>
      <c r="BE52" s="242">
        <f t="shared" ref="BE52" si="1100">IF(BE51&gt;0,$E51/$F51,0)</f>
        <v>0</v>
      </c>
      <c r="BF52" s="242">
        <f t="shared" ref="BF52" si="1101">IF(BF51&gt;0,$E51/$F51,0)</f>
        <v>0</v>
      </c>
      <c r="BG52" s="242">
        <f t="shared" ref="BG52" si="1102">IF(BG51&gt;0,$E51/$F51,0)</f>
        <v>0</v>
      </c>
      <c r="BH52" s="242">
        <f t="shared" ref="BH52" si="1103">IF(BH51&gt;0,$E51/$F51,0)</f>
        <v>0</v>
      </c>
      <c r="BI52" s="242">
        <f t="shared" ref="BI52" si="1104">IF(BI51&gt;0,$E51/$F51,0)</f>
        <v>0</v>
      </c>
      <c r="BJ52" s="125"/>
      <c r="BK52" s="242">
        <f>IF(BK51&gt;0,$E51/$F51,0)</f>
        <v>0</v>
      </c>
      <c r="BL52" s="242">
        <f t="shared" ref="BL52" si="1105">IF(BL51&gt;0,$E51/$F51,0)</f>
        <v>0</v>
      </c>
      <c r="BM52" s="242">
        <f t="shared" ref="BM52" si="1106">IF(BM51&gt;0,$E51/$F51,0)</f>
        <v>0</v>
      </c>
      <c r="BN52" s="242">
        <f t="shared" ref="BN52" si="1107">IF(BN51&gt;0,$E51/$F51,0)</f>
        <v>0</v>
      </c>
      <c r="BO52" s="242">
        <f t="shared" ref="BO52" si="1108">IF(BO51&gt;0,$E51/$F51,0)</f>
        <v>0</v>
      </c>
      <c r="BP52" s="242">
        <f t="shared" ref="BP52" si="1109">IF(BP51&gt;0,$E51/$F51,0)</f>
        <v>0</v>
      </c>
      <c r="BQ52" s="242">
        <f t="shared" ref="BQ52" si="1110">IF(BQ51&gt;0,$E51/$F51,0)</f>
        <v>0</v>
      </c>
      <c r="BR52" s="242">
        <f t="shared" ref="BR52" si="1111">IF(BR51&gt;0,$E51/$F51,0)</f>
        <v>0</v>
      </c>
      <c r="BS52" s="242">
        <f t="shared" ref="BS52" si="1112">IF(BS51&gt;0,$E51/$F51,0)</f>
        <v>0</v>
      </c>
      <c r="BT52" s="242">
        <f t="shared" ref="BT52" si="1113">IF(BT51&gt;0,$E51/$F51,0)</f>
        <v>0</v>
      </c>
      <c r="BU52" s="242">
        <f t="shared" ref="BU52" si="1114">IF(BU51&gt;0,$E51/$F51,0)</f>
        <v>0</v>
      </c>
      <c r="BV52" s="242">
        <f t="shared" ref="BV52" si="1115">IF(BV51&gt;0,$E51/$F51,0)</f>
        <v>0</v>
      </c>
      <c r="BW52" s="125"/>
      <c r="BX52" s="242">
        <f>IF(BX51&gt;0,$E51/$F51,0)</f>
        <v>523.66666666666663</v>
      </c>
      <c r="BY52" s="242">
        <f t="shared" ref="BY52" si="1116">IF(BY51&gt;0,$E51/$F51,0)</f>
        <v>523.66666666666663</v>
      </c>
      <c r="BZ52" s="242">
        <f t="shared" ref="BZ52" si="1117">IF(BZ51&gt;0,$E51/$F51,0)</f>
        <v>523.66666666666663</v>
      </c>
      <c r="CA52" s="242">
        <f t="shared" ref="CA52" si="1118">IF(CA51&gt;0,$E51/$F51,0)</f>
        <v>523.66666666666663</v>
      </c>
      <c r="CB52" s="242">
        <f t="shared" ref="CB52" si="1119">IF(CB51&gt;0,$E51/$F51,0)</f>
        <v>523.66666666666663</v>
      </c>
      <c r="CC52" s="242">
        <f t="shared" ref="CC52" si="1120">IF(CC51&gt;0,$E51/$F51,0)</f>
        <v>523.66666666666663</v>
      </c>
      <c r="CD52" s="242">
        <f t="shared" ref="CD52" si="1121">IF(CD51&gt;0,$E51/$F51,0)</f>
        <v>523.66666666666663</v>
      </c>
      <c r="CE52" s="242">
        <f t="shared" ref="CE52" si="1122">IF(CE51&gt;0,$E51/$F51,0)</f>
        <v>523.66666666666663</v>
      </c>
      <c r="CF52" s="242">
        <f t="shared" ref="CF52" si="1123">IF(CF51&gt;0,$E51/$F51,0)</f>
        <v>523.66666666666663</v>
      </c>
      <c r="CG52" s="242">
        <f t="shared" ref="CG52" si="1124">IF(CG51&gt;0,$E51/$F51,0)</f>
        <v>523.66666666666663</v>
      </c>
      <c r="CH52" s="242">
        <f t="shared" ref="CH52" si="1125">IF(CH51&gt;0,$E51/$F51,0)</f>
        <v>523.66666666666663</v>
      </c>
      <c r="CI52" s="242">
        <f t="shared" ref="CI52" si="1126">IF(CI51&gt;0,$E51/$F51,0)</f>
        <v>523.66666666666663</v>
      </c>
      <c r="CJ52" s="125"/>
    </row>
    <row r="53" spans="1:88" ht="82.5" customHeight="1">
      <c r="A53" s="284">
        <v>24</v>
      </c>
      <c r="B53" s="285" t="s">
        <v>212</v>
      </c>
      <c r="C53" s="278" t="s">
        <v>208</v>
      </c>
      <c r="D53" s="279">
        <v>8</v>
      </c>
      <c r="E53" s="280">
        <v>24698</v>
      </c>
      <c r="F53" s="281">
        <f t="shared" ref="F53" si="1127">COUNTA(K53:V53,X53:AI53,AK53:AV53,AX53:BI53,BK53:BV53,BX53:CI53)</f>
        <v>0</v>
      </c>
      <c r="G53" s="158"/>
      <c r="H53" s="157"/>
      <c r="I53" s="157"/>
      <c r="J53" s="125"/>
      <c r="K53" s="157"/>
      <c r="L53" s="157"/>
      <c r="M53" s="157"/>
      <c r="N53" s="157"/>
      <c r="O53" s="157"/>
      <c r="P53" s="158"/>
      <c r="Q53" s="157"/>
      <c r="R53" s="157"/>
      <c r="S53" s="166"/>
      <c r="T53" s="157"/>
      <c r="U53" s="157"/>
      <c r="V53" s="157"/>
      <c r="W53" s="222">
        <f t="shared" ref="W53" si="1128">IF(K53="РНВ",$E53,IF(L53="РНВ",$E53,IF(M53="РНВ",$E53,IF(N53="РНВ",$E53,IF(O53="РНВ",$E53,IF(P53="РНВ",$E53,IF(Q53="РНВ",$E53,IF(R53="РНВ",$E53,IF(S53="РНВ",$E53,IF(T53="РНВ",$E53,IF(U53="РНВ",$E53,IF(V53="РНВ",$E53,0))))))))))))</f>
        <v>0</v>
      </c>
      <c r="X53" s="158"/>
      <c r="Y53" s="157"/>
      <c r="Z53" s="157"/>
      <c r="AA53" s="136"/>
      <c r="AB53" s="157"/>
      <c r="AC53" s="157"/>
      <c r="AD53" s="157"/>
      <c r="AE53" s="157"/>
      <c r="AF53" s="157"/>
      <c r="AG53" s="157"/>
      <c r="AH53" s="157"/>
      <c r="AI53" s="157"/>
      <c r="AJ53" s="222">
        <f t="shared" ref="AJ53" si="1129">IF(X53="РНВ",$E53,IF(Y53="РНВ",$E53,IF(Z53="РНВ",$E53,IF(AA53="РНВ",$E53,IF(AB53="РНВ",$E53,IF(AC53="РНВ",$E53,IF(AD53="РНВ",$E53,IF(AE53="РНВ",$E53,IF(AF53="РНВ",$E53,IF(AG53="РНВ",$E53,IF(AH53="РНВ",$E53,IF(AI53="РНВ",$E53,0))))))))))))</f>
        <v>0</v>
      </c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222">
        <f t="shared" ref="AW53" si="1130">IF(AK53="РНВ",$E53,IF(AL53="РНВ",$E53,IF(AM53="РНВ",$E53,IF(AN53="РНВ",$E53,IF(AO53="РНВ",$E53,IF(AP53="РНВ",$E53,IF(AQ53="РНВ",$E53,IF(AR53="РНВ",$E53,IF(AS53="РНВ",$E53,IF(AT53="РНВ",$E53,IF(AU53="РНВ",$E53,IF(AV53="РНВ",$E53,0))))))))))))</f>
        <v>0</v>
      </c>
      <c r="AX53" s="157"/>
      <c r="AY53" s="157"/>
      <c r="AZ53" s="157"/>
      <c r="BA53" s="157"/>
      <c r="BB53" s="157"/>
      <c r="BC53" s="157"/>
      <c r="BD53" s="157"/>
      <c r="BE53" s="157"/>
      <c r="BF53" s="157"/>
      <c r="BG53" s="157"/>
      <c r="BH53" s="157"/>
      <c r="BI53" s="157"/>
      <c r="BJ53" s="222">
        <f t="shared" ref="BJ53" si="1131">IF(AX53="РНВ",$E53,IF(AY53="РНВ",$E53,IF(AZ53="РНВ",$E53,IF(BA53="РНВ",$E53,IF(BB53="РНВ",$E53,IF(BC53="РНВ",$E53,IF(BD53="РНВ",$E53,IF(BE53="РНВ",$E53,IF(BF53="РНВ",$E53,IF(BG53="РНВ",$E53,IF(BH53="РНВ",$E53,IF(BI53="РНВ",$E53,0))))))))))))</f>
        <v>0</v>
      </c>
      <c r="BK53" s="157"/>
      <c r="BL53" s="157"/>
      <c r="BM53" s="157"/>
      <c r="BN53" s="157"/>
      <c r="BO53" s="157"/>
      <c r="BP53" s="157"/>
      <c r="BQ53" s="157"/>
      <c r="BR53" s="157"/>
      <c r="BS53" s="157"/>
      <c r="BT53" s="157"/>
      <c r="BU53" s="157"/>
      <c r="BV53" s="157"/>
      <c r="BW53" s="222">
        <f t="shared" ref="BW53" si="1132">IF(BK53="РНВ",$E53,IF(BL53="РНВ",$E53,IF(BM53="РНВ",$E53,IF(BN53="РНВ",$E53,IF(BO53="РНВ",$E53,IF(BP53="РНВ",$E53,IF(BQ53="РНВ",$E53,IF(BR53="РНВ",$E53,IF(BS53="РНВ",$E53,IF(BT53="РНВ",$E53,IF(BU53="РНВ",$E53,IF(BV53="РНВ",$E53,0))))))))))))</f>
        <v>0</v>
      </c>
      <c r="BX53" s="157"/>
      <c r="BY53" s="157"/>
      <c r="BZ53" s="157"/>
      <c r="CA53" s="157"/>
      <c r="CB53" s="157"/>
      <c r="CC53" s="157"/>
      <c r="CD53" s="157"/>
      <c r="CE53" s="157"/>
      <c r="CF53" s="157"/>
      <c r="CG53" s="157"/>
      <c r="CH53" s="157"/>
      <c r="CI53" s="157"/>
      <c r="CJ53" s="222">
        <f t="shared" ref="CJ53" si="1133">IF(BX53="РНВ",$E53,IF(BY53="РНВ",$E53,IF(BZ53="РНВ",$E53,IF(CA53="РНВ",$E53,IF(CB53="РНВ",$E53,IF(CC53="РНВ",$E53,IF(CD53="РНВ",$E53,IF(CE53="РНВ",$E53,IF(CF53="РНВ",$E53,IF(CG53="РНВ",$E53,IF(CH53="РНВ",$E53,IF(CI53="РНВ",$E53,0))))))))))))</f>
        <v>0</v>
      </c>
    </row>
    <row r="54" spans="1:88" ht="22.15" customHeight="1">
      <c r="A54" s="279"/>
      <c r="B54" s="279"/>
      <c r="C54" s="278"/>
      <c r="D54" s="279"/>
      <c r="E54" s="280"/>
      <c r="F54" s="279"/>
      <c r="G54" s="131"/>
      <c r="H54" s="132"/>
      <c r="I54" s="132"/>
      <c r="J54" s="125"/>
      <c r="K54" s="132"/>
      <c r="L54" s="132"/>
      <c r="M54" s="132"/>
      <c r="N54" s="132"/>
      <c r="O54" s="132"/>
      <c r="P54" s="131"/>
      <c r="Q54" s="132"/>
      <c r="R54" s="132"/>
      <c r="S54" s="167"/>
      <c r="T54" s="132"/>
      <c r="U54" s="132"/>
      <c r="V54" s="132"/>
      <c r="W54" s="125"/>
      <c r="X54" s="131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25"/>
      <c r="AK54" s="242">
        <f>IF(AK53&gt;0,$E53/$F53,0)</f>
        <v>0</v>
      </c>
      <c r="AL54" s="242">
        <f t="shared" ref="AL54" si="1134">IF(AL53&gt;0,$E53/$F53,0)</f>
        <v>0</v>
      </c>
      <c r="AM54" s="242">
        <f t="shared" ref="AM54" si="1135">IF(AM53&gt;0,$E53/$F53,0)</f>
        <v>0</v>
      </c>
      <c r="AN54" s="242">
        <f t="shared" ref="AN54" si="1136">IF(AN53&gt;0,$E53/$F53,0)</f>
        <v>0</v>
      </c>
      <c r="AO54" s="242">
        <f t="shared" ref="AO54" si="1137">IF(AO53&gt;0,$E53/$F53,0)</f>
        <v>0</v>
      </c>
      <c r="AP54" s="242">
        <f t="shared" ref="AP54" si="1138">IF(AP53&gt;0,$E53/$F53,0)</f>
        <v>0</v>
      </c>
      <c r="AQ54" s="242">
        <f t="shared" ref="AQ54" si="1139">IF(AQ53&gt;0,$E53/$F53,0)</f>
        <v>0</v>
      </c>
      <c r="AR54" s="242">
        <f t="shared" ref="AR54" si="1140">IF(AR53&gt;0,$E53/$F53,0)</f>
        <v>0</v>
      </c>
      <c r="AS54" s="242">
        <f t="shared" ref="AS54" si="1141">IF(AS53&gt;0,$E53/$F53,0)</f>
        <v>0</v>
      </c>
      <c r="AT54" s="242">
        <f t="shared" ref="AT54" si="1142">IF(AT53&gt;0,$E53/$F53,0)</f>
        <v>0</v>
      </c>
      <c r="AU54" s="242">
        <f t="shared" ref="AU54" si="1143">IF(AU53&gt;0,$E53/$F53,0)</f>
        <v>0</v>
      </c>
      <c r="AV54" s="242">
        <f t="shared" ref="AV54" si="1144">IF(AV53&gt;0,$E53/$F53,0)</f>
        <v>0</v>
      </c>
      <c r="AW54" s="125"/>
      <c r="AX54" s="242">
        <f>IF(AX53&gt;0,$E53/$F53,0)</f>
        <v>0</v>
      </c>
      <c r="AY54" s="242">
        <f t="shared" ref="AY54" si="1145">IF(AY53&gt;0,$E53/$F53,0)</f>
        <v>0</v>
      </c>
      <c r="AZ54" s="242">
        <f t="shared" ref="AZ54" si="1146">IF(AZ53&gt;0,$E53/$F53,0)</f>
        <v>0</v>
      </c>
      <c r="BA54" s="242">
        <f t="shared" ref="BA54" si="1147">IF(BA53&gt;0,$E53/$F53,0)</f>
        <v>0</v>
      </c>
      <c r="BB54" s="242">
        <f t="shared" ref="BB54" si="1148">IF(BB53&gt;0,$E53/$F53,0)</f>
        <v>0</v>
      </c>
      <c r="BC54" s="242">
        <f t="shared" ref="BC54" si="1149">IF(BC53&gt;0,$E53/$F53,0)</f>
        <v>0</v>
      </c>
      <c r="BD54" s="242">
        <f t="shared" ref="BD54" si="1150">IF(BD53&gt;0,$E53/$F53,0)</f>
        <v>0</v>
      </c>
      <c r="BE54" s="242">
        <f t="shared" ref="BE54" si="1151">IF(BE53&gt;0,$E53/$F53,0)</f>
        <v>0</v>
      </c>
      <c r="BF54" s="242">
        <f t="shared" ref="BF54" si="1152">IF(BF53&gt;0,$E53/$F53,0)</f>
        <v>0</v>
      </c>
      <c r="BG54" s="242">
        <f t="shared" ref="BG54" si="1153">IF(BG53&gt;0,$E53/$F53,0)</f>
        <v>0</v>
      </c>
      <c r="BH54" s="242">
        <f t="shared" ref="BH54" si="1154">IF(BH53&gt;0,$E53/$F53,0)</f>
        <v>0</v>
      </c>
      <c r="BI54" s="242">
        <f t="shared" ref="BI54" si="1155">IF(BI53&gt;0,$E53/$F53,0)</f>
        <v>0</v>
      </c>
      <c r="BJ54" s="125"/>
      <c r="BK54" s="242">
        <f>IF(BK53&gt;0,$E53/$F53,0)</f>
        <v>0</v>
      </c>
      <c r="BL54" s="242">
        <f t="shared" ref="BL54" si="1156">IF(BL53&gt;0,$E53/$F53,0)</f>
        <v>0</v>
      </c>
      <c r="BM54" s="242">
        <f t="shared" ref="BM54" si="1157">IF(BM53&gt;0,$E53/$F53,0)</f>
        <v>0</v>
      </c>
      <c r="BN54" s="242">
        <f t="shared" ref="BN54" si="1158">IF(BN53&gt;0,$E53/$F53,0)</f>
        <v>0</v>
      </c>
      <c r="BO54" s="242">
        <f t="shared" ref="BO54" si="1159">IF(BO53&gt;0,$E53/$F53,0)</f>
        <v>0</v>
      </c>
      <c r="BP54" s="242">
        <f t="shared" ref="BP54" si="1160">IF(BP53&gt;0,$E53/$F53,0)</f>
        <v>0</v>
      </c>
      <c r="BQ54" s="242">
        <f t="shared" ref="BQ54" si="1161">IF(BQ53&gt;0,$E53/$F53,0)</f>
        <v>0</v>
      </c>
      <c r="BR54" s="242">
        <f t="shared" ref="BR54" si="1162">IF(BR53&gt;0,$E53/$F53,0)</f>
        <v>0</v>
      </c>
      <c r="BS54" s="242">
        <f t="shared" ref="BS54" si="1163">IF(BS53&gt;0,$E53/$F53,0)</f>
        <v>0</v>
      </c>
      <c r="BT54" s="242">
        <f t="shared" ref="BT54" si="1164">IF(BT53&gt;0,$E53/$F53,0)</f>
        <v>0</v>
      </c>
      <c r="BU54" s="242">
        <f t="shared" ref="BU54" si="1165">IF(BU53&gt;0,$E53/$F53,0)</f>
        <v>0</v>
      </c>
      <c r="BV54" s="242">
        <f t="shared" ref="BV54" si="1166">IF(BV53&gt;0,$E53/$F53,0)</f>
        <v>0</v>
      </c>
      <c r="BW54" s="125"/>
      <c r="BX54" s="242">
        <f>IF(BX53&gt;0,$E53/$F53,0)</f>
        <v>0</v>
      </c>
      <c r="BY54" s="242">
        <f t="shared" ref="BY54" si="1167">IF(BY53&gt;0,$E53/$F53,0)</f>
        <v>0</v>
      </c>
      <c r="BZ54" s="242">
        <f t="shared" ref="BZ54" si="1168">IF(BZ53&gt;0,$E53/$F53,0)</f>
        <v>0</v>
      </c>
      <c r="CA54" s="242">
        <f t="shared" ref="CA54" si="1169">IF(CA53&gt;0,$E53/$F53,0)</f>
        <v>0</v>
      </c>
      <c r="CB54" s="242">
        <f t="shared" ref="CB54" si="1170">IF(CB53&gt;0,$E53/$F53,0)</f>
        <v>0</v>
      </c>
      <c r="CC54" s="242">
        <f t="shared" ref="CC54" si="1171">IF(CC53&gt;0,$E53/$F53,0)</f>
        <v>0</v>
      </c>
      <c r="CD54" s="242">
        <f t="shared" ref="CD54" si="1172">IF(CD53&gt;0,$E53/$F53,0)</f>
        <v>0</v>
      </c>
      <c r="CE54" s="242">
        <f t="shared" ref="CE54" si="1173">IF(CE53&gt;0,$E53/$F53,0)</f>
        <v>0</v>
      </c>
      <c r="CF54" s="242">
        <f t="shared" ref="CF54" si="1174">IF(CF53&gt;0,$E53/$F53,0)</f>
        <v>0</v>
      </c>
      <c r="CG54" s="242">
        <f t="shared" ref="CG54" si="1175">IF(CG53&gt;0,$E53/$F53,0)</f>
        <v>0</v>
      </c>
      <c r="CH54" s="242">
        <f t="shared" ref="CH54" si="1176">IF(CH53&gt;0,$E53/$F53,0)</f>
        <v>0</v>
      </c>
      <c r="CI54" s="242">
        <f t="shared" ref="CI54" si="1177">IF(CI53&gt;0,$E53/$F53,0)</f>
        <v>0</v>
      </c>
      <c r="CJ54" s="125"/>
    </row>
    <row r="55" spans="1:88" ht="82.5" customHeight="1">
      <c r="A55" s="279">
        <v>25</v>
      </c>
      <c r="B55" s="285" t="s">
        <v>213</v>
      </c>
      <c r="C55" s="278" t="s">
        <v>208</v>
      </c>
      <c r="D55" s="279">
        <v>8</v>
      </c>
      <c r="E55" s="280">
        <v>24698</v>
      </c>
      <c r="F55" s="281">
        <f t="shared" ref="F55" si="1178">COUNTA(K55:V55,X55:AI55,AK55:AV55,AX55:BI55,BK55:BV55,BX55:CI55)</f>
        <v>0</v>
      </c>
      <c r="G55" s="136"/>
      <c r="H55" s="136"/>
      <c r="I55" s="136"/>
      <c r="J55" s="137"/>
      <c r="K55" s="136"/>
      <c r="L55" s="136"/>
      <c r="M55" s="136"/>
      <c r="N55" s="136"/>
      <c r="O55" s="135"/>
      <c r="P55" s="136"/>
      <c r="Q55" s="136"/>
      <c r="R55" s="136"/>
      <c r="S55" s="166"/>
      <c r="T55" s="136"/>
      <c r="U55" s="135"/>
      <c r="V55" s="136"/>
      <c r="W55" s="222">
        <f t="shared" ref="W55" si="1179">IF(K55="РНВ",$E55,IF(L55="РНВ",$E55,IF(M55="РНВ",$E55,IF(N55="РНВ",$E55,IF(O55="РНВ",$E55,IF(P55="РНВ",$E55,IF(Q55="РНВ",$E55,IF(R55="РНВ",$E55,IF(S55="РНВ",$E55,IF(T55="РНВ",$E55,IF(U55="РНВ",$E55,IF(V55="РНВ",$E55,0))))))))))))</f>
        <v>0</v>
      </c>
      <c r="X55" s="135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222">
        <f t="shared" ref="AJ55" si="1180">IF(X55="РНВ",$E55,IF(Y55="РНВ",$E55,IF(Z55="РНВ",$E55,IF(AA55="РНВ",$E55,IF(AB55="РНВ",$E55,IF(AC55="РНВ",$E55,IF(AD55="РНВ",$E55,IF(AE55="РНВ",$E55,IF(AF55="РНВ",$E55,IF(AG55="РНВ",$E55,IF(AH55="РНВ",$E55,IF(AI55="РНВ",$E55,0))))))))))))</f>
        <v>0</v>
      </c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222">
        <f t="shared" ref="AW55" si="1181">IF(AK55="РНВ",$E55,IF(AL55="РНВ",$E55,IF(AM55="РНВ",$E55,IF(AN55="РНВ",$E55,IF(AO55="РНВ",$E55,IF(AP55="РНВ",$E55,IF(AQ55="РНВ",$E55,IF(AR55="РНВ",$E55,IF(AS55="РНВ",$E55,IF(AT55="РНВ",$E55,IF(AU55="РНВ",$E55,IF(AV55="РНВ",$E55,0))))))))))))</f>
        <v>0</v>
      </c>
      <c r="AX55" s="136"/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  <c r="BI55" s="136"/>
      <c r="BJ55" s="222">
        <f t="shared" ref="BJ55" si="1182">IF(AX55="РНВ",$E55,IF(AY55="РНВ",$E55,IF(AZ55="РНВ",$E55,IF(BA55="РНВ",$E55,IF(BB55="РНВ",$E55,IF(BC55="РНВ",$E55,IF(BD55="РНВ",$E55,IF(BE55="РНВ",$E55,IF(BF55="РНВ",$E55,IF(BG55="РНВ",$E55,IF(BH55="РНВ",$E55,IF(BI55="РНВ",$E55,0))))))))))))</f>
        <v>0</v>
      </c>
      <c r="BK55" s="136"/>
      <c r="BL55" s="136"/>
      <c r="BM55" s="136"/>
      <c r="BN55" s="136"/>
      <c r="BO55" s="136"/>
      <c r="BP55" s="136"/>
      <c r="BQ55" s="136"/>
      <c r="BR55" s="136"/>
      <c r="BS55" s="136"/>
      <c r="BT55" s="136"/>
      <c r="BU55" s="136"/>
      <c r="BV55" s="136"/>
      <c r="BW55" s="222">
        <f t="shared" ref="BW55" si="1183">IF(BK55="РНВ",$E55,IF(BL55="РНВ",$E55,IF(BM55="РНВ",$E55,IF(BN55="РНВ",$E55,IF(BO55="РНВ",$E55,IF(BP55="РНВ",$E55,IF(BQ55="РНВ",$E55,IF(BR55="РНВ",$E55,IF(BS55="РНВ",$E55,IF(BT55="РНВ",$E55,IF(BU55="РНВ",$E55,IF(BV55="РНВ",$E55,0))))))))))))</f>
        <v>0</v>
      </c>
      <c r="BX55" s="136"/>
      <c r="BY55" s="136"/>
      <c r="BZ55" s="136"/>
      <c r="CA55" s="136"/>
      <c r="CB55" s="136"/>
      <c r="CC55" s="136"/>
      <c r="CD55" s="136"/>
      <c r="CE55" s="136"/>
      <c r="CF55" s="136"/>
      <c r="CG55" s="136"/>
      <c r="CH55" s="136"/>
      <c r="CI55" s="136"/>
      <c r="CJ55" s="222">
        <f t="shared" ref="CJ55" si="1184">IF(BX55="РНВ",$E55,IF(BY55="РНВ",$E55,IF(BZ55="РНВ",$E55,IF(CA55="РНВ",$E55,IF(CB55="РНВ",$E55,IF(CC55="РНВ",$E55,IF(CD55="РНВ",$E55,IF(CE55="РНВ",$E55,IF(CF55="РНВ",$E55,IF(CG55="РНВ",$E55,IF(CH55="РНВ",$E55,IF(CI55="РНВ",$E55,0))))))))))))</f>
        <v>0</v>
      </c>
    </row>
    <row r="56" spans="1:88" ht="21" customHeight="1">
      <c r="A56" s="279"/>
      <c r="B56" s="279"/>
      <c r="C56" s="278"/>
      <c r="D56" s="279"/>
      <c r="E56" s="280"/>
      <c r="F56" s="279"/>
      <c r="G56" s="132"/>
      <c r="H56" s="132"/>
      <c r="I56" s="132"/>
      <c r="J56" s="125"/>
      <c r="K56" s="132"/>
      <c r="L56" s="132"/>
      <c r="M56" s="132"/>
      <c r="N56" s="132"/>
      <c r="O56" s="131"/>
      <c r="P56" s="132"/>
      <c r="Q56" s="132"/>
      <c r="R56" s="132"/>
      <c r="S56" s="167"/>
      <c r="T56" s="132"/>
      <c r="U56" s="131"/>
      <c r="V56" s="132"/>
      <c r="W56" s="125"/>
      <c r="X56" s="131"/>
      <c r="Y56" s="132"/>
      <c r="Z56" s="132"/>
      <c r="AA56" s="131"/>
      <c r="AB56" s="132"/>
      <c r="AC56" s="132"/>
      <c r="AD56" s="132"/>
      <c r="AE56" s="132"/>
      <c r="AF56" s="132"/>
      <c r="AG56" s="132"/>
      <c r="AH56" s="132"/>
      <c r="AI56" s="132"/>
      <c r="AJ56" s="125"/>
      <c r="AK56" s="242">
        <f>IF(AK55&gt;0,$E55/$F55,0)</f>
        <v>0</v>
      </c>
      <c r="AL56" s="242">
        <f t="shared" ref="AL56" si="1185">IF(AL55&gt;0,$E55/$F55,0)</f>
        <v>0</v>
      </c>
      <c r="AM56" s="242">
        <f t="shared" ref="AM56" si="1186">IF(AM55&gt;0,$E55/$F55,0)</f>
        <v>0</v>
      </c>
      <c r="AN56" s="242">
        <f t="shared" ref="AN56" si="1187">IF(AN55&gt;0,$E55/$F55,0)</f>
        <v>0</v>
      </c>
      <c r="AO56" s="242">
        <f t="shared" ref="AO56" si="1188">IF(AO55&gt;0,$E55/$F55,0)</f>
        <v>0</v>
      </c>
      <c r="AP56" s="242">
        <f t="shared" ref="AP56" si="1189">IF(AP55&gt;0,$E55/$F55,0)</f>
        <v>0</v>
      </c>
      <c r="AQ56" s="242">
        <f t="shared" ref="AQ56" si="1190">IF(AQ55&gt;0,$E55/$F55,0)</f>
        <v>0</v>
      </c>
      <c r="AR56" s="242">
        <f t="shared" ref="AR56" si="1191">IF(AR55&gt;0,$E55/$F55,0)</f>
        <v>0</v>
      </c>
      <c r="AS56" s="242">
        <f t="shared" ref="AS56" si="1192">IF(AS55&gt;0,$E55/$F55,0)</f>
        <v>0</v>
      </c>
      <c r="AT56" s="242">
        <f t="shared" ref="AT56" si="1193">IF(AT55&gt;0,$E55/$F55,0)</f>
        <v>0</v>
      </c>
      <c r="AU56" s="242">
        <f t="shared" ref="AU56" si="1194">IF(AU55&gt;0,$E55/$F55,0)</f>
        <v>0</v>
      </c>
      <c r="AV56" s="242">
        <f t="shared" ref="AV56" si="1195">IF(AV55&gt;0,$E55/$F55,0)</f>
        <v>0</v>
      </c>
      <c r="AW56" s="125"/>
      <c r="AX56" s="242">
        <f>IF(AX55&gt;0,$E55/$F55,0)</f>
        <v>0</v>
      </c>
      <c r="AY56" s="242">
        <f t="shared" ref="AY56" si="1196">IF(AY55&gt;0,$E55/$F55,0)</f>
        <v>0</v>
      </c>
      <c r="AZ56" s="242">
        <f t="shared" ref="AZ56" si="1197">IF(AZ55&gt;0,$E55/$F55,0)</f>
        <v>0</v>
      </c>
      <c r="BA56" s="242">
        <f t="shared" ref="BA56" si="1198">IF(BA55&gt;0,$E55/$F55,0)</f>
        <v>0</v>
      </c>
      <c r="BB56" s="242">
        <f t="shared" ref="BB56" si="1199">IF(BB55&gt;0,$E55/$F55,0)</f>
        <v>0</v>
      </c>
      <c r="BC56" s="242">
        <f t="shared" ref="BC56" si="1200">IF(BC55&gt;0,$E55/$F55,0)</f>
        <v>0</v>
      </c>
      <c r="BD56" s="242">
        <f t="shared" ref="BD56" si="1201">IF(BD55&gt;0,$E55/$F55,0)</f>
        <v>0</v>
      </c>
      <c r="BE56" s="242">
        <f t="shared" ref="BE56" si="1202">IF(BE55&gt;0,$E55/$F55,0)</f>
        <v>0</v>
      </c>
      <c r="BF56" s="242">
        <f t="shared" ref="BF56" si="1203">IF(BF55&gt;0,$E55/$F55,0)</f>
        <v>0</v>
      </c>
      <c r="BG56" s="242">
        <f t="shared" ref="BG56" si="1204">IF(BG55&gt;0,$E55/$F55,0)</f>
        <v>0</v>
      </c>
      <c r="BH56" s="242">
        <f t="shared" ref="BH56" si="1205">IF(BH55&gt;0,$E55/$F55,0)</f>
        <v>0</v>
      </c>
      <c r="BI56" s="242">
        <f t="shared" ref="BI56" si="1206">IF(BI55&gt;0,$E55/$F55,0)</f>
        <v>0</v>
      </c>
      <c r="BJ56" s="125"/>
      <c r="BK56" s="242">
        <f>IF(BK55&gt;0,$E55/$F55,0)</f>
        <v>0</v>
      </c>
      <c r="BL56" s="242">
        <f t="shared" ref="BL56" si="1207">IF(BL55&gt;0,$E55/$F55,0)</f>
        <v>0</v>
      </c>
      <c r="BM56" s="242">
        <f t="shared" ref="BM56" si="1208">IF(BM55&gt;0,$E55/$F55,0)</f>
        <v>0</v>
      </c>
      <c r="BN56" s="242">
        <f t="shared" ref="BN56" si="1209">IF(BN55&gt;0,$E55/$F55,0)</f>
        <v>0</v>
      </c>
      <c r="BO56" s="242">
        <f t="shared" ref="BO56" si="1210">IF(BO55&gt;0,$E55/$F55,0)</f>
        <v>0</v>
      </c>
      <c r="BP56" s="242">
        <f t="shared" ref="BP56" si="1211">IF(BP55&gt;0,$E55/$F55,0)</f>
        <v>0</v>
      </c>
      <c r="BQ56" s="242">
        <f t="shared" ref="BQ56" si="1212">IF(BQ55&gt;0,$E55/$F55,0)</f>
        <v>0</v>
      </c>
      <c r="BR56" s="242">
        <f t="shared" ref="BR56" si="1213">IF(BR55&gt;0,$E55/$F55,0)</f>
        <v>0</v>
      </c>
      <c r="BS56" s="242">
        <f t="shared" ref="BS56" si="1214">IF(BS55&gt;0,$E55/$F55,0)</f>
        <v>0</v>
      </c>
      <c r="BT56" s="242">
        <f t="shared" ref="BT56" si="1215">IF(BT55&gt;0,$E55/$F55,0)</f>
        <v>0</v>
      </c>
      <c r="BU56" s="242">
        <f t="shared" ref="BU56" si="1216">IF(BU55&gt;0,$E55/$F55,0)</f>
        <v>0</v>
      </c>
      <c r="BV56" s="242">
        <f t="shared" ref="BV56" si="1217">IF(BV55&gt;0,$E55/$F55,0)</f>
        <v>0</v>
      </c>
      <c r="BW56" s="125"/>
      <c r="BX56" s="242">
        <f>IF(BX55&gt;0,$E55/$F55,0)</f>
        <v>0</v>
      </c>
      <c r="BY56" s="242">
        <f t="shared" ref="BY56" si="1218">IF(BY55&gt;0,$E55/$F55,0)</f>
        <v>0</v>
      </c>
      <c r="BZ56" s="242">
        <f t="shared" ref="BZ56" si="1219">IF(BZ55&gt;0,$E55/$F55,0)</f>
        <v>0</v>
      </c>
      <c r="CA56" s="242">
        <f t="shared" ref="CA56" si="1220">IF(CA55&gt;0,$E55/$F55,0)</f>
        <v>0</v>
      </c>
      <c r="CB56" s="242">
        <f t="shared" ref="CB56" si="1221">IF(CB55&gt;0,$E55/$F55,0)</f>
        <v>0</v>
      </c>
      <c r="CC56" s="242">
        <f t="shared" ref="CC56" si="1222">IF(CC55&gt;0,$E55/$F55,0)</f>
        <v>0</v>
      </c>
      <c r="CD56" s="242">
        <f t="shared" ref="CD56" si="1223">IF(CD55&gt;0,$E55/$F55,0)</f>
        <v>0</v>
      </c>
      <c r="CE56" s="242">
        <f t="shared" ref="CE56" si="1224">IF(CE55&gt;0,$E55/$F55,0)</f>
        <v>0</v>
      </c>
      <c r="CF56" s="242">
        <f t="shared" ref="CF56" si="1225">IF(CF55&gt;0,$E55/$F55,0)</f>
        <v>0</v>
      </c>
      <c r="CG56" s="242">
        <f t="shared" ref="CG56" si="1226">IF(CG55&gt;0,$E55/$F55,0)</f>
        <v>0</v>
      </c>
      <c r="CH56" s="242">
        <f t="shared" ref="CH56" si="1227">IF(CH55&gt;0,$E55/$F55,0)</f>
        <v>0</v>
      </c>
      <c r="CI56" s="242">
        <f t="shared" ref="CI56" si="1228">IF(CI55&gt;0,$E55/$F55,0)</f>
        <v>0</v>
      </c>
      <c r="CJ56" s="125"/>
    </row>
    <row r="57" spans="1:88" ht="82.5" customHeight="1">
      <c r="A57" s="279">
        <v>26</v>
      </c>
      <c r="B57" s="285" t="s">
        <v>227</v>
      </c>
      <c r="C57" s="286" t="s">
        <v>242</v>
      </c>
      <c r="D57" s="279">
        <v>4</v>
      </c>
      <c r="E57" s="280">
        <v>10824.5</v>
      </c>
      <c r="F57" s="281">
        <f t="shared" ref="F57" si="1229">COUNTA(K57:V57,X57:AI57,AK57:AV57,AX57:BI57,BK57:BV57,BX57:CI57)</f>
        <v>21</v>
      </c>
      <c r="G57" s="136"/>
      <c r="H57" s="136"/>
      <c r="I57" s="136"/>
      <c r="J57" s="137"/>
      <c r="K57" s="136"/>
      <c r="L57" s="135"/>
      <c r="M57" s="136"/>
      <c r="N57" s="136"/>
      <c r="O57" s="135"/>
      <c r="P57" s="136"/>
      <c r="Q57" s="136"/>
      <c r="R57" s="136"/>
      <c r="S57" s="165"/>
      <c r="T57" s="136"/>
      <c r="U57" s="136"/>
      <c r="V57" s="136"/>
      <c r="W57" s="222">
        <f t="shared" ref="W57" si="1230">IF(K57="РНВ",$E57,IF(L57="РНВ",$E57,IF(M57="РНВ",$E57,IF(N57="РНВ",$E57,IF(O57="РНВ",$E57,IF(P57="РНВ",$E57,IF(Q57="РНВ",$E57,IF(R57="РНВ",$E57,IF(S57="РНВ",$E57,IF(T57="РНВ",$E57,IF(U57="РНВ",$E57,IF(V57="РНВ",$E57,0))))))))))))</f>
        <v>0</v>
      </c>
      <c r="X57" s="135"/>
      <c r="Y57" s="136"/>
      <c r="Z57" s="135"/>
      <c r="AA57" s="136"/>
      <c r="AB57" s="136"/>
      <c r="AC57" s="136"/>
      <c r="AD57" s="136"/>
      <c r="AE57" s="136"/>
      <c r="AF57" s="136"/>
      <c r="AG57" s="151"/>
      <c r="AH57" s="151"/>
      <c r="AI57" s="151"/>
      <c r="AJ57" s="222">
        <f t="shared" ref="AJ57" si="1231">IF(X57="РНВ",$E57,IF(Y57="РНВ",$E57,IF(Z57="РНВ",$E57,IF(AA57="РНВ",$E57,IF(AB57="РНВ",$E57,IF(AC57="РНВ",$E57,IF(AD57="РНВ",$E57,IF(AE57="РНВ",$E57,IF(AF57="РНВ",$E57,IF(AG57="РНВ",$E57,IF(AH57="РНВ",$E57,IF(AI57="РНВ",$E57,0))))))))))))</f>
        <v>0</v>
      </c>
      <c r="AK57" s="151"/>
      <c r="AL57" s="151"/>
      <c r="AM57" s="151"/>
      <c r="AN57" s="133">
        <v>1</v>
      </c>
      <c r="AO57" s="133">
        <v>1</v>
      </c>
      <c r="AP57" s="133">
        <v>1</v>
      </c>
      <c r="AQ57" s="133">
        <v>1</v>
      </c>
      <c r="AR57" s="133">
        <v>1</v>
      </c>
      <c r="AS57" s="133">
        <v>1</v>
      </c>
      <c r="AT57" s="133">
        <v>1</v>
      </c>
      <c r="AU57" s="133">
        <v>1</v>
      </c>
      <c r="AV57" s="133">
        <v>1</v>
      </c>
      <c r="AW57" s="222">
        <f t="shared" ref="AW57" si="1232">IF(AK57="РНВ",$E57,IF(AL57="РНВ",$E57,IF(AM57="РНВ",$E57,IF(AN57="РНВ",$E57,IF(AO57="РНВ",$E57,IF(AP57="РНВ",$E57,IF(AQ57="РНВ",$E57,IF(AR57="РНВ",$E57,IF(AS57="РНВ",$E57,IF(AT57="РНВ",$E57,IF(AU57="РНВ",$E57,IF(AV57="РНВ",$E57,0))))))))))))</f>
        <v>0</v>
      </c>
      <c r="AX57" s="133">
        <v>1</v>
      </c>
      <c r="AY57" s="133">
        <v>1</v>
      </c>
      <c r="AZ57" s="133">
        <v>1</v>
      </c>
      <c r="BA57" s="133">
        <v>1</v>
      </c>
      <c r="BB57" s="133">
        <v>1</v>
      </c>
      <c r="BC57" s="133">
        <v>1</v>
      </c>
      <c r="BD57" s="133">
        <v>1</v>
      </c>
      <c r="BE57" s="133">
        <v>1</v>
      </c>
      <c r="BF57" s="133">
        <v>1</v>
      </c>
      <c r="BG57" s="133">
        <v>1</v>
      </c>
      <c r="BH57" s="133">
        <v>1</v>
      </c>
      <c r="BI57" s="223" t="s">
        <v>37</v>
      </c>
      <c r="BJ57" s="222">
        <f t="shared" ref="BJ57" si="1233">IF(AX57="РНВ",$E57,IF(AY57="РНВ",$E57,IF(AZ57="РНВ",$E57,IF(BA57="РНВ",$E57,IF(BB57="РНВ",$E57,IF(BC57="РНВ",$E57,IF(BD57="РНВ",$E57,IF(BE57="РНВ",$E57,IF(BF57="РНВ",$E57,IF(BG57="РНВ",$E57,IF(BH57="РНВ",$E57,IF(BI57="РНВ",$E57,0))))))))))))</f>
        <v>10824.5</v>
      </c>
      <c r="BK57" s="136"/>
      <c r="BL57" s="135"/>
      <c r="BM57" s="136"/>
      <c r="BN57" s="135"/>
      <c r="BO57" s="136"/>
      <c r="BP57" s="136"/>
      <c r="BQ57" s="136"/>
      <c r="BR57" s="136"/>
      <c r="BS57" s="136"/>
      <c r="BT57" s="136"/>
      <c r="BU57" s="136"/>
      <c r="BV57" s="136"/>
      <c r="BW57" s="222">
        <f t="shared" ref="BW57" si="1234">IF(BK57="РНВ",$E57,IF(BL57="РНВ",$E57,IF(BM57="РНВ",$E57,IF(BN57="РНВ",$E57,IF(BO57="РНВ",$E57,IF(BP57="РНВ",$E57,IF(BQ57="РНВ",$E57,IF(BR57="РНВ",$E57,IF(BS57="РНВ",$E57,IF(BT57="РНВ",$E57,IF(BU57="РНВ",$E57,IF(BV57="РНВ",$E57,0))))))))))))</f>
        <v>0</v>
      </c>
      <c r="BX57" s="136"/>
      <c r="BY57" s="135"/>
      <c r="BZ57" s="136"/>
      <c r="CA57" s="135"/>
      <c r="CB57" s="136"/>
      <c r="CC57" s="136"/>
      <c r="CD57" s="136"/>
      <c r="CE57" s="136"/>
      <c r="CF57" s="136"/>
      <c r="CG57" s="136"/>
      <c r="CH57" s="136"/>
      <c r="CI57" s="136"/>
      <c r="CJ57" s="222">
        <f t="shared" ref="CJ57" si="1235">IF(BX57="РНВ",$E57,IF(BY57="РНВ",$E57,IF(BZ57="РНВ",$E57,IF(CA57="РНВ",$E57,IF(CB57="РНВ",$E57,IF(CC57="РНВ",$E57,IF(CD57="РНВ",$E57,IF(CE57="РНВ",$E57,IF(CF57="РНВ",$E57,IF(CG57="РНВ",$E57,IF(CH57="РНВ",$E57,IF(CI57="РНВ",$E57,0))))))))))))</f>
        <v>0</v>
      </c>
    </row>
    <row r="58" spans="1:88" ht="23.45" customHeight="1">
      <c r="A58" s="279"/>
      <c r="B58" s="279"/>
      <c r="C58" s="286"/>
      <c r="D58" s="279"/>
      <c r="E58" s="280"/>
      <c r="F58" s="279"/>
      <c r="G58" s="132"/>
      <c r="H58" s="132"/>
      <c r="I58" s="132"/>
      <c r="J58" s="125"/>
      <c r="K58" s="132"/>
      <c r="L58" s="131"/>
      <c r="M58" s="132"/>
      <c r="N58" s="132"/>
      <c r="O58" s="131"/>
      <c r="P58" s="132"/>
      <c r="Q58" s="132"/>
      <c r="R58" s="132"/>
      <c r="S58" s="168"/>
      <c r="T58" s="132"/>
      <c r="U58" s="132"/>
      <c r="V58" s="132"/>
      <c r="W58" s="125"/>
      <c r="X58" s="131"/>
      <c r="Y58" s="132"/>
      <c r="Z58" s="131"/>
      <c r="AA58" s="132"/>
      <c r="AB58" s="132"/>
      <c r="AC58" s="132"/>
      <c r="AD58" s="132"/>
      <c r="AE58" s="132"/>
      <c r="AF58" s="132"/>
      <c r="AG58" s="132"/>
      <c r="AH58" s="132"/>
      <c r="AI58" s="132"/>
      <c r="AJ58" s="125"/>
      <c r="AK58" s="242">
        <f>IF(AK57&gt;0,$E57/$F57,0)</f>
        <v>0</v>
      </c>
      <c r="AL58" s="242">
        <f t="shared" ref="AL58" si="1236">IF(AL57&gt;0,$E57/$F57,0)</f>
        <v>0</v>
      </c>
      <c r="AM58" s="242">
        <f t="shared" ref="AM58" si="1237">IF(AM57&gt;0,$E57/$F57,0)</f>
        <v>0</v>
      </c>
      <c r="AN58" s="242">
        <f t="shared" ref="AN58" si="1238">IF(AN57&gt;0,$E57/$F57,0)</f>
        <v>515.45238095238096</v>
      </c>
      <c r="AO58" s="242">
        <f t="shared" ref="AO58" si="1239">IF(AO57&gt;0,$E57/$F57,0)</f>
        <v>515.45238095238096</v>
      </c>
      <c r="AP58" s="242">
        <f t="shared" ref="AP58" si="1240">IF(AP57&gt;0,$E57/$F57,0)</f>
        <v>515.45238095238096</v>
      </c>
      <c r="AQ58" s="242">
        <f t="shared" ref="AQ58" si="1241">IF(AQ57&gt;0,$E57/$F57,0)</f>
        <v>515.45238095238096</v>
      </c>
      <c r="AR58" s="242">
        <f t="shared" ref="AR58" si="1242">IF(AR57&gt;0,$E57/$F57,0)</f>
        <v>515.45238095238096</v>
      </c>
      <c r="AS58" s="242">
        <f t="shared" ref="AS58" si="1243">IF(AS57&gt;0,$E57/$F57,0)</f>
        <v>515.45238095238096</v>
      </c>
      <c r="AT58" s="242">
        <f t="shared" ref="AT58" si="1244">IF(AT57&gt;0,$E57/$F57,0)</f>
        <v>515.45238095238096</v>
      </c>
      <c r="AU58" s="242">
        <f t="shared" ref="AU58" si="1245">IF(AU57&gt;0,$E57/$F57,0)</f>
        <v>515.45238095238096</v>
      </c>
      <c r="AV58" s="242">
        <f t="shared" ref="AV58" si="1246">IF(AV57&gt;0,$E57/$F57,0)</f>
        <v>515.45238095238096</v>
      </c>
      <c r="AW58" s="125"/>
      <c r="AX58" s="242">
        <f>IF(AX57&gt;0,$E57/$F57,0)</f>
        <v>515.45238095238096</v>
      </c>
      <c r="AY58" s="242">
        <f t="shared" ref="AY58" si="1247">IF(AY57&gt;0,$E57/$F57,0)</f>
        <v>515.45238095238096</v>
      </c>
      <c r="AZ58" s="242">
        <f t="shared" ref="AZ58" si="1248">IF(AZ57&gt;0,$E57/$F57,0)</f>
        <v>515.45238095238096</v>
      </c>
      <c r="BA58" s="242">
        <f t="shared" ref="BA58" si="1249">IF(BA57&gt;0,$E57/$F57,0)</f>
        <v>515.45238095238096</v>
      </c>
      <c r="BB58" s="242">
        <f t="shared" ref="BB58" si="1250">IF(BB57&gt;0,$E57/$F57,0)</f>
        <v>515.45238095238096</v>
      </c>
      <c r="BC58" s="242">
        <f t="shared" ref="BC58" si="1251">IF(BC57&gt;0,$E57/$F57,0)</f>
        <v>515.45238095238096</v>
      </c>
      <c r="BD58" s="242">
        <f t="shared" ref="BD58" si="1252">IF(BD57&gt;0,$E57/$F57,0)</f>
        <v>515.45238095238096</v>
      </c>
      <c r="BE58" s="242">
        <f t="shared" ref="BE58" si="1253">IF(BE57&gt;0,$E57/$F57,0)</f>
        <v>515.45238095238096</v>
      </c>
      <c r="BF58" s="242">
        <f t="shared" ref="BF58" si="1254">IF(BF57&gt;0,$E57/$F57,0)</f>
        <v>515.45238095238096</v>
      </c>
      <c r="BG58" s="242">
        <f t="shared" ref="BG58" si="1255">IF(BG57&gt;0,$E57/$F57,0)</f>
        <v>515.45238095238096</v>
      </c>
      <c r="BH58" s="242">
        <f t="shared" ref="BH58" si="1256">IF(BH57&gt;0,$E57/$F57,0)</f>
        <v>515.45238095238096</v>
      </c>
      <c r="BI58" s="242">
        <f t="shared" ref="BI58" si="1257">IF(BI57&gt;0,$E57/$F57,0)</f>
        <v>515.45238095238096</v>
      </c>
      <c r="BJ58" s="125"/>
      <c r="BK58" s="242">
        <f>IF(BK57&gt;0,$E57/$F57,0)</f>
        <v>0</v>
      </c>
      <c r="BL58" s="242">
        <f t="shared" ref="BL58" si="1258">IF(BL57&gt;0,$E57/$F57,0)</f>
        <v>0</v>
      </c>
      <c r="BM58" s="242">
        <f t="shared" ref="BM58" si="1259">IF(BM57&gt;0,$E57/$F57,0)</f>
        <v>0</v>
      </c>
      <c r="BN58" s="242">
        <f t="shared" ref="BN58" si="1260">IF(BN57&gt;0,$E57/$F57,0)</f>
        <v>0</v>
      </c>
      <c r="BO58" s="242">
        <f t="shared" ref="BO58" si="1261">IF(BO57&gt;0,$E57/$F57,0)</f>
        <v>0</v>
      </c>
      <c r="BP58" s="242">
        <f t="shared" ref="BP58" si="1262">IF(BP57&gt;0,$E57/$F57,0)</f>
        <v>0</v>
      </c>
      <c r="BQ58" s="242">
        <f t="shared" ref="BQ58" si="1263">IF(BQ57&gt;0,$E57/$F57,0)</f>
        <v>0</v>
      </c>
      <c r="BR58" s="242">
        <f t="shared" ref="BR58" si="1264">IF(BR57&gt;0,$E57/$F57,0)</f>
        <v>0</v>
      </c>
      <c r="BS58" s="242">
        <f t="shared" ref="BS58" si="1265">IF(BS57&gt;0,$E57/$F57,0)</f>
        <v>0</v>
      </c>
      <c r="BT58" s="242">
        <f t="shared" ref="BT58" si="1266">IF(BT57&gt;0,$E57/$F57,0)</f>
        <v>0</v>
      </c>
      <c r="BU58" s="242">
        <f t="shared" ref="BU58" si="1267">IF(BU57&gt;0,$E57/$F57,0)</f>
        <v>0</v>
      </c>
      <c r="BV58" s="242">
        <f t="shared" ref="BV58" si="1268">IF(BV57&gt;0,$E57/$F57,0)</f>
        <v>0</v>
      </c>
      <c r="BW58" s="125"/>
      <c r="BX58" s="242">
        <f>IF(BX57&gt;0,$E57/$F57,0)</f>
        <v>0</v>
      </c>
      <c r="BY58" s="242">
        <f t="shared" ref="BY58" si="1269">IF(BY57&gt;0,$E57/$F57,0)</f>
        <v>0</v>
      </c>
      <c r="BZ58" s="242">
        <f t="shared" ref="BZ58" si="1270">IF(BZ57&gt;0,$E57/$F57,0)</f>
        <v>0</v>
      </c>
      <c r="CA58" s="242">
        <f t="shared" ref="CA58" si="1271">IF(CA57&gt;0,$E57/$F57,0)</f>
        <v>0</v>
      </c>
      <c r="CB58" s="242">
        <f t="shared" ref="CB58" si="1272">IF(CB57&gt;0,$E57/$F57,0)</f>
        <v>0</v>
      </c>
      <c r="CC58" s="242">
        <f t="shared" ref="CC58" si="1273">IF(CC57&gt;0,$E57/$F57,0)</f>
        <v>0</v>
      </c>
      <c r="CD58" s="242">
        <f t="shared" ref="CD58" si="1274">IF(CD57&gt;0,$E57/$F57,0)</f>
        <v>0</v>
      </c>
      <c r="CE58" s="242">
        <f t="shared" ref="CE58" si="1275">IF(CE57&gt;0,$E57/$F57,0)</f>
        <v>0</v>
      </c>
      <c r="CF58" s="242">
        <f t="shared" ref="CF58" si="1276">IF(CF57&gt;0,$E57/$F57,0)</f>
        <v>0</v>
      </c>
      <c r="CG58" s="242">
        <f t="shared" ref="CG58" si="1277">IF(CG57&gt;0,$E57/$F57,0)</f>
        <v>0</v>
      </c>
      <c r="CH58" s="242">
        <f t="shared" ref="CH58" si="1278">IF(CH57&gt;0,$E57/$F57,0)</f>
        <v>0</v>
      </c>
      <c r="CI58" s="242">
        <f t="shared" ref="CI58" si="1279">IF(CI57&gt;0,$E57/$F57,0)</f>
        <v>0</v>
      </c>
      <c r="CJ58" s="125"/>
    </row>
    <row r="59" spans="1:88" ht="82.5" customHeight="1">
      <c r="A59" s="284">
        <v>27</v>
      </c>
      <c r="B59" s="285" t="s">
        <v>228</v>
      </c>
      <c r="C59" s="286" t="s">
        <v>242</v>
      </c>
      <c r="D59" s="279">
        <v>4</v>
      </c>
      <c r="E59" s="280">
        <v>10824.5</v>
      </c>
      <c r="F59" s="281">
        <f t="shared" ref="F59" si="1280">COUNTA(K59:V59,X59:AI59,AK59:AV59,AX59:BI59,BK59:BV59,BX59:CI59)</f>
        <v>21</v>
      </c>
      <c r="G59" s="157"/>
      <c r="H59" s="157"/>
      <c r="I59" s="157"/>
      <c r="J59" s="125"/>
      <c r="K59" s="157"/>
      <c r="L59" s="158"/>
      <c r="M59" s="157"/>
      <c r="N59" s="157"/>
      <c r="O59" s="158"/>
      <c r="P59" s="157"/>
      <c r="Q59" s="157"/>
      <c r="R59" s="157"/>
      <c r="S59" s="157"/>
      <c r="T59" s="157"/>
      <c r="U59" s="157"/>
      <c r="V59" s="157"/>
      <c r="W59" s="222">
        <f t="shared" ref="W59" si="1281">IF(K59="РНВ",$E59,IF(L59="РНВ",$E59,IF(M59="РНВ",$E59,IF(N59="РНВ",$E59,IF(O59="РНВ",$E59,IF(P59="РНВ",$E59,IF(Q59="РНВ",$E59,IF(R59="РНВ",$E59,IF(S59="РНВ",$E59,IF(T59="РНВ",$E59,IF(U59="РНВ",$E59,IF(V59="РНВ",$E59,0))))))))))))</f>
        <v>0</v>
      </c>
      <c r="X59" s="158"/>
      <c r="Y59" s="157"/>
      <c r="Z59" s="158"/>
      <c r="AA59" s="136"/>
      <c r="AB59" s="157"/>
      <c r="AC59" s="157"/>
      <c r="AD59" s="157"/>
      <c r="AE59" s="157"/>
      <c r="AF59" s="157"/>
      <c r="AG59" s="157"/>
      <c r="AH59" s="157"/>
      <c r="AI59" s="157"/>
      <c r="AJ59" s="222">
        <f t="shared" ref="AJ59" si="1282">IF(X59="РНВ",$E59,IF(Y59="РНВ",$E59,IF(Z59="РНВ",$E59,IF(AA59="РНВ",$E59,IF(AB59="РНВ",$E59,IF(AC59="РНВ",$E59,IF(AD59="РНВ",$E59,IF(AE59="РНВ",$E59,IF(AF59="РНВ",$E59,IF(AG59="РНВ",$E59,IF(AH59="РНВ",$E59,IF(AI59="РНВ",$E59,0))))))))))))</f>
        <v>0</v>
      </c>
      <c r="AK59" s="157"/>
      <c r="AL59" s="157"/>
      <c r="AM59" s="157"/>
      <c r="AN59" s="157"/>
      <c r="AO59" s="157"/>
      <c r="AP59" s="157"/>
      <c r="AQ59" s="157"/>
      <c r="AR59" s="157"/>
      <c r="AS59" s="157"/>
      <c r="AT59" s="157"/>
      <c r="AU59" s="157"/>
      <c r="AV59" s="157"/>
      <c r="AW59" s="222">
        <f t="shared" ref="AW59" si="1283">IF(AK59="РНВ",$E59,IF(AL59="РНВ",$E59,IF(AM59="РНВ",$E59,IF(AN59="РНВ",$E59,IF(AO59="РНВ",$E59,IF(AP59="РНВ",$E59,IF(AQ59="РНВ",$E59,IF(AR59="РНВ",$E59,IF(AS59="РНВ",$E59,IF(AT59="РНВ",$E59,IF(AU59="РНВ",$E59,IF(AV59="РНВ",$E59,0))))))))))))</f>
        <v>0</v>
      </c>
      <c r="AX59" s="157"/>
      <c r="AY59" s="157"/>
      <c r="AZ59" s="133">
        <v>1</v>
      </c>
      <c r="BA59" s="133">
        <v>1</v>
      </c>
      <c r="BB59" s="133">
        <v>1</v>
      </c>
      <c r="BC59" s="133">
        <v>1</v>
      </c>
      <c r="BD59" s="133">
        <v>1</v>
      </c>
      <c r="BE59" s="133">
        <v>1</v>
      </c>
      <c r="BF59" s="133">
        <v>1</v>
      </c>
      <c r="BG59" s="133">
        <v>1</v>
      </c>
      <c r="BH59" s="133">
        <v>1</v>
      </c>
      <c r="BI59" s="133">
        <v>1</v>
      </c>
      <c r="BJ59" s="222">
        <f t="shared" ref="BJ59" si="1284">IF(AX59="РНВ",$E59,IF(AY59="РНВ",$E59,IF(AZ59="РНВ",$E59,IF(BA59="РНВ",$E59,IF(BB59="РНВ",$E59,IF(BC59="РНВ",$E59,IF(BD59="РНВ",$E59,IF(BE59="РНВ",$E59,IF(BF59="РНВ",$E59,IF(BG59="РНВ",$E59,IF(BH59="РНВ",$E59,IF(BI59="РНВ",$E59,0))))))))))))</f>
        <v>0</v>
      </c>
      <c r="BK59" s="133">
        <v>1</v>
      </c>
      <c r="BL59" s="133">
        <v>1</v>
      </c>
      <c r="BM59" s="133">
        <v>1</v>
      </c>
      <c r="BN59" s="133">
        <v>1</v>
      </c>
      <c r="BO59" s="133">
        <v>1</v>
      </c>
      <c r="BP59" s="133">
        <v>1</v>
      </c>
      <c r="BQ59" s="133">
        <v>1</v>
      </c>
      <c r="BR59" s="133">
        <v>1</v>
      </c>
      <c r="BS59" s="133">
        <v>1</v>
      </c>
      <c r="BT59" s="133">
        <v>1</v>
      </c>
      <c r="BU59" s="223" t="s">
        <v>37</v>
      </c>
      <c r="BV59" s="157"/>
      <c r="BW59" s="222">
        <f t="shared" ref="BW59" si="1285">IF(BK59="РНВ",$E59,IF(BL59="РНВ",$E59,IF(BM59="РНВ",$E59,IF(BN59="РНВ",$E59,IF(BO59="РНВ",$E59,IF(BP59="РНВ",$E59,IF(BQ59="РНВ",$E59,IF(BR59="РНВ",$E59,IF(BS59="РНВ",$E59,IF(BT59="РНВ",$E59,IF(BU59="РНВ",$E59,IF(BV59="РНВ",$E59,0))))))))))))</f>
        <v>10824.5</v>
      </c>
      <c r="BX59" s="136"/>
      <c r="BY59" s="135"/>
      <c r="BZ59" s="136"/>
      <c r="CA59" s="135"/>
      <c r="CB59" s="136"/>
      <c r="CC59" s="136"/>
      <c r="CD59" s="136"/>
      <c r="CE59" s="136"/>
      <c r="CF59" s="136"/>
      <c r="CG59" s="136"/>
      <c r="CH59" s="136"/>
      <c r="CI59" s="136"/>
      <c r="CJ59" s="222">
        <f t="shared" ref="CJ59" si="1286">IF(BX59="РНВ",$E59,IF(BY59="РНВ",$E59,IF(BZ59="РНВ",$E59,IF(CA59="РНВ",$E59,IF(CB59="РНВ",$E59,IF(CC59="РНВ",$E59,IF(CD59="РНВ",$E59,IF(CE59="РНВ",$E59,IF(CF59="РНВ",$E59,IF(CG59="РНВ",$E59,IF(CH59="РНВ",$E59,IF(CI59="РНВ",$E59,0))))))))))))</f>
        <v>0</v>
      </c>
    </row>
    <row r="60" spans="1:88" ht="19.899999999999999" customHeight="1">
      <c r="A60" s="279"/>
      <c r="B60" s="279"/>
      <c r="C60" s="286"/>
      <c r="D60" s="279"/>
      <c r="E60" s="280"/>
      <c r="F60" s="279"/>
      <c r="G60" s="132"/>
      <c r="H60" s="132"/>
      <c r="I60" s="132"/>
      <c r="J60" s="125"/>
      <c r="K60" s="132"/>
      <c r="L60" s="131"/>
      <c r="M60" s="132"/>
      <c r="N60" s="132"/>
      <c r="O60" s="131"/>
      <c r="P60" s="132"/>
      <c r="Q60" s="132"/>
      <c r="R60" s="132"/>
      <c r="S60" s="132"/>
      <c r="T60" s="132"/>
      <c r="U60" s="132"/>
      <c r="V60" s="132"/>
      <c r="W60" s="125"/>
      <c r="X60" s="131"/>
      <c r="Y60" s="132"/>
      <c r="Z60" s="131"/>
      <c r="AA60" s="132"/>
      <c r="AB60" s="132"/>
      <c r="AC60" s="132"/>
      <c r="AD60" s="132"/>
      <c r="AE60" s="132"/>
      <c r="AF60" s="132"/>
      <c r="AG60" s="132"/>
      <c r="AH60" s="132"/>
      <c r="AI60" s="132"/>
      <c r="AJ60" s="125"/>
      <c r="AK60" s="242">
        <f>IF(AK59&gt;0,$E59/$F59,0)</f>
        <v>0</v>
      </c>
      <c r="AL60" s="242">
        <f t="shared" ref="AL60" si="1287">IF(AL59&gt;0,$E59/$F59,0)</f>
        <v>0</v>
      </c>
      <c r="AM60" s="242">
        <f t="shared" ref="AM60" si="1288">IF(AM59&gt;0,$E59/$F59,0)</f>
        <v>0</v>
      </c>
      <c r="AN60" s="242">
        <f t="shared" ref="AN60" si="1289">IF(AN59&gt;0,$E59/$F59,0)</f>
        <v>0</v>
      </c>
      <c r="AO60" s="242">
        <f t="shared" ref="AO60" si="1290">IF(AO59&gt;0,$E59/$F59,0)</f>
        <v>0</v>
      </c>
      <c r="AP60" s="242">
        <f t="shared" ref="AP60" si="1291">IF(AP59&gt;0,$E59/$F59,0)</f>
        <v>0</v>
      </c>
      <c r="AQ60" s="242">
        <f t="shared" ref="AQ60" si="1292">IF(AQ59&gt;0,$E59/$F59,0)</f>
        <v>0</v>
      </c>
      <c r="AR60" s="242">
        <f t="shared" ref="AR60" si="1293">IF(AR59&gt;0,$E59/$F59,0)</f>
        <v>0</v>
      </c>
      <c r="AS60" s="242">
        <f t="shared" ref="AS60" si="1294">IF(AS59&gt;0,$E59/$F59,0)</f>
        <v>0</v>
      </c>
      <c r="AT60" s="242">
        <f t="shared" ref="AT60" si="1295">IF(AT59&gt;0,$E59/$F59,0)</f>
        <v>0</v>
      </c>
      <c r="AU60" s="242">
        <f t="shared" ref="AU60" si="1296">IF(AU59&gt;0,$E59/$F59,0)</f>
        <v>0</v>
      </c>
      <c r="AV60" s="242">
        <f t="shared" ref="AV60" si="1297">IF(AV59&gt;0,$E59/$F59,0)</f>
        <v>0</v>
      </c>
      <c r="AW60" s="125"/>
      <c r="AX60" s="242">
        <f>IF(AX59&gt;0,$E59/$F59,0)</f>
        <v>0</v>
      </c>
      <c r="AY60" s="242">
        <f t="shared" ref="AY60" si="1298">IF(AY59&gt;0,$E59/$F59,0)</f>
        <v>0</v>
      </c>
      <c r="AZ60" s="242">
        <f t="shared" ref="AZ60" si="1299">IF(AZ59&gt;0,$E59/$F59,0)</f>
        <v>515.45238095238096</v>
      </c>
      <c r="BA60" s="242">
        <f t="shared" ref="BA60" si="1300">IF(BA59&gt;0,$E59/$F59,0)</f>
        <v>515.45238095238096</v>
      </c>
      <c r="BB60" s="242">
        <f t="shared" ref="BB60" si="1301">IF(BB59&gt;0,$E59/$F59,0)</f>
        <v>515.45238095238096</v>
      </c>
      <c r="BC60" s="242">
        <f t="shared" ref="BC60" si="1302">IF(BC59&gt;0,$E59/$F59,0)</f>
        <v>515.45238095238096</v>
      </c>
      <c r="BD60" s="242">
        <f t="shared" ref="BD60" si="1303">IF(BD59&gt;0,$E59/$F59,0)</f>
        <v>515.45238095238096</v>
      </c>
      <c r="BE60" s="242">
        <f t="shared" ref="BE60" si="1304">IF(BE59&gt;0,$E59/$F59,0)</f>
        <v>515.45238095238096</v>
      </c>
      <c r="BF60" s="242">
        <f t="shared" ref="BF60" si="1305">IF(BF59&gt;0,$E59/$F59,0)</f>
        <v>515.45238095238096</v>
      </c>
      <c r="BG60" s="242">
        <f t="shared" ref="BG60" si="1306">IF(BG59&gt;0,$E59/$F59,0)</f>
        <v>515.45238095238096</v>
      </c>
      <c r="BH60" s="242">
        <f t="shared" ref="BH60" si="1307">IF(BH59&gt;0,$E59/$F59,0)</f>
        <v>515.45238095238096</v>
      </c>
      <c r="BI60" s="242">
        <f t="shared" ref="BI60" si="1308">IF(BI59&gt;0,$E59/$F59,0)</f>
        <v>515.45238095238096</v>
      </c>
      <c r="BJ60" s="125"/>
      <c r="BK60" s="242">
        <f>IF(BK59&gt;0,$E59/$F59,0)</f>
        <v>515.45238095238096</v>
      </c>
      <c r="BL60" s="242">
        <f t="shared" ref="BL60" si="1309">IF(BL59&gt;0,$E59/$F59,0)</f>
        <v>515.45238095238096</v>
      </c>
      <c r="BM60" s="242">
        <f t="shared" ref="BM60" si="1310">IF(BM59&gt;0,$E59/$F59,0)</f>
        <v>515.45238095238096</v>
      </c>
      <c r="BN60" s="242">
        <f t="shared" ref="BN60" si="1311">IF(BN59&gt;0,$E59/$F59,0)</f>
        <v>515.45238095238096</v>
      </c>
      <c r="BO60" s="242">
        <f t="shared" ref="BO60" si="1312">IF(BO59&gt;0,$E59/$F59,0)</f>
        <v>515.45238095238096</v>
      </c>
      <c r="BP60" s="242">
        <f t="shared" ref="BP60" si="1313">IF(BP59&gt;0,$E59/$F59,0)</f>
        <v>515.45238095238096</v>
      </c>
      <c r="BQ60" s="242">
        <f t="shared" ref="BQ60" si="1314">IF(BQ59&gt;0,$E59/$F59,0)</f>
        <v>515.45238095238096</v>
      </c>
      <c r="BR60" s="242">
        <f t="shared" ref="BR60" si="1315">IF(BR59&gt;0,$E59/$F59,0)</f>
        <v>515.45238095238096</v>
      </c>
      <c r="BS60" s="242">
        <f t="shared" ref="BS60" si="1316">IF(BS59&gt;0,$E59/$F59,0)</f>
        <v>515.45238095238096</v>
      </c>
      <c r="BT60" s="242">
        <f t="shared" ref="BT60" si="1317">IF(BT59&gt;0,$E59/$F59,0)</f>
        <v>515.45238095238096</v>
      </c>
      <c r="BU60" s="242">
        <f t="shared" ref="BU60" si="1318">IF(BU59&gt;0,$E59/$F59,0)</f>
        <v>515.45238095238096</v>
      </c>
      <c r="BV60" s="242">
        <f t="shared" ref="BV60" si="1319">IF(BV59&gt;0,$E59/$F59,0)</f>
        <v>0</v>
      </c>
      <c r="BW60" s="125"/>
      <c r="BX60" s="242">
        <f>IF(BX59&gt;0,$E59/$F59,0)</f>
        <v>0</v>
      </c>
      <c r="BY60" s="242">
        <f t="shared" ref="BY60" si="1320">IF(BY59&gt;0,$E59/$F59,0)</f>
        <v>0</v>
      </c>
      <c r="BZ60" s="242">
        <f t="shared" ref="BZ60" si="1321">IF(BZ59&gt;0,$E59/$F59,0)</f>
        <v>0</v>
      </c>
      <c r="CA60" s="242">
        <f t="shared" ref="CA60" si="1322">IF(CA59&gt;0,$E59/$F59,0)</f>
        <v>0</v>
      </c>
      <c r="CB60" s="242">
        <f t="shared" ref="CB60" si="1323">IF(CB59&gt;0,$E59/$F59,0)</f>
        <v>0</v>
      </c>
      <c r="CC60" s="242">
        <f t="shared" ref="CC60" si="1324">IF(CC59&gt;0,$E59/$F59,0)</f>
        <v>0</v>
      </c>
      <c r="CD60" s="242">
        <f t="shared" ref="CD60" si="1325">IF(CD59&gt;0,$E59/$F59,0)</f>
        <v>0</v>
      </c>
      <c r="CE60" s="242">
        <f t="shared" ref="CE60" si="1326">IF(CE59&gt;0,$E59/$F59,0)</f>
        <v>0</v>
      </c>
      <c r="CF60" s="242">
        <f t="shared" ref="CF60" si="1327">IF(CF59&gt;0,$E59/$F59,0)</f>
        <v>0</v>
      </c>
      <c r="CG60" s="242">
        <f t="shared" ref="CG60" si="1328">IF(CG59&gt;0,$E59/$F59,0)</f>
        <v>0</v>
      </c>
      <c r="CH60" s="242">
        <f t="shared" ref="CH60" si="1329">IF(CH59&gt;0,$E59/$F59,0)</f>
        <v>0</v>
      </c>
      <c r="CI60" s="242">
        <f t="shared" ref="CI60" si="1330">IF(CI59&gt;0,$E59/$F59,0)</f>
        <v>0</v>
      </c>
      <c r="CJ60" s="125"/>
    </row>
    <row r="61" spans="1:88" ht="87" customHeight="1">
      <c r="A61" s="309">
        <v>28</v>
      </c>
      <c r="B61" s="285" t="s">
        <v>226</v>
      </c>
      <c r="C61" s="286" t="s">
        <v>242</v>
      </c>
      <c r="D61" s="291">
        <v>1</v>
      </c>
      <c r="E61" s="293">
        <v>2700</v>
      </c>
      <c r="F61" s="281">
        <f t="shared" ref="F61" si="1331">COUNTA(K61:V61,X61:AI61,AK61:AV61,AX61:BI61,BK61:BV61,BX61:CI61)</f>
        <v>19</v>
      </c>
      <c r="G61" s="165"/>
      <c r="H61" s="157"/>
      <c r="I61" s="165"/>
      <c r="J61" s="125"/>
      <c r="K61" s="165"/>
      <c r="L61" s="158"/>
      <c r="M61" s="165"/>
      <c r="N61" s="157"/>
      <c r="O61" s="169"/>
      <c r="P61" s="157"/>
      <c r="Q61" s="165"/>
      <c r="R61" s="157"/>
      <c r="S61" s="165"/>
      <c r="T61" s="157"/>
      <c r="U61" s="165"/>
      <c r="V61" s="157"/>
      <c r="W61" s="222">
        <f t="shared" ref="W61" si="1332">IF(K61="РНВ",$E61,IF(L61="РНВ",$E61,IF(M61="РНВ",$E61,IF(N61="РНВ",$E61,IF(O61="РНВ",$E61,IF(P61="РНВ",$E61,IF(Q61="РНВ",$E61,IF(R61="РНВ",$E61,IF(S61="РНВ",$E61,IF(T61="РНВ",$E61,IF(U61="РНВ",$E61,IF(V61="РНВ",$E61,0))))))))))))</f>
        <v>0</v>
      </c>
      <c r="X61" s="158"/>
      <c r="Y61" s="165"/>
      <c r="Z61" s="158"/>
      <c r="AA61" s="136"/>
      <c r="AB61" s="157"/>
      <c r="AC61" s="165"/>
      <c r="AD61" s="157"/>
      <c r="AE61" s="165"/>
      <c r="AF61" s="157"/>
      <c r="AG61" s="157"/>
      <c r="AH61" s="157"/>
      <c r="AI61" s="165"/>
      <c r="AJ61" s="222">
        <f t="shared" ref="AJ61" si="1333">IF(X61="РНВ",$E61,IF(Y61="РНВ",$E61,IF(Z61="РНВ",$E61,IF(AA61="РНВ",$E61,IF(AB61="РНВ",$E61,IF(AC61="РНВ",$E61,IF(AD61="РНВ",$E61,IF(AE61="РНВ",$E61,IF(AF61="РНВ",$E61,IF(AG61="РНВ",$E61,IF(AH61="РНВ",$E61,IF(AI61="РНВ",$E61,0))))))))))))</f>
        <v>0</v>
      </c>
      <c r="AK61" s="165"/>
      <c r="AL61" s="157"/>
      <c r="AM61" s="165"/>
      <c r="AN61" s="157"/>
      <c r="AO61" s="165"/>
      <c r="AP61" s="157"/>
      <c r="AQ61" s="165"/>
      <c r="AR61" s="157"/>
      <c r="AS61" s="165"/>
      <c r="AT61" s="157"/>
      <c r="AU61" s="165"/>
      <c r="AV61" s="157"/>
      <c r="AW61" s="222">
        <f t="shared" ref="AW61" si="1334">IF(AK61="РНВ",$E61,IF(AL61="РНВ",$E61,IF(AM61="РНВ",$E61,IF(AN61="РНВ",$E61,IF(AO61="РНВ",$E61,IF(AP61="РНВ",$E61,IF(AQ61="РНВ",$E61,IF(AR61="РНВ",$E61,IF(AS61="РНВ",$E61,IF(AT61="РНВ",$E61,IF(AU61="РНВ",$E61,IF(AV61="РНВ",$E61,0))))))))))))</f>
        <v>0</v>
      </c>
      <c r="AX61" s="165"/>
      <c r="AY61" s="157"/>
      <c r="AZ61" s="165"/>
      <c r="BA61" s="157"/>
      <c r="BB61" s="165"/>
      <c r="BC61" s="157"/>
      <c r="BD61" s="157"/>
      <c r="BE61" s="157"/>
      <c r="BF61" s="133">
        <v>1</v>
      </c>
      <c r="BG61" s="133">
        <v>1</v>
      </c>
      <c r="BH61" s="133">
        <v>1</v>
      </c>
      <c r="BI61" s="133">
        <v>1</v>
      </c>
      <c r="BJ61" s="222">
        <f t="shared" ref="BJ61" si="1335">IF(AX61="РНВ",$E61,IF(AY61="РНВ",$E61,IF(AZ61="РНВ",$E61,IF(BA61="РНВ",$E61,IF(BB61="РНВ",$E61,IF(BC61="РНВ",$E61,IF(BD61="РНВ",$E61,IF(BE61="РНВ",$E61,IF(BF61="РНВ",$E61,IF(BG61="РНВ",$E61,IF(BH61="РНВ",$E61,IF(BI61="РНВ",$E61,0))))))))))))</f>
        <v>0</v>
      </c>
      <c r="BK61" s="133">
        <v>1</v>
      </c>
      <c r="BL61" s="133">
        <v>1</v>
      </c>
      <c r="BM61" s="133">
        <v>1</v>
      </c>
      <c r="BN61" s="133">
        <v>1</v>
      </c>
      <c r="BO61" s="133">
        <v>1</v>
      </c>
      <c r="BP61" s="133">
        <v>1</v>
      </c>
      <c r="BQ61" s="133">
        <v>1</v>
      </c>
      <c r="BR61" s="133">
        <v>1</v>
      </c>
      <c r="BS61" s="133">
        <v>1</v>
      </c>
      <c r="BT61" s="133">
        <v>1</v>
      </c>
      <c r="BU61" s="133">
        <v>1</v>
      </c>
      <c r="BV61" s="133">
        <v>1</v>
      </c>
      <c r="BW61" s="222">
        <f t="shared" ref="BW61" si="1336">IF(BK61="РНВ",$E61,IF(BL61="РНВ",$E61,IF(BM61="РНВ",$E61,IF(BN61="РНВ",$E61,IF(BO61="РНВ",$E61,IF(BP61="РНВ",$E61,IF(BQ61="РНВ",$E61,IF(BR61="РНВ",$E61,IF(BS61="РНВ",$E61,IF(BT61="РНВ",$E61,IF(BU61="РНВ",$E61,IF(BV61="РНВ",$E61,0))))))))))))</f>
        <v>0</v>
      </c>
      <c r="BX61" s="133">
        <v>1</v>
      </c>
      <c r="BY61" s="133">
        <v>1</v>
      </c>
      <c r="BZ61" s="223" t="s">
        <v>37</v>
      </c>
      <c r="CA61" s="157"/>
      <c r="CB61" s="165"/>
      <c r="CC61" s="157"/>
      <c r="CD61" s="165"/>
      <c r="CE61" s="157"/>
      <c r="CF61" s="165"/>
      <c r="CG61" s="157"/>
      <c r="CH61" s="165"/>
      <c r="CI61" s="157"/>
      <c r="CJ61" s="222">
        <f t="shared" ref="CJ61" si="1337">IF(BX61="РНВ",$E61,IF(BY61="РНВ",$E61,IF(BZ61="РНВ",$E61,IF(CA61="РНВ",$E61,IF(CB61="РНВ",$E61,IF(CC61="РНВ",$E61,IF(CD61="РНВ",$E61,IF(CE61="РНВ",$E61,IF(CF61="РНВ",$E61,IF(CG61="РНВ",$E61,IF(CH61="РНВ",$E61,IF(CI61="РНВ",$E61,0))))))))))))</f>
        <v>2700</v>
      </c>
    </row>
    <row r="62" spans="1:88" ht="19.899999999999999" customHeight="1">
      <c r="A62" s="279"/>
      <c r="B62" s="279"/>
      <c r="C62" s="286"/>
      <c r="D62" s="279"/>
      <c r="E62" s="280"/>
      <c r="F62" s="279"/>
      <c r="G62" s="132"/>
      <c r="H62" s="164"/>
      <c r="I62" s="132"/>
      <c r="J62" s="170"/>
      <c r="K62" s="132"/>
      <c r="L62" s="171"/>
      <c r="M62" s="132"/>
      <c r="N62" s="164"/>
      <c r="O62" s="131"/>
      <c r="P62" s="164"/>
      <c r="Q62" s="132"/>
      <c r="R62" s="164"/>
      <c r="S62" s="132"/>
      <c r="T62" s="164"/>
      <c r="U62" s="132"/>
      <c r="V62" s="164"/>
      <c r="W62" s="125"/>
      <c r="X62" s="171"/>
      <c r="Y62" s="132"/>
      <c r="Z62" s="171"/>
      <c r="AA62" s="132"/>
      <c r="AB62" s="164"/>
      <c r="AC62" s="132"/>
      <c r="AD62" s="164"/>
      <c r="AE62" s="132"/>
      <c r="AF62" s="164"/>
      <c r="AG62" s="132"/>
      <c r="AH62" s="164"/>
      <c r="AI62" s="132"/>
      <c r="AJ62" s="125"/>
      <c r="AK62" s="242">
        <f>IF(AK61&gt;0,$E61/$F61,0)</f>
        <v>0</v>
      </c>
      <c r="AL62" s="242">
        <f t="shared" ref="AL62" si="1338">IF(AL61&gt;0,$E61/$F61,0)</f>
        <v>0</v>
      </c>
      <c r="AM62" s="242">
        <f t="shared" ref="AM62" si="1339">IF(AM61&gt;0,$E61/$F61,0)</f>
        <v>0</v>
      </c>
      <c r="AN62" s="242">
        <f t="shared" ref="AN62" si="1340">IF(AN61&gt;0,$E61/$F61,0)</f>
        <v>0</v>
      </c>
      <c r="AO62" s="242">
        <f t="shared" ref="AO62" si="1341">IF(AO61&gt;0,$E61/$F61,0)</f>
        <v>0</v>
      </c>
      <c r="AP62" s="242">
        <f t="shared" ref="AP62" si="1342">IF(AP61&gt;0,$E61/$F61,0)</f>
        <v>0</v>
      </c>
      <c r="AQ62" s="242">
        <f t="shared" ref="AQ62" si="1343">IF(AQ61&gt;0,$E61/$F61,0)</f>
        <v>0</v>
      </c>
      <c r="AR62" s="242">
        <f t="shared" ref="AR62" si="1344">IF(AR61&gt;0,$E61/$F61,0)</f>
        <v>0</v>
      </c>
      <c r="AS62" s="242">
        <f t="shared" ref="AS62" si="1345">IF(AS61&gt;0,$E61/$F61,0)</f>
        <v>0</v>
      </c>
      <c r="AT62" s="242">
        <f t="shared" ref="AT62" si="1346">IF(AT61&gt;0,$E61/$F61,0)</f>
        <v>0</v>
      </c>
      <c r="AU62" s="242">
        <f t="shared" ref="AU62" si="1347">IF(AU61&gt;0,$E61/$F61,0)</f>
        <v>0</v>
      </c>
      <c r="AV62" s="242">
        <f t="shared" ref="AV62" si="1348">IF(AV61&gt;0,$E61/$F61,0)</f>
        <v>0</v>
      </c>
      <c r="AW62" s="125"/>
      <c r="AX62" s="242">
        <f>IF(AX61&gt;0,$E61/$F61,0)</f>
        <v>0</v>
      </c>
      <c r="AY62" s="242">
        <f t="shared" ref="AY62" si="1349">IF(AY61&gt;0,$E61/$F61,0)</f>
        <v>0</v>
      </c>
      <c r="AZ62" s="242">
        <f t="shared" ref="AZ62" si="1350">IF(AZ61&gt;0,$E61/$F61,0)</f>
        <v>0</v>
      </c>
      <c r="BA62" s="242">
        <f t="shared" ref="BA62" si="1351">IF(BA61&gt;0,$E61/$F61,0)</f>
        <v>0</v>
      </c>
      <c r="BB62" s="242">
        <f t="shared" ref="BB62" si="1352">IF(BB61&gt;0,$E61/$F61,0)</f>
        <v>0</v>
      </c>
      <c r="BC62" s="242">
        <f t="shared" ref="BC62" si="1353">IF(BC61&gt;0,$E61/$F61,0)</f>
        <v>0</v>
      </c>
      <c r="BD62" s="242">
        <f t="shared" ref="BD62" si="1354">IF(BD61&gt;0,$E61/$F61,0)</f>
        <v>0</v>
      </c>
      <c r="BE62" s="242">
        <f t="shared" ref="BE62" si="1355">IF(BE61&gt;0,$E61/$F61,0)</f>
        <v>0</v>
      </c>
      <c r="BF62" s="242">
        <f t="shared" ref="BF62" si="1356">IF(BF61&gt;0,$E61/$F61,0)</f>
        <v>142.10526315789474</v>
      </c>
      <c r="BG62" s="242">
        <f t="shared" ref="BG62" si="1357">IF(BG61&gt;0,$E61/$F61,0)</f>
        <v>142.10526315789474</v>
      </c>
      <c r="BH62" s="242">
        <f t="shared" ref="BH62" si="1358">IF(BH61&gt;0,$E61/$F61,0)</f>
        <v>142.10526315789474</v>
      </c>
      <c r="BI62" s="242">
        <f t="shared" ref="BI62" si="1359">IF(BI61&gt;0,$E61/$F61,0)</f>
        <v>142.10526315789474</v>
      </c>
      <c r="BJ62" s="125"/>
      <c r="BK62" s="242">
        <f>IF(BK61&gt;0,$E61/$F61,0)</f>
        <v>142.10526315789474</v>
      </c>
      <c r="BL62" s="242">
        <f t="shared" ref="BL62" si="1360">IF(BL61&gt;0,$E61/$F61,0)</f>
        <v>142.10526315789474</v>
      </c>
      <c r="BM62" s="242">
        <f t="shared" ref="BM62" si="1361">IF(BM61&gt;0,$E61/$F61,0)</f>
        <v>142.10526315789474</v>
      </c>
      <c r="BN62" s="242">
        <f t="shared" ref="BN62" si="1362">IF(BN61&gt;0,$E61/$F61,0)</f>
        <v>142.10526315789474</v>
      </c>
      <c r="BO62" s="242">
        <f t="shared" ref="BO62" si="1363">IF(BO61&gt;0,$E61/$F61,0)</f>
        <v>142.10526315789474</v>
      </c>
      <c r="BP62" s="242">
        <f t="shared" ref="BP62" si="1364">IF(BP61&gt;0,$E61/$F61,0)</f>
        <v>142.10526315789474</v>
      </c>
      <c r="BQ62" s="242">
        <f t="shared" ref="BQ62" si="1365">IF(BQ61&gt;0,$E61/$F61,0)</f>
        <v>142.10526315789474</v>
      </c>
      <c r="BR62" s="242">
        <f t="shared" ref="BR62" si="1366">IF(BR61&gt;0,$E61/$F61,0)</f>
        <v>142.10526315789474</v>
      </c>
      <c r="BS62" s="242">
        <f t="shared" ref="BS62" si="1367">IF(BS61&gt;0,$E61/$F61,0)</f>
        <v>142.10526315789474</v>
      </c>
      <c r="BT62" s="242">
        <f t="shared" ref="BT62" si="1368">IF(BT61&gt;0,$E61/$F61,0)</f>
        <v>142.10526315789474</v>
      </c>
      <c r="BU62" s="242">
        <f t="shared" ref="BU62" si="1369">IF(BU61&gt;0,$E61/$F61,0)</f>
        <v>142.10526315789474</v>
      </c>
      <c r="BV62" s="242">
        <f t="shared" ref="BV62" si="1370">IF(BV61&gt;0,$E61/$F61,0)</f>
        <v>142.10526315789474</v>
      </c>
      <c r="BW62" s="125"/>
      <c r="BX62" s="242">
        <f>IF(BX61&gt;0,$E61/$F61,0)</f>
        <v>142.10526315789474</v>
      </c>
      <c r="BY62" s="242">
        <f t="shared" ref="BY62" si="1371">IF(BY61&gt;0,$E61/$F61,0)</f>
        <v>142.10526315789474</v>
      </c>
      <c r="BZ62" s="242">
        <f t="shared" ref="BZ62" si="1372">IF(BZ61&gt;0,$E61/$F61,0)</f>
        <v>142.10526315789474</v>
      </c>
      <c r="CA62" s="242">
        <f t="shared" ref="CA62" si="1373">IF(CA61&gt;0,$E61/$F61,0)</f>
        <v>0</v>
      </c>
      <c r="CB62" s="242">
        <f t="shared" ref="CB62" si="1374">IF(CB61&gt;0,$E61/$F61,0)</f>
        <v>0</v>
      </c>
      <c r="CC62" s="242">
        <f t="shared" ref="CC62" si="1375">IF(CC61&gt;0,$E61/$F61,0)</f>
        <v>0</v>
      </c>
      <c r="CD62" s="242">
        <f t="shared" ref="CD62" si="1376">IF(CD61&gt;0,$E61/$F61,0)</f>
        <v>0</v>
      </c>
      <c r="CE62" s="242">
        <f t="shared" ref="CE62" si="1377">IF(CE61&gt;0,$E61/$F61,0)</f>
        <v>0</v>
      </c>
      <c r="CF62" s="242">
        <f t="shared" ref="CF62" si="1378">IF(CF61&gt;0,$E61/$F61,0)</f>
        <v>0</v>
      </c>
      <c r="CG62" s="242">
        <f t="shared" ref="CG62" si="1379">IF(CG61&gt;0,$E61/$F61,0)</f>
        <v>0</v>
      </c>
      <c r="CH62" s="242">
        <f t="shared" ref="CH62" si="1380">IF(CH61&gt;0,$E61/$F61,0)</f>
        <v>0</v>
      </c>
      <c r="CI62" s="242">
        <f t="shared" ref="CI62" si="1381">IF(CI61&gt;0,$E61/$F61,0)</f>
        <v>0</v>
      </c>
      <c r="CJ62" s="125"/>
    </row>
    <row r="63" spans="1:88" ht="82.15" customHeight="1">
      <c r="A63" s="279">
        <v>29</v>
      </c>
      <c r="B63" s="285" t="s">
        <v>229</v>
      </c>
      <c r="C63" s="286" t="s">
        <v>242</v>
      </c>
      <c r="D63" s="279">
        <v>1</v>
      </c>
      <c r="E63" s="280">
        <v>2700</v>
      </c>
      <c r="F63" s="281">
        <f t="shared" ref="F63" si="1382">COUNTA(K63:V63,X63:AI63,AK63:AV63,AX63:BI63,BK63:BV63,BX63:CI63)</f>
        <v>15</v>
      </c>
      <c r="G63" s="136"/>
      <c r="H63" s="136"/>
      <c r="I63" s="135"/>
      <c r="J63" s="172"/>
      <c r="K63" s="136"/>
      <c r="L63" s="136"/>
      <c r="M63" s="136"/>
      <c r="N63" s="135"/>
      <c r="O63" s="136"/>
      <c r="P63" s="136"/>
      <c r="Q63" s="135"/>
      <c r="R63" s="136"/>
      <c r="S63" s="136"/>
      <c r="T63" s="136"/>
      <c r="U63" s="136"/>
      <c r="V63" s="136"/>
      <c r="W63" s="222">
        <f t="shared" ref="W63" si="1383">IF(K63="РНВ",$E63,IF(L63="РНВ",$E63,IF(M63="РНВ",$E63,IF(N63="РНВ",$E63,IF(O63="РНВ",$E63,IF(P63="РНВ",$E63,IF(Q63="РНВ",$E63,IF(R63="РНВ",$E63,IF(S63="РНВ",$E63,IF(T63="РНВ",$E63,IF(U63="РНВ",$E63,IF(V63="РНВ",$E63,0))))))))))))</f>
        <v>0</v>
      </c>
      <c r="X63" s="135"/>
      <c r="Y63" s="136"/>
      <c r="Z63" s="136"/>
      <c r="AA63" s="136"/>
      <c r="AB63" s="136"/>
      <c r="AC63" s="136"/>
      <c r="AD63" s="136"/>
      <c r="AE63" s="136"/>
      <c r="AF63" s="136"/>
      <c r="AG63" s="157"/>
      <c r="AH63" s="136"/>
      <c r="AI63" s="136"/>
      <c r="AJ63" s="222">
        <f t="shared" ref="AJ63" si="1384">IF(X63="РНВ",$E63,IF(Y63="РНВ",$E63,IF(Z63="РНВ",$E63,IF(AA63="РНВ",$E63,IF(AB63="РНВ",$E63,IF(AC63="РНВ",$E63,IF(AD63="РНВ",$E63,IF(AE63="РНВ",$E63,IF(AF63="РНВ",$E63,IF(AG63="РНВ",$E63,IF(AH63="РНВ",$E63,IF(AI63="РНВ",$E63,0))))))))))))</f>
        <v>0</v>
      </c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222">
        <f t="shared" ref="AW63" si="1385">IF(AK63="РНВ",$E63,IF(AL63="РНВ",$E63,IF(AM63="РНВ",$E63,IF(AN63="РНВ",$E63,IF(AO63="РНВ",$E63,IF(AP63="РНВ",$E63,IF(AQ63="РНВ",$E63,IF(AR63="РНВ",$E63,IF(AS63="РНВ",$E63,IF(AT63="РНВ",$E63,IF(AU63="РНВ",$E63,IF(AV63="РНВ",$E63,0))))))))))))</f>
        <v>0</v>
      </c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  <c r="BI63" s="136"/>
      <c r="BJ63" s="222">
        <f t="shared" ref="BJ63" si="1386">IF(AX63="РНВ",$E63,IF(AY63="РНВ",$E63,IF(AZ63="РНВ",$E63,IF(BA63="РНВ",$E63,IF(BB63="РНВ",$E63,IF(BC63="РНВ",$E63,IF(BD63="РНВ",$E63,IF(BE63="РНВ",$E63,IF(BF63="РНВ",$E63,IF(BG63="РНВ",$E63,IF(BH63="РНВ",$E63,IF(BI63="РНВ",$E63,0))))))))))))</f>
        <v>0</v>
      </c>
      <c r="BK63" s="136"/>
      <c r="BL63" s="136"/>
      <c r="BM63" s="133">
        <v>1</v>
      </c>
      <c r="BN63" s="133">
        <v>1</v>
      </c>
      <c r="BO63" s="133">
        <v>1</v>
      </c>
      <c r="BP63" s="133">
        <v>1</v>
      </c>
      <c r="BQ63" s="133">
        <v>1</v>
      </c>
      <c r="BR63" s="133">
        <v>1</v>
      </c>
      <c r="BS63" s="133">
        <v>1</v>
      </c>
      <c r="BT63" s="133">
        <v>1</v>
      </c>
      <c r="BU63" s="133">
        <v>1</v>
      </c>
      <c r="BV63" s="133">
        <v>1</v>
      </c>
      <c r="BW63" s="222">
        <f>IF(BK63="РНВ",$E63,IF(BL63="РНВ",$E63,IF(BM63="РНВ",$E63,IF(BN63="РНВ",$E63,IF(BO63="РНВ",$E63,IF(BP63="РНВ",$E63,IF(BQ63="РНВ",$E63,IF(BR63="РНВ",$E63,IF(BS63="РНВ",$E63,IF(BT63="РНВ",$E63,IF(BU63="РНВ",$E63,IF(BV63="РНВ",$E63,0))))))))))))</f>
        <v>0</v>
      </c>
      <c r="BX63" s="133">
        <v>1</v>
      </c>
      <c r="BY63" s="133">
        <v>1</v>
      </c>
      <c r="BZ63" s="133">
        <v>1</v>
      </c>
      <c r="CA63" s="133">
        <v>1</v>
      </c>
      <c r="CB63" s="223" t="s">
        <v>37</v>
      </c>
      <c r="CC63" s="157"/>
      <c r="CD63" s="157"/>
      <c r="CE63" s="136"/>
      <c r="CF63" s="136"/>
      <c r="CG63" s="136"/>
      <c r="CH63" s="136"/>
      <c r="CI63" s="136"/>
      <c r="CJ63" s="222">
        <f t="shared" ref="CJ63" si="1387">IF(BX63="РНВ",$E63,IF(BY63="РНВ",$E63,IF(BZ63="РНВ",$E63,IF(CA63="РНВ",$E63,IF(CB63="РНВ",$E63,IF(CC63="РНВ",$E63,IF(CD63="РНВ",$E63,IF(CE63="РНВ",$E63,IF(CF63="РНВ",$E63,IF(CG63="РНВ",$E63,IF(CH63="РНВ",$E63,IF(CI63="РНВ",$E63,0))))))))))))</f>
        <v>2700</v>
      </c>
    </row>
    <row r="64" spans="1:88" ht="22.15" customHeight="1">
      <c r="A64" s="279"/>
      <c r="B64" s="279"/>
      <c r="C64" s="286"/>
      <c r="D64" s="279"/>
      <c r="E64" s="280"/>
      <c r="F64" s="279"/>
      <c r="G64" s="173"/>
      <c r="H64" s="173"/>
      <c r="I64" s="174"/>
      <c r="J64" s="172"/>
      <c r="K64" s="173"/>
      <c r="L64" s="173"/>
      <c r="M64" s="173"/>
      <c r="N64" s="174"/>
      <c r="O64" s="173"/>
      <c r="P64" s="173"/>
      <c r="Q64" s="174"/>
      <c r="R64" s="173"/>
      <c r="S64" s="173"/>
      <c r="T64" s="173"/>
      <c r="U64" s="173"/>
      <c r="V64" s="164"/>
      <c r="W64" s="125"/>
      <c r="X64" s="174"/>
      <c r="Y64" s="173"/>
      <c r="Z64" s="173"/>
      <c r="AA64" s="173"/>
      <c r="AB64" s="173"/>
      <c r="AC64" s="173"/>
      <c r="AD64" s="173"/>
      <c r="AE64" s="173"/>
      <c r="AF64" s="173"/>
      <c r="AG64" s="173"/>
      <c r="AH64" s="173"/>
      <c r="AI64" s="173"/>
      <c r="AJ64" s="125"/>
      <c r="AK64" s="242">
        <f>IF(AK63&gt;0,$E63/$F63,0)</f>
        <v>0</v>
      </c>
      <c r="AL64" s="242">
        <f t="shared" ref="AL64" si="1388">IF(AL63&gt;0,$E63/$F63,0)</f>
        <v>0</v>
      </c>
      <c r="AM64" s="242">
        <f t="shared" ref="AM64" si="1389">IF(AM63&gt;0,$E63/$F63,0)</f>
        <v>0</v>
      </c>
      <c r="AN64" s="242">
        <f t="shared" ref="AN64" si="1390">IF(AN63&gt;0,$E63/$F63,0)</f>
        <v>0</v>
      </c>
      <c r="AO64" s="242">
        <f t="shared" ref="AO64" si="1391">IF(AO63&gt;0,$E63/$F63,0)</f>
        <v>0</v>
      </c>
      <c r="AP64" s="242">
        <f t="shared" ref="AP64" si="1392">IF(AP63&gt;0,$E63/$F63,0)</f>
        <v>0</v>
      </c>
      <c r="AQ64" s="242">
        <f t="shared" ref="AQ64" si="1393">IF(AQ63&gt;0,$E63/$F63,0)</f>
        <v>0</v>
      </c>
      <c r="AR64" s="242">
        <f t="shared" ref="AR64" si="1394">IF(AR63&gt;0,$E63/$F63,0)</f>
        <v>0</v>
      </c>
      <c r="AS64" s="242">
        <f t="shared" ref="AS64" si="1395">IF(AS63&gt;0,$E63/$F63,0)</f>
        <v>0</v>
      </c>
      <c r="AT64" s="242">
        <f t="shared" ref="AT64" si="1396">IF(AT63&gt;0,$E63/$F63,0)</f>
        <v>0</v>
      </c>
      <c r="AU64" s="242">
        <f t="shared" ref="AU64" si="1397">IF(AU63&gt;0,$E63/$F63,0)</f>
        <v>0</v>
      </c>
      <c r="AV64" s="242">
        <f t="shared" ref="AV64" si="1398">IF(AV63&gt;0,$E63/$F63,0)</f>
        <v>0</v>
      </c>
      <c r="AW64" s="125"/>
      <c r="AX64" s="242">
        <f>IF(AX63&gt;0,$E63/$F63,0)</f>
        <v>0</v>
      </c>
      <c r="AY64" s="242">
        <f t="shared" ref="AY64" si="1399">IF(AY63&gt;0,$E63/$F63,0)</f>
        <v>0</v>
      </c>
      <c r="AZ64" s="242">
        <f t="shared" ref="AZ64" si="1400">IF(AZ63&gt;0,$E63/$F63,0)</f>
        <v>0</v>
      </c>
      <c r="BA64" s="242">
        <f t="shared" ref="BA64" si="1401">IF(BA63&gt;0,$E63/$F63,0)</f>
        <v>0</v>
      </c>
      <c r="BB64" s="242">
        <f t="shared" ref="BB64" si="1402">IF(BB63&gt;0,$E63/$F63,0)</f>
        <v>0</v>
      </c>
      <c r="BC64" s="242">
        <f t="shared" ref="BC64" si="1403">IF(BC63&gt;0,$E63/$F63,0)</f>
        <v>0</v>
      </c>
      <c r="BD64" s="242">
        <f t="shared" ref="BD64" si="1404">IF(BD63&gt;0,$E63/$F63,0)</f>
        <v>0</v>
      </c>
      <c r="BE64" s="242">
        <f t="shared" ref="BE64" si="1405">IF(BE63&gt;0,$E63/$F63,0)</f>
        <v>0</v>
      </c>
      <c r="BF64" s="242">
        <f t="shared" ref="BF64" si="1406">IF(BF63&gt;0,$E63/$F63,0)</f>
        <v>0</v>
      </c>
      <c r="BG64" s="242">
        <f t="shared" ref="BG64" si="1407">IF(BG63&gt;0,$E63/$F63,0)</f>
        <v>0</v>
      </c>
      <c r="BH64" s="242">
        <f t="shared" ref="BH64" si="1408">IF(BH63&gt;0,$E63/$F63,0)</f>
        <v>0</v>
      </c>
      <c r="BI64" s="242">
        <f t="shared" ref="BI64" si="1409">IF(BI63&gt;0,$E63/$F63,0)</f>
        <v>0</v>
      </c>
      <c r="BJ64" s="125"/>
      <c r="BK64" s="242">
        <f>IF(BK63&gt;0,$E63/$F63,0)</f>
        <v>0</v>
      </c>
      <c r="BL64" s="242">
        <f t="shared" ref="BL64" si="1410">IF(BL63&gt;0,$E63/$F63,0)</f>
        <v>0</v>
      </c>
      <c r="BM64" s="242">
        <f>IF(BM63&gt;0,$E63/$F63,0)</f>
        <v>180</v>
      </c>
      <c r="BN64" s="242">
        <f t="shared" ref="BN64" si="1411">IF(BN63&gt;0,$E63/$F63,0)</f>
        <v>180</v>
      </c>
      <c r="BO64" s="242">
        <f t="shared" ref="BO64" si="1412">IF(BO63&gt;0,$E63/$F63,0)</f>
        <v>180</v>
      </c>
      <c r="BP64" s="242">
        <f t="shared" ref="BP64" si="1413">IF(BP63&gt;0,$E63/$F63,0)</f>
        <v>180</v>
      </c>
      <c r="BQ64" s="242">
        <f t="shared" ref="BQ64" si="1414">IF(BQ63&gt;0,$E63/$F63,0)</f>
        <v>180</v>
      </c>
      <c r="BR64" s="242">
        <f t="shared" ref="BR64" si="1415">IF(BR63&gt;0,$E63/$F63,0)</f>
        <v>180</v>
      </c>
      <c r="BS64" s="242">
        <f>IF(BS63&gt;0,$E63/$F63,0)</f>
        <v>180</v>
      </c>
      <c r="BT64" s="242">
        <f t="shared" ref="BT64" si="1416">IF(BT63&gt;0,$E63/$F63,0)</f>
        <v>180</v>
      </c>
      <c r="BU64" s="242">
        <f t="shared" ref="BU64" si="1417">IF(BU63&gt;0,$E63/$F63,0)</f>
        <v>180</v>
      </c>
      <c r="BV64" s="242">
        <f t="shared" ref="BV64" si="1418">IF(BV63&gt;0,$E63/$F63,0)</f>
        <v>180</v>
      </c>
      <c r="BW64" s="125"/>
      <c r="BX64" s="242">
        <f>IF(BX63&gt;0,$E63/$F63,0)</f>
        <v>180</v>
      </c>
      <c r="BY64" s="242">
        <f t="shared" ref="BY64" si="1419">IF(BY63&gt;0,$E63/$F63,0)</f>
        <v>180</v>
      </c>
      <c r="BZ64" s="242">
        <f t="shared" ref="BZ64" si="1420">IF(BZ63&gt;0,$E63/$F63,0)</f>
        <v>180</v>
      </c>
      <c r="CA64" s="242">
        <f t="shared" ref="CA64" si="1421">IF(CA63&gt;0,$E63/$F63,0)</f>
        <v>180</v>
      </c>
      <c r="CB64" s="242">
        <f t="shared" ref="CB64" si="1422">IF(CB63&gt;0,$E63/$F63,0)</f>
        <v>180</v>
      </c>
      <c r="CC64" s="242">
        <f t="shared" ref="CC64" si="1423">IF(CC63&gt;0,$E63/$F63,0)</f>
        <v>0</v>
      </c>
      <c r="CD64" s="242">
        <f t="shared" ref="CD64" si="1424">IF(CD63&gt;0,$E63/$F63,0)</f>
        <v>0</v>
      </c>
      <c r="CE64" s="242">
        <f t="shared" ref="CE64" si="1425">IF(CE63&gt;0,$E63/$F63,0)</f>
        <v>0</v>
      </c>
      <c r="CF64" s="242">
        <f t="shared" ref="CF64" si="1426">IF(CF63&gt;0,$E63/$F63,0)</f>
        <v>0</v>
      </c>
      <c r="CG64" s="242">
        <f t="shared" ref="CG64" si="1427">IF(CG63&gt;0,$E63/$F63,0)</f>
        <v>0</v>
      </c>
      <c r="CH64" s="242">
        <f t="shared" ref="CH64" si="1428">IF(CH63&gt;0,$E63/$F63,0)</f>
        <v>0</v>
      </c>
      <c r="CI64" s="242">
        <f t="shared" ref="CI64" si="1429">IF(CI63&gt;0,$E63/$F63,0)</f>
        <v>0</v>
      </c>
      <c r="CJ64" s="125"/>
    </row>
    <row r="65" spans="1:88" ht="82.5" customHeight="1">
      <c r="A65" s="279">
        <v>30</v>
      </c>
      <c r="B65" s="285" t="s">
        <v>230</v>
      </c>
      <c r="C65" s="286" t="s">
        <v>242</v>
      </c>
      <c r="D65" s="279">
        <v>1</v>
      </c>
      <c r="E65" s="280">
        <v>2700</v>
      </c>
      <c r="F65" s="281">
        <f t="shared" ref="F65" si="1430">COUNTA(K65:V65,X65:AI65,AK65:AV65,AX65:BI65,BK65:BV65,BX65:CI65)</f>
        <v>15</v>
      </c>
      <c r="G65" s="136"/>
      <c r="H65" s="136"/>
      <c r="I65" s="136"/>
      <c r="J65" s="137"/>
      <c r="K65" s="136"/>
      <c r="L65" s="135"/>
      <c r="M65" s="136"/>
      <c r="N65" s="136"/>
      <c r="O65" s="135"/>
      <c r="P65" s="136"/>
      <c r="Q65" s="136"/>
      <c r="R65" s="136"/>
      <c r="S65" s="165"/>
      <c r="T65" s="136"/>
      <c r="U65" s="136"/>
      <c r="V65" s="136"/>
      <c r="W65" s="222">
        <f t="shared" ref="W65" si="1431">IF(K65="РНВ",$E65,IF(L65="РНВ",$E65,IF(M65="РНВ",$E65,IF(N65="РНВ",$E65,IF(O65="РНВ",$E65,IF(P65="РНВ",$E65,IF(Q65="РНВ",$E65,IF(R65="РНВ",$E65,IF(S65="РНВ",$E65,IF(T65="РНВ",$E65,IF(U65="РНВ",$E65,IF(V65="РНВ",$E65,0))))))))))))</f>
        <v>0</v>
      </c>
      <c r="X65" s="135"/>
      <c r="Y65" s="136"/>
      <c r="Z65" s="135"/>
      <c r="AA65" s="136"/>
      <c r="AB65" s="136"/>
      <c r="AC65" s="136"/>
      <c r="AD65" s="136"/>
      <c r="AE65" s="136"/>
      <c r="AF65" s="136"/>
      <c r="AG65" s="157"/>
      <c r="AH65" s="136"/>
      <c r="AI65" s="136"/>
      <c r="AJ65" s="222">
        <f t="shared" ref="AJ65" si="1432">IF(X65="РНВ",$E65,IF(Y65="РНВ",$E65,IF(Z65="РНВ",$E65,IF(AA65="РНВ",$E65,IF(AB65="РНВ",$E65,IF(AC65="РНВ",$E65,IF(AD65="РНВ",$E65,IF(AE65="РНВ",$E65,IF(AF65="РНВ",$E65,IF(AG65="РНВ",$E65,IF(AH65="РНВ",$E65,IF(AI65="РНВ",$E65,0))))))))))))</f>
        <v>0</v>
      </c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222">
        <f t="shared" ref="AW65" si="1433">IF(AK65="РНВ",$E65,IF(AL65="РНВ",$E65,IF(AM65="РНВ",$E65,IF(AN65="РНВ",$E65,IF(AO65="РНВ",$E65,IF(AP65="РНВ",$E65,IF(AQ65="РНВ",$E65,IF(AR65="РНВ",$E65,IF(AS65="РНВ",$E65,IF(AT65="РНВ",$E65,IF(AU65="РНВ",$E65,IF(AV65="РНВ",$E65,0))))))))))))</f>
        <v>0</v>
      </c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  <c r="BJ65" s="222">
        <f t="shared" ref="BJ65" si="1434">IF(AX65="РНВ",$E65,IF(AY65="РНВ",$E65,IF(AZ65="РНВ",$E65,IF(BA65="РНВ",$E65,IF(BB65="РНВ",$E65,IF(BC65="РНВ",$E65,IF(BD65="РНВ",$E65,IF(BE65="РНВ",$E65,IF(BF65="РНВ",$E65,IF(BG65="РНВ",$E65,IF(BH65="РНВ",$E65,IF(BI65="РНВ",$E65,0))))))))))))</f>
        <v>0</v>
      </c>
      <c r="BK65" s="136"/>
      <c r="BL65" s="136"/>
      <c r="BM65" s="136"/>
      <c r="BN65" s="136"/>
      <c r="BO65" s="136"/>
      <c r="BP65" s="136"/>
      <c r="BQ65" s="136"/>
      <c r="BR65" s="136"/>
      <c r="BS65" s="136"/>
      <c r="BT65" s="133">
        <v>1</v>
      </c>
      <c r="BU65" s="133">
        <v>1</v>
      </c>
      <c r="BV65" s="133">
        <v>1</v>
      </c>
      <c r="BW65" s="222">
        <f t="shared" ref="BW65" si="1435">IF(BK65="РНВ",$E65,IF(BL65="РНВ",$E65,IF(BM65="РНВ",$E65,IF(BN65="РНВ",$E65,IF(BO65="РНВ",$E65,IF(BP65="РНВ",$E65,IF(BQ65="РНВ",$E65,IF(BR65="РНВ",$E65,IF(BS65="РНВ",$E65,IF(BT65="РНВ",$E65,IF(BU65="РНВ",$E65,IF(BV65="РНВ",$E65,0))))))))))))</f>
        <v>0</v>
      </c>
      <c r="BX65" s="133">
        <v>1</v>
      </c>
      <c r="BY65" s="133">
        <v>1</v>
      </c>
      <c r="BZ65" s="133">
        <v>1</v>
      </c>
      <c r="CA65" s="133">
        <v>1</v>
      </c>
      <c r="CB65" s="133">
        <v>1</v>
      </c>
      <c r="CC65" s="133">
        <v>1</v>
      </c>
      <c r="CD65" s="133">
        <v>1</v>
      </c>
      <c r="CE65" s="133">
        <v>1</v>
      </c>
      <c r="CF65" s="133">
        <v>1</v>
      </c>
      <c r="CG65" s="133">
        <v>1</v>
      </c>
      <c r="CH65" s="133">
        <v>1</v>
      </c>
      <c r="CI65" s="223" t="s">
        <v>37</v>
      </c>
      <c r="CJ65" s="222">
        <f t="shared" ref="CJ65" si="1436">IF(BX65="РНВ",$E65,IF(BY65="РНВ",$E65,IF(BZ65="РНВ",$E65,IF(CA65="РНВ",$E65,IF(CB65="РНВ",$E65,IF(CC65="РНВ",$E65,IF(CD65="РНВ",$E65,IF(CE65="РНВ",$E65,IF(CF65="РНВ",$E65,IF(CG65="РНВ",$E65,IF(CH65="РНВ",$E65,IF(CI65="РНВ",$E65,0))))))))))))</f>
        <v>2700</v>
      </c>
    </row>
    <row r="66" spans="1:88" ht="23.45" customHeight="1">
      <c r="A66" s="279"/>
      <c r="B66" s="279"/>
      <c r="C66" s="286"/>
      <c r="D66" s="279"/>
      <c r="E66" s="280"/>
      <c r="F66" s="279"/>
      <c r="G66" s="132"/>
      <c r="H66" s="132"/>
      <c r="I66" s="132"/>
      <c r="J66" s="125"/>
      <c r="K66" s="132"/>
      <c r="L66" s="131"/>
      <c r="M66" s="132"/>
      <c r="N66" s="132"/>
      <c r="O66" s="131"/>
      <c r="P66" s="132"/>
      <c r="Q66" s="132"/>
      <c r="R66" s="132"/>
      <c r="S66" s="168"/>
      <c r="T66" s="132"/>
      <c r="U66" s="132"/>
      <c r="V66" s="132"/>
      <c r="W66" s="125"/>
      <c r="X66" s="131"/>
      <c r="Y66" s="132"/>
      <c r="Z66" s="131"/>
      <c r="AA66" s="132"/>
      <c r="AB66" s="132"/>
      <c r="AC66" s="132"/>
      <c r="AD66" s="132"/>
      <c r="AE66" s="132"/>
      <c r="AF66" s="132"/>
      <c r="AG66" s="132"/>
      <c r="AH66" s="132"/>
      <c r="AI66" s="132"/>
      <c r="AJ66" s="125"/>
      <c r="AK66" s="242">
        <f>IF(AK65&gt;0,$E65/$F65,0)</f>
        <v>0</v>
      </c>
      <c r="AL66" s="242">
        <f t="shared" ref="AL66" si="1437">IF(AL65&gt;0,$E65/$F65,0)</f>
        <v>0</v>
      </c>
      <c r="AM66" s="242">
        <f t="shared" ref="AM66" si="1438">IF(AM65&gt;0,$E65/$F65,0)</f>
        <v>0</v>
      </c>
      <c r="AN66" s="242">
        <f t="shared" ref="AN66" si="1439">IF(AN65&gt;0,$E65/$F65,0)</f>
        <v>0</v>
      </c>
      <c r="AO66" s="242">
        <f t="shared" ref="AO66" si="1440">IF(AO65&gt;0,$E65/$F65,0)</f>
        <v>0</v>
      </c>
      <c r="AP66" s="242">
        <f t="shared" ref="AP66" si="1441">IF(AP65&gt;0,$E65/$F65,0)</f>
        <v>0</v>
      </c>
      <c r="AQ66" s="242">
        <f t="shared" ref="AQ66" si="1442">IF(AQ65&gt;0,$E65/$F65,0)</f>
        <v>0</v>
      </c>
      <c r="AR66" s="242">
        <f t="shared" ref="AR66" si="1443">IF(AR65&gt;0,$E65/$F65,0)</f>
        <v>0</v>
      </c>
      <c r="AS66" s="242">
        <f t="shared" ref="AS66" si="1444">IF(AS65&gt;0,$E65/$F65,0)</f>
        <v>0</v>
      </c>
      <c r="AT66" s="242">
        <f t="shared" ref="AT66" si="1445">IF(AT65&gt;0,$E65/$F65,0)</f>
        <v>0</v>
      </c>
      <c r="AU66" s="242">
        <f t="shared" ref="AU66" si="1446">IF(AU65&gt;0,$E65/$F65,0)</f>
        <v>0</v>
      </c>
      <c r="AV66" s="242">
        <f t="shared" ref="AV66" si="1447">IF(AV65&gt;0,$E65/$F65,0)</f>
        <v>0</v>
      </c>
      <c r="AW66" s="125"/>
      <c r="AX66" s="242">
        <f>IF(AX65&gt;0,$E65/$F65,0)</f>
        <v>0</v>
      </c>
      <c r="AY66" s="242">
        <f t="shared" ref="AY66" si="1448">IF(AY65&gt;0,$E65/$F65,0)</f>
        <v>0</v>
      </c>
      <c r="AZ66" s="242">
        <f t="shared" ref="AZ66" si="1449">IF(AZ65&gt;0,$E65/$F65,0)</f>
        <v>0</v>
      </c>
      <c r="BA66" s="242">
        <f t="shared" ref="BA66" si="1450">IF(BA65&gt;0,$E65/$F65,0)</f>
        <v>0</v>
      </c>
      <c r="BB66" s="242">
        <f t="shared" ref="BB66" si="1451">IF(BB65&gt;0,$E65/$F65,0)</f>
        <v>0</v>
      </c>
      <c r="BC66" s="242">
        <f t="shared" ref="BC66" si="1452">IF(BC65&gt;0,$E65/$F65,0)</f>
        <v>0</v>
      </c>
      <c r="BD66" s="242">
        <f t="shared" ref="BD66" si="1453">IF(BD65&gt;0,$E65/$F65,0)</f>
        <v>0</v>
      </c>
      <c r="BE66" s="242">
        <f t="shared" ref="BE66" si="1454">IF(BE65&gt;0,$E65/$F65,0)</f>
        <v>0</v>
      </c>
      <c r="BF66" s="242">
        <f t="shared" ref="BF66" si="1455">IF(BF65&gt;0,$E65/$F65,0)</f>
        <v>0</v>
      </c>
      <c r="BG66" s="242">
        <f t="shared" ref="BG66" si="1456">IF(BG65&gt;0,$E65/$F65,0)</f>
        <v>0</v>
      </c>
      <c r="BH66" s="242">
        <f t="shared" ref="BH66" si="1457">IF(BH65&gt;0,$E65/$F65,0)</f>
        <v>0</v>
      </c>
      <c r="BI66" s="242">
        <f t="shared" ref="BI66" si="1458">IF(BI65&gt;0,$E65/$F65,0)</f>
        <v>0</v>
      </c>
      <c r="BJ66" s="125"/>
      <c r="BK66" s="242">
        <f>IF(BK65&gt;0,$E65/$F65,0)</f>
        <v>0</v>
      </c>
      <c r="BL66" s="242">
        <f t="shared" ref="BL66" si="1459">IF(BL65&gt;0,$E65/$F65,0)</f>
        <v>0</v>
      </c>
      <c r="BM66" s="242">
        <f t="shared" ref="BM66" si="1460">IF(BM65&gt;0,$E65/$F65,0)</f>
        <v>0</v>
      </c>
      <c r="BN66" s="242">
        <f t="shared" ref="BN66" si="1461">IF(BN65&gt;0,$E65/$F65,0)</f>
        <v>0</v>
      </c>
      <c r="BO66" s="242">
        <f t="shared" ref="BO66" si="1462">IF(BO65&gt;0,$E65/$F65,0)</f>
        <v>0</v>
      </c>
      <c r="BP66" s="242">
        <f t="shared" ref="BP66" si="1463">IF(BP65&gt;0,$E65/$F65,0)</f>
        <v>0</v>
      </c>
      <c r="BQ66" s="242">
        <f t="shared" ref="BQ66" si="1464">IF(BQ65&gt;0,$E65/$F65,0)</f>
        <v>0</v>
      </c>
      <c r="BR66" s="242">
        <f t="shared" ref="BR66" si="1465">IF(BR65&gt;0,$E65/$F65,0)</f>
        <v>0</v>
      </c>
      <c r="BS66" s="242">
        <f t="shared" ref="BS66" si="1466">IF(BS65&gt;0,$E65/$F65,0)</f>
        <v>0</v>
      </c>
      <c r="BT66" s="242">
        <f t="shared" ref="BT66" si="1467">IF(BT65&gt;0,$E65/$F65,0)</f>
        <v>180</v>
      </c>
      <c r="BU66" s="242">
        <f t="shared" ref="BU66" si="1468">IF(BU65&gt;0,$E65/$F65,0)</f>
        <v>180</v>
      </c>
      <c r="BV66" s="242">
        <f t="shared" ref="BV66" si="1469">IF(BV65&gt;0,$E65/$F65,0)</f>
        <v>180</v>
      </c>
      <c r="BW66" s="125"/>
      <c r="BX66" s="242">
        <f>IF(BX65&gt;0,$E65/$F65,0)</f>
        <v>180</v>
      </c>
      <c r="BY66" s="242">
        <f t="shared" ref="BY66" si="1470">IF(BY65&gt;0,$E65/$F65,0)</f>
        <v>180</v>
      </c>
      <c r="BZ66" s="242">
        <f t="shared" ref="BZ66" si="1471">IF(BZ65&gt;0,$E65/$F65,0)</f>
        <v>180</v>
      </c>
      <c r="CA66" s="242">
        <f t="shared" ref="CA66" si="1472">IF(CA65&gt;0,$E65/$F65,0)</f>
        <v>180</v>
      </c>
      <c r="CB66" s="242">
        <f t="shared" ref="CB66" si="1473">IF(CB65&gt;0,$E65/$F65,0)</f>
        <v>180</v>
      </c>
      <c r="CC66" s="242">
        <f t="shared" ref="CC66" si="1474">IF(CC65&gt;0,$E65/$F65,0)</f>
        <v>180</v>
      </c>
      <c r="CD66" s="242">
        <f t="shared" ref="CD66" si="1475">IF(CD65&gt;0,$E65/$F65,0)</f>
        <v>180</v>
      </c>
      <c r="CE66" s="242">
        <f t="shared" ref="CE66" si="1476">IF(CE65&gt;0,$E65/$F65,0)</f>
        <v>180</v>
      </c>
      <c r="CF66" s="242">
        <f t="shared" ref="CF66" si="1477">IF(CF65&gt;0,$E65/$F65,0)</f>
        <v>180</v>
      </c>
      <c r="CG66" s="242">
        <f t="shared" ref="CG66" si="1478">IF(CG65&gt;0,$E65/$F65,0)</f>
        <v>180</v>
      </c>
      <c r="CH66" s="242">
        <f t="shared" ref="CH66" si="1479">IF(CH65&gt;0,$E65/$F65,0)</f>
        <v>180</v>
      </c>
      <c r="CI66" s="242">
        <f t="shared" ref="CI66" si="1480">IF(CI65&gt;0,$E65/$F65,0)</f>
        <v>180</v>
      </c>
      <c r="CJ66" s="125"/>
    </row>
    <row r="67" spans="1:88" ht="82.5" customHeight="1">
      <c r="A67" s="284">
        <v>31</v>
      </c>
      <c r="B67" s="282" t="s">
        <v>219</v>
      </c>
      <c r="C67" s="283" t="s">
        <v>243</v>
      </c>
      <c r="D67" s="279">
        <v>6</v>
      </c>
      <c r="E67" s="280">
        <v>19380</v>
      </c>
      <c r="F67" s="281">
        <f t="shared" ref="F67" si="1481">COUNTA(K67:V67,X67:AI67,AK67:AV67,AX67:BI67,BK67:BV67,BX67:CI67)</f>
        <v>27</v>
      </c>
      <c r="G67" s="157"/>
      <c r="H67" s="157"/>
      <c r="I67" s="157"/>
      <c r="J67" s="125"/>
      <c r="K67" s="157"/>
      <c r="L67" s="158"/>
      <c r="M67" s="157"/>
      <c r="N67" s="157"/>
      <c r="O67" s="158"/>
      <c r="P67" s="157"/>
      <c r="Q67" s="157"/>
      <c r="R67" s="157"/>
      <c r="S67" s="157"/>
      <c r="T67" s="157"/>
      <c r="U67" s="157"/>
      <c r="V67" s="157"/>
      <c r="W67" s="222">
        <f t="shared" ref="W67" si="1482">IF(K67="РНВ",$E67,IF(L67="РНВ",$E67,IF(M67="РНВ",$E67,IF(N67="РНВ",$E67,IF(O67="РНВ",$E67,IF(P67="РНВ",$E67,IF(Q67="РНВ",$E67,IF(R67="РНВ",$E67,IF(S67="РНВ",$E67,IF(T67="РНВ",$E67,IF(U67="РНВ",$E67,IF(V67="РНВ",$E67,0))))))))))))</f>
        <v>0</v>
      </c>
      <c r="X67" s="158"/>
      <c r="Y67" s="157"/>
      <c r="Z67" s="158"/>
      <c r="AA67" s="157"/>
      <c r="AB67" s="157"/>
      <c r="AC67" s="157"/>
      <c r="AD67" s="157"/>
      <c r="AE67" s="157"/>
      <c r="AF67" s="157"/>
      <c r="AG67" s="136"/>
      <c r="AH67" s="157"/>
      <c r="AI67" s="157"/>
      <c r="AJ67" s="222">
        <f t="shared" ref="AJ67" si="1483">IF(X67="РНВ",$E67,IF(Y67="РНВ",$E67,IF(Z67="РНВ",$E67,IF(AA67="РНВ",$E67,IF(AB67="РНВ",$E67,IF(AC67="РНВ",$E67,IF(AD67="РНВ",$E67,IF(AE67="РНВ",$E67,IF(AF67="РНВ",$E67,IF(AG67="РНВ",$E67,IF(AH67="РНВ",$E67,IF(AI67="РНВ",$E67,0))))))))))))</f>
        <v>0</v>
      </c>
      <c r="AK67" s="157"/>
      <c r="AL67" s="157"/>
      <c r="AM67" s="259">
        <v>1</v>
      </c>
      <c r="AN67" s="259">
        <v>1</v>
      </c>
      <c r="AO67" s="259">
        <v>1</v>
      </c>
      <c r="AP67" s="259">
        <v>1</v>
      </c>
      <c r="AQ67" s="259">
        <v>1</v>
      </c>
      <c r="AR67" s="259">
        <v>1</v>
      </c>
      <c r="AS67" s="133">
        <v>1</v>
      </c>
      <c r="AT67" s="133">
        <v>1</v>
      </c>
      <c r="AU67" s="133">
        <v>1</v>
      </c>
      <c r="AV67" s="133">
        <v>1</v>
      </c>
      <c r="AW67" s="222">
        <f t="shared" ref="AW67" si="1484">IF(AK67="РНВ",$E67,IF(AL67="РНВ",$E67,IF(AM67="РНВ",$E67,IF(AN67="РНВ",$E67,IF(AO67="РНВ",$E67,IF(AP67="РНВ",$E67,IF(AQ67="РНВ",$E67,IF(AR67="РНВ",$E67,IF(AS67="РНВ",$E67,IF(AT67="РНВ",$E67,IF(AU67="РНВ",$E67,IF(AV67="РНВ",$E67,0))))))))))))</f>
        <v>0</v>
      </c>
      <c r="AX67" s="133">
        <v>1</v>
      </c>
      <c r="AY67" s="133">
        <v>1</v>
      </c>
      <c r="AZ67" s="133">
        <v>1</v>
      </c>
      <c r="BA67" s="133">
        <v>1</v>
      </c>
      <c r="BB67" s="133">
        <v>1</v>
      </c>
      <c r="BC67" s="133">
        <v>1</v>
      </c>
      <c r="BD67" s="133">
        <v>1</v>
      </c>
      <c r="BE67" s="133">
        <v>1</v>
      </c>
      <c r="BF67" s="133">
        <v>1</v>
      </c>
      <c r="BG67" s="133">
        <v>1</v>
      </c>
      <c r="BH67" s="133">
        <v>1</v>
      </c>
      <c r="BI67" s="133">
        <v>1</v>
      </c>
      <c r="BJ67" s="222">
        <f t="shared" ref="BJ67" si="1485">IF(AX67="РНВ",$E67,IF(AY67="РНВ",$E67,IF(AZ67="РНВ",$E67,IF(BA67="РНВ",$E67,IF(BB67="РНВ",$E67,IF(BC67="РНВ",$E67,IF(BD67="РНВ",$E67,IF(BE67="РНВ",$E67,IF(BF67="РНВ",$E67,IF(BG67="РНВ",$E67,IF(BH67="РНВ",$E67,IF(BI67="РНВ",$E67,0))))))))))))</f>
        <v>0</v>
      </c>
      <c r="BK67" s="133">
        <v>1</v>
      </c>
      <c r="BL67" s="133">
        <v>1</v>
      </c>
      <c r="BM67" s="133">
        <v>1</v>
      </c>
      <c r="BN67" s="133">
        <v>1</v>
      </c>
      <c r="BO67" s="223" t="s">
        <v>37</v>
      </c>
      <c r="BP67" s="157"/>
      <c r="BQ67" s="157"/>
      <c r="BR67" s="157"/>
      <c r="BS67" s="157"/>
      <c r="BT67" s="157"/>
      <c r="BU67" s="157"/>
      <c r="BV67" s="157"/>
      <c r="BW67" s="222">
        <f t="shared" ref="BW67" si="1486">IF(BK67="РНВ",$E67,IF(BL67="РНВ",$E67,IF(BM67="РНВ",$E67,IF(BN67="РНВ",$E67,IF(BO67="РНВ",$E67,IF(BP67="РНВ",$E67,IF(BQ67="РНВ",$E67,IF(BR67="РНВ",$E67,IF(BS67="РНВ",$E67,IF(BT67="РНВ",$E67,IF(BU67="РНВ",$E67,IF(BV67="РНВ",$E67,0))))))))))))</f>
        <v>19380</v>
      </c>
      <c r="BX67" s="157"/>
      <c r="BY67" s="157"/>
      <c r="BZ67" s="157"/>
      <c r="CA67" s="157"/>
      <c r="CB67" s="157"/>
      <c r="CC67" s="157"/>
      <c r="CD67" s="157"/>
      <c r="CE67" s="157"/>
      <c r="CF67" s="157"/>
      <c r="CG67" s="157"/>
      <c r="CH67" s="157"/>
      <c r="CI67" s="157"/>
      <c r="CJ67" s="222">
        <f t="shared" ref="CJ67" si="1487">IF(BX67="РНВ",$E67,IF(BY67="РНВ",$E67,IF(BZ67="РНВ",$E67,IF(CA67="РНВ",$E67,IF(CB67="РНВ",$E67,IF(CC67="РНВ",$E67,IF(CD67="РНВ",$E67,IF(CE67="РНВ",$E67,IF(CF67="РНВ",$E67,IF(CG67="РНВ",$E67,IF(CH67="РНВ",$E67,IF(CI67="РНВ",$E67,0))))))))))))</f>
        <v>0</v>
      </c>
    </row>
    <row r="68" spans="1:88" ht="19.899999999999999" customHeight="1">
      <c r="A68" s="279"/>
      <c r="B68" s="279"/>
      <c r="C68" s="283"/>
      <c r="D68" s="279"/>
      <c r="E68" s="280"/>
      <c r="F68" s="279"/>
      <c r="G68" s="132"/>
      <c r="H68" s="132"/>
      <c r="I68" s="132"/>
      <c r="J68" s="125"/>
      <c r="K68" s="132"/>
      <c r="L68" s="131"/>
      <c r="M68" s="132"/>
      <c r="N68" s="132"/>
      <c r="O68" s="131"/>
      <c r="P68" s="132"/>
      <c r="Q68" s="132"/>
      <c r="R68" s="132"/>
      <c r="S68" s="132"/>
      <c r="T68" s="132"/>
      <c r="U68" s="132"/>
      <c r="V68" s="132"/>
      <c r="W68" s="125"/>
      <c r="X68" s="131"/>
      <c r="Y68" s="132"/>
      <c r="Z68" s="131"/>
      <c r="AA68" s="132"/>
      <c r="AB68" s="132"/>
      <c r="AC68" s="132"/>
      <c r="AD68" s="132"/>
      <c r="AE68" s="132"/>
      <c r="AF68" s="132"/>
      <c r="AG68" s="132"/>
      <c r="AH68" s="132"/>
      <c r="AI68" s="132"/>
      <c r="AJ68" s="125"/>
      <c r="AK68" s="242">
        <f>IF(AK67&gt;0,$E67/$F67,0)</f>
        <v>0</v>
      </c>
      <c r="AL68" s="242">
        <f t="shared" ref="AL68" si="1488">IF(AL67&gt;0,$E67/$F67,0)</f>
        <v>0</v>
      </c>
      <c r="AM68" s="242">
        <f t="shared" ref="AM68" si="1489">IF(AM67&gt;0,$E67/$F67,0)</f>
        <v>717.77777777777783</v>
      </c>
      <c r="AN68" s="242">
        <f t="shared" ref="AN68" si="1490">IF(AN67&gt;0,$E67/$F67,0)</f>
        <v>717.77777777777783</v>
      </c>
      <c r="AO68" s="242">
        <f t="shared" ref="AO68" si="1491">IF(AO67&gt;0,$E67/$F67,0)</f>
        <v>717.77777777777783</v>
      </c>
      <c r="AP68" s="242">
        <f t="shared" ref="AP68" si="1492">IF(AP67&gt;0,$E67/$F67,0)</f>
        <v>717.77777777777783</v>
      </c>
      <c r="AQ68" s="242">
        <f t="shared" ref="AQ68" si="1493">IF(AQ67&gt;0,$E67/$F67,0)</f>
        <v>717.77777777777783</v>
      </c>
      <c r="AR68" s="242">
        <f t="shared" ref="AR68" si="1494">IF(AR67&gt;0,$E67/$F67,0)</f>
        <v>717.77777777777783</v>
      </c>
      <c r="AS68" s="242">
        <f t="shared" ref="AS68" si="1495">IF(AS67&gt;0,$E67/$F67,0)</f>
        <v>717.77777777777783</v>
      </c>
      <c r="AT68" s="242">
        <f t="shared" ref="AT68" si="1496">IF(AT67&gt;0,$E67/$F67,0)</f>
        <v>717.77777777777783</v>
      </c>
      <c r="AU68" s="242">
        <f t="shared" ref="AU68" si="1497">IF(AU67&gt;0,$E67/$F67,0)</f>
        <v>717.77777777777783</v>
      </c>
      <c r="AV68" s="242">
        <f t="shared" ref="AV68" si="1498">IF(AV67&gt;0,$E67/$F67,0)</f>
        <v>717.77777777777783</v>
      </c>
      <c r="AW68" s="125"/>
      <c r="AX68" s="242">
        <f>IF(AX67&gt;0,$E67/$F67,0)</f>
        <v>717.77777777777783</v>
      </c>
      <c r="AY68" s="242">
        <f t="shared" ref="AY68" si="1499">IF(AY67&gt;0,$E67/$F67,0)</f>
        <v>717.77777777777783</v>
      </c>
      <c r="AZ68" s="242">
        <f t="shared" ref="AZ68" si="1500">IF(AZ67&gt;0,$E67/$F67,0)</f>
        <v>717.77777777777783</v>
      </c>
      <c r="BA68" s="242">
        <f t="shared" ref="BA68" si="1501">IF(BA67&gt;0,$E67/$F67,0)</f>
        <v>717.77777777777783</v>
      </c>
      <c r="BB68" s="242">
        <f t="shared" ref="BB68" si="1502">IF(BB67&gt;0,$E67/$F67,0)</f>
        <v>717.77777777777783</v>
      </c>
      <c r="BC68" s="242">
        <f t="shared" ref="BC68" si="1503">IF(BC67&gt;0,$E67/$F67,0)</f>
        <v>717.77777777777783</v>
      </c>
      <c r="BD68" s="242">
        <f t="shared" ref="BD68" si="1504">IF(BD67&gt;0,$E67/$F67,0)</f>
        <v>717.77777777777783</v>
      </c>
      <c r="BE68" s="242">
        <f t="shared" ref="BE68" si="1505">IF(BE67&gt;0,$E67/$F67,0)</f>
        <v>717.77777777777783</v>
      </c>
      <c r="BF68" s="242">
        <f t="shared" ref="BF68" si="1506">IF(BF67&gt;0,$E67/$F67,0)</f>
        <v>717.77777777777783</v>
      </c>
      <c r="BG68" s="242">
        <f t="shared" ref="BG68" si="1507">IF(BG67&gt;0,$E67/$F67,0)</f>
        <v>717.77777777777783</v>
      </c>
      <c r="BH68" s="242">
        <f t="shared" ref="BH68" si="1508">IF(BH67&gt;0,$E67/$F67,0)</f>
        <v>717.77777777777783</v>
      </c>
      <c r="BI68" s="242">
        <f t="shared" ref="BI68" si="1509">IF(BI67&gt;0,$E67/$F67,0)</f>
        <v>717.77777777777783</v>
      </c>
      <c r="BJ68" s="125"/>
      <c r="BK68" s="242">
        <f>IF(BK67&gt;0,$E67/$F67,0)</f>
        <v>717.77777777777783</v>
      </c>
      <c r="BL68" s="242">
        <f t="shared" ref="BL68" si="1510">IF(BL67&gt;0,$E67/$F67,0)</f>
        <v>717.77777777777783</v>
      </c>
      <c r="BM68" s="242">
        <f t="shared" ref="BM68" si="1511">IF(BM67&gt;0,$E67/$F67,0)</f>
        <v>717.77777777777783</v>
      </c>
      <c r="BN68" s="242">
        <f t="shared" ref="BN68" si="1512">IF(BN67&gt;0,$E67/$F67,0)</f>
        <v>717.77777777777783</v>
      </c>
      <c r="BO68" s="242">
        <f t="shared" ref="BO68" si="1513">IF(BO67&gt;0,$E67/$F67,0)</f>
        <v>717.77777777777783</v>
      </c>
      <c r="BP68" s="242">
        <f t="shared" ref="BP68" si="1514">IF(BP67&gt;0,$E67/$F67,0)</f>
        <v>0</v>
      </c>
      <c r="BQ68" s="242">
        <f t="shared" ref="BQ68" si="1515">IF(BQ67&gt;0,$E67/$F67,0)</f>
        <v>0</v>
      </c>
      <c r="BR68" s="242">
        <f t="shared" ref="BR68" si="1516">IF(BR67&gt;0,$E67/$F67,0)</f>
        <v>0</v>
      </c>
      <c r="BS68" s="242">
        <f t="shared" ref="BS68" si="1517">IF(BS67&gt;0,$E67/$F67,0)</f>
        <v>0</v>
      </c>
      <c r="BT68" s="242">
        <f t="shared" ref="BT68" si="1518">IF(BT67&gt;0,$E67/$F67,0)</f>
        <v>0</v>
      </c>
      <c r="BU68" s="242">
        <f t="shared" ref="BU68" si="1519">IF(BU67&gt;0,$E67/$F67,0)</f>
        <v>0</v>
      </c>
      <c r="BV68" s="242">
        <f t="shared" ref="BV68" si="1520">IF(BV67&gt;0,$E67/$F67,0)</f>
        <v>0</v>
      </c>
      <c r="BW68" s="125"/>
      <c r="BX68" s="132"/>
      <c r="BY68" s="132"/>
      <c r="BZ68" s="132"/>
      <c r="CA68" s="132"/>
      <c r="CB68" s="132"/>
      <c r="CC68" s="132"/>
      <c r="CD68" s="132"/>
      <c r="CE68" s="132"/>
      <c r="CF68" s="132"/>
      <c r="CG68" s="132"/>
      <c r="CH68" s="132"/>
      <c r="CI68" s="132"/>
      <c r="CJ68" s="125"/>
    </row>
    <row r="69" spans="1:88" ht="82.5" customHeight="1">
      <c r="A69" s="284">
        <v>32</v>
      </c>
      <c r="B69" s="282" t="s">
        <v>220</v>
      </c>
      <c r="C69" s="286" t="s">
        <v>242</v>
      </c>
      <c r="D69" s="279">
        <v>2</v>
      </c>
      <c r="E69" s="280">
        <v>6683</v>
      </c>
      <c r="F69" s="281">
        <f t="shared" ref="F69" si="1521">COUNTA(K69:V69,X69:AI69,AK69:AV69,AX69:BI69,BK69:BV69,BX69:CI69)</f>
        <v>23</v>
      </c>
      <c r="G69" s="157"/>
      <c r="H69" s="157"/>
      <c r="I69" s="157"/>
      <c r="J69" s="125"/>
      <c r="K69" s="157"/>
      <c r="L69" s="158"/>
      <c r="M69" s="157"/>
      <c r="N69" s="157"/>
      <c r="O69" s="158"/>
      <c r="P69" s="157"/>
      <c r="Q69" s="157"/>
      <c r="R69" s="157"/>
      <c r="S69" s="157"/>
      <c r="T69" s="157"/>
      <c r="U69" s="157"/>
      <c r="V69" s="157"/>
      <c r="W69" s="222">
        <f t="shared" ref="W69" si="1522">IF(K69="РНВ",$E69,IF(L69="РНВ",$E69,IF(M69="РНВ",$E69,IF(N69="РНВ",$E69,IF(O69="РНВ",$E69,IF(P69="РНВ",$E69,IF(Q69="РНВ",$E69,IF(R69="РНВ",$E69,IF(S69="РНВ",$E69,IF(T69="РНВ",$E69,IF(U69="РНВ",$E69,IF(V69="РНВ",$E69,0))))))))))))</f>
        <v>0</v>
      </c>
      <c r="X69" s="158"/>
      <c r="Y69" s="157"/>
      <c r="Z69" s="158"/>
      <c r="AA69" s="157"/>
      <c r="AB69" s="157"/>
      <c r="AC69" s="157"/>
      <c r="AD69" s="157"/>
      <c r="AE69" s="157"/>
      <c r="AF69" s="157"/>
      <c r="AG69" s="136"/>
      <c r="AH69" s="157"/>
      <c r="AI69" s="157"/>
      <c r="AJ69" s="222">
        <f t="shared" ref="AJ69" si="1523">IF(X69="РНВ",$E69,IF(Y69="РНВ",$E69,IF(Z69="РНВ",$E69,IF(AA69="РНВ",$E69,IF(AB69="РНВ",$E69,IF(AC69="РНВ",$E69,IF(AD69="РНВ",$E69,IF(AE69="РНВ",$E69,IF(AF69="РНВ",$E69,IF(AG69="РНВ",$E69,IF(AH69="РНВ",$E69,IF(AI69="РНВ",$E69,0))))))))))))</f>
        <v>0</v>
      </c>
      <c r="AK69" s="157"/>
      <c r="AL69" s="157"/>
      <c r="AM69" s="157"/>
      <c r="AN69" s="157"/>
      <c r="AO69" s="157"/>
      <c r="AP69" s="157"/>
      <c r="AQ69" s="157"/>
      <c r="AR69" s="157"/>
      <c r="AS69" s="151"/>
      <c r="AT69" s="151"/>
      <c r="AU69" s="151"/>
      <c r="AV69" s="151"/>
      <c r="AW69" s="222">
        <f t="shared" ref="AW69" si="1524">IF(AK69="РНВ",$E69,IF(AL69="РНВ",$E69,IF(AM69="РНВ",$E69,IF(AN69="РНВ",$E69,IF(AO69="РНВ",$E69,IF(AP69="РНВ",$E69,IF(AQ69="РНВ",$E69,IF(AR69="РНВ",$E69,IF(AS69="РНВ",$E69,IF(AT69="РНВ",$E69,IF(AU69="РНВ",$E69,IF(AV69="РНВ",$E69,0))))))))))))</f>
        <v>0</v>
      </c>
      <c r="AX69" s="157"/>
      <c r="AY69" s="157"/>
      <c r="AZ69" s="157"/>
      <c r="BA69" s="157"/>
      <c r="BB69" s="157"/>
      <c r="BC69" s="259">
        <v>1</v>
      </c>
      <c r="BD69" s="259">
        <v>1</v>
      </c>
      <c r="BE69" s="259">
        <v>1</v>
      </c>
      <c r="BF69" s="259">
        <v>1</v>
      </c>
      <c r="BG69" s="259">
        <v>1</v>
      </c>
      <c r="BH69" s="133">
        <v>1</v>
      </c>
      <c r="BI69" s="133">
        <v>1</v>
      </c>
      <c r="BJ69" s="222">
        <f t="shared" ref="BJ69" si="1525">IF(AX69="РНВ",$E69,IF(AY69="РНВ",$E69,IF(AZ69="РНВ",$E69,IF(BA69="РНВ",$E69,IF(BB69="РНВ",$E69,IF(BC69="РНВ",$E69,IF(BD69="РНВ",$E69,IF(BE69="РНВ",$E69,IF(BF69="РНВ",$E69,IF(BG69="РНВ",$E69,IF(BH69="РНВ",$E69,IF(BI69="РНВ",$E69,0))))))))))))</f>
        <v>0</v>
      </c>
      <c r="BK69" s="133">
        <v>1</v>
      </c>
      <c r="BL69" s="133">
        <v>1</v>
      </c>
      <c r="BM69" s="133">
        <v>1</v>
      </c>
      <c r="BN69" s="133">
        <v>1</v>
      </c>
      <c r="BO69" s="133">
        <v>1</v>
      </c>
      <c r="BP69" s="133">
        <v>1</v>
      </c>
      <c r="BQ69" s="133">
        <v>1</v>
      </c>
      <c r="BR69" s="133">
        <v>1</v>
      </c>
      <c r="BS69" s="133">
        <v>1</v>
      </c>
      <c r="BT69" s="133">
        <v>1</v>
      </c>
      <c r="BU69" s="133">
        <v>1</v>
      </c>
      <c r="BV69" s="133">
        <v>1</v>
      </c>
      <c r="BW69" s="222">
        <f t="shared" ref="BW69" si="1526">IF(BK69="РНВ",$E69,IF(BL69="РНВ",$E69,IF(BM69="РНВ",$E69,IF(BN69="РНВ",$E69,IF(BO69="РНВ",$E69,IF(BP69="РНВ",$E69,IF(BQ69="РНВ",$E69,IF(BR69="РНВ",$E69,IF(BS69="РНВ",$E69,IF(BT69="РНВ",$E69,IF(BU69="РНВ",$E69,IF(BV69="РНВ",$E69,0))))))))))))</f>
        <v>0</v>
      </c>
      <c r="BX69" s="133">
        <v>1</v>
      </c>
      <c r="BY69" s="133">
        <v>1</v>
      </c>
      <c r="BZ69" s="133">
        <v>1</v>
      </c>
      <c r="CA69" s="223" t="s">
        <v>37</v>
      </c>
      <c r="CB69" s="157"/>
      <c r="CC69" s="157"/>
      <c r="CD69" s="157"/>
      <c r="CE69" s="157"/>
      <c r="CF69" s="157"/>
      <c r="CG69" s="157"/>
      <c r="CH69" s="157"/>
      <c r="CI69" s="157"/>
      <c r="CJ69" s="222">
        <f t="shared" ref="CJ69" si="1527">IF(BX69="РНВ",$E69,IF(BY69="РНВ",$E69,IF(BZ69="РНВ",$E69,IF(CA69="РНВ",$E69,IF(CB69="РНВ",$E69,IF(CC69="РНВ",$E69,IF(CD69="РНВ",$E69,IF(CE69="РНВ",$E69,IF(CF69="РНВ",$E69,IF(CG69="РНВ",$E69,IF(CH69="РНВ",$E69,IF(CI69="РНВ",$E69,0))))))))))))</f>
        <v>6683</v>
      </c>
    </row>
    <row r="70" spans="1:88" ht="19.899999999999999" customHeight="1">
      <c r="A70" s="279"/>
      <c r="B70" s="279"/>
      <c r="C70" s="286"/>
      <c r="D70" s="279"/>
      <c r="E70" s="280"/>
      <c r="F70" s="279"/>
      <c r="G70" s="132"/>
      <c r="H70" s="132"/>
      <c r="I70" s="132"/>
      <c r="J70" s="125"/>
      <c r="K70" s="132"/>
      <c r="L70" s="131"/>
      <c r="M70" s="132"/>
      <c r="N70" s="132"/>
      <c r="O70" s="131"/>
      <c r="P70" s="132"/>
      <c r="Q70" s="132"/>
      <c r="R70" s="132"/>
      <c r="S70" s="132"/>
      <c r="T70" s="132"/>
      <c r="U70" s="132"/>
      <c r="V70" s="132"/>
      <c r="W70" s="125"/>
      <c r="X70" s="131"/>
      <c r="Y70" s="132"/>
      <c r="Z70" s="131"/>
      <c r="AA70" s="132"/>
      <c r="AB70" s="132"/>
      <c r="AC70" s="132"/>
      <c r="AD70" s="132"/>
      <c r="AE70" s="132"/>
      <c r="AF70" s="132"/>
      <c r="AG70" s="132"/>
      <c r="AH70" s="132"/>
      <c r="AI70" s="132"/>
      <c r="AJ70" s="125"/>
      <c r="AK70" s="242">
        <f>IF(AK69&gt;0,$E69/$F69,0)</f>
        <v>0</v>
      </c>
      <c r="AL70" s="242">
        <f t="shared" ref="AL70" si="1528">IF(AL69&gt;0,$E69/$F69,0)</f>
        <v>0</v>
      </c>
      <c r="AM70" s="242">
        <f t="shared" ref="AM70" si="1529">IF(AM69&gt;0,$E69/$F69,0)</f>
        <v>0</v>
      </c>
      <c r="AN70" s="242">
        <f t="shared" ref="AN70" si="1530">IF(AN69&gt;0,$E69/$F69,0)</f>
        <v>0</v>
      </c>
      <c r="AO70" s="242">
        <f t="shared" ref="AO70" si="1531">IF(AO69&gt;0,$E69/$F69,0)</f>
        <v>0</v>
      </c>
      <c r="AP70" s="242">
        <f t="shared" ref="AP70" si="1532">IF(AP69&gt;0,$E69/$F69,0)</f>
        <v>0</v>
      </c>
      <c r="AQ70" s="242">
        <f t="shared" ref="AQ70" si="1533">IF(AQ69&gt;0,$E69/$F69,0)</f>
        <v>0</v>
      </c>
      <c r="AR70" s="242">
        <f t="shared" ref="AR70" si="1534">IF(AR69&gt;0,$E69/$F69,0)</f>
        <v>0</v>
      </c>
      <c r="AS70" s="242">
        <f t="shared" ref="AS70" si="1535">IF(AS69&gt;0,$E69/$F69,0)</f>
        <v>0</v>
      </c>
      <c r="AT70" s="242">
        <f t="shared" ref="AT70" si="1536">IF(AT69&gt;0,$E69/$F69,0)</f>
        <v>0</v>
      </c>
      <c r="AU70" s="242">
        <f t="shared" ref="AU70" si="1537">IF(AU69&gt;0,$E69/$F69,0)</f>
        <v>0</v>
      </c>
      <c r="AV70" s="242">
        <f t="shared" ref="AV70" si="1538">IF(AV69&gt;0,$E69/$F69,0)</f>
        <v>0</v>
      </c>
      <c r="AW70" s="125"/>
      <c r="AX70" s="242">
        <f>IF(AX69&gt;0,$E69/$F69,0)</f>
        <v>0</v>
      </c>
      <c r="AY70" s="242">
        <f t="shared" ref="AY70" si="1539">IF(AY69&gt;0,$E69/$F69,0)</f>
        <v>0</v>
      </c>
      <c r="AZ70" s="242">
        <f t="shared" ref="AZ70" si="1540">IF(AZ69&gt;0,$E69/$F69,0)</f>
        <v>0</v>
      </c>
      <c r="BA70" s="242">
        <f t="shared" ref="BA70" si="1541">IF(BA69&gt;0,$E69/$F69,0)</f>
        <v>0</v>
      </c>
      <c r="BB70" s="242">
        <f t="shared" ref="BB70" si="1542">IF(BB69&gt;0,$E69/$F69,0)</f>
        <v>0</v>
      </c>
      <c r="BC70" s="242">
        <f t="shared" ref="BC70" si="1543">IF(BC69&gt;0,$E69/$F69,0)</f>
        <v>290.56521739130437</v>
      </c>
      <c r="BD70" s="242">
        <f t="shared" ref="BD70" si="1544">IF(BD69&gt;0,$E69/$F69,0)</f>
        <v>290.56521739130437</v>
      </c>
      <c r="BE70" s="242">
        <f t="shared" ref="BE70" si="1545">IF(BE69&gt;0,$E69/$F69,0)</f>
        <v>290.56521739130437</v>
      </c>
      <c r="BF70" s="242">
        <f t="shared" ref="BF70" si="1546">IF(BF69&gt;0,$E69/$F69,0)</f>
        <v>290.56521739130437</v>
      </c>
      <c r="BG70" s="242">
        <f t="shared" ref="BG70" si="1547">IF(BG69&gt;0,$E69/$F69,0)</f>
        <v>290.56521739130437</v>
      </c>
      <c r="BH70" s="242">
        <f t="shared" ref="BH70" si="1548">IF(BH69&gt;0,$E69/$F69,0)</f>
        <v>290.56521739130437</v>
      </c>
      <c r="BI70" s="242">
        <f t="shared" ref="BI70" si="1549">IF(BI69&gt;0,$E69/$F69,0)</f>
        <v>290.56521739130437</v>
      </c>
      <c r="BJ70" s="125"/>
      <c r="BK70" s="242">
        <f>IF(BK69&gt;0,$E69/$F69,0)</f>
        <v>290.56521739130437</v>
      </c>
      <c r="BL70" s="242">
        <f t="shared" ref="BL70" si="1550">IF(BL69&gt;0,$E69/$F69,0)</f>
        <v>290.56521739130437</v>
      </c>
      <c r="BM70" s="242">
        <f t="shared" ref="BM70" si="1551">IF(BM69&gt;0,$E69/$F69,0)</f>
        <v>290.56521739130437</v>
      </c>
      <c r="BN70" s="242">
        <f t="shared" ref="BN70" si="1552">IF(BN69&gt;0,$E69/$F69,0)</f>
        <v>290.56521739130437</v>
      </c>
      <c r="BO70" s="242">
        <f t="shared" ref="BO70" si="1553">IF(BO69&gt;0,$E69/$F69,0)</f>
        <v>290.56521739130437</v>
      </c>
      <c r="BP70" s="242">
        <f t="shared" ref="BP70" si="1554">IF(BP69&gt;0,$E69/$F69,0)</f>
        <v>290.56521739130437</v>
      </c>
      <c r="BQ70" s="242">
        <f t="shared" ref="BQ70" si="1555">IF(BQ69&gt;0,$E69/$F69,0)</f>
        <v>290.56521739130437</v>
      </c>
      <c r="BR70" s="242">
        <f t="shared" ref="BR70" si="1556">IF(BR69&gt;0,$E69/$F69,0)</f>
        <v>290.56521739130437</v>
      </c>
      <c r="BS70" s="242">
        <f t="shared" ref="BS70" si="1557">IF(BS69&gt;0,$E69/$F69,0)</f>
        <v>290.56521739130437</v>
      </c>
      <c r="BT70" s="242">
        <f t="shared" ref="BT70" si="1558">IF(BT69&gt;0,$E69/$F69,0)</f>
        <v>290.56521739130437</v>
      </c>
      <c r="BU70" s="242">
        <f t="shared" ref="BU70" si="1559">IF(BU69&gt;0,$E69/$F69,0)</f>
        <v>290.56521739130437</v>
      </c>
      <c r="BV70" s="242">
        <f t="shared" ref="BV70" si="1560">IF(BV69&gt;0,$E69/$F69,0)</f>
        <v>290.56521739130437</v>
      </c>
      <c r="BW70" s="125"/>
      <c r="BX70" s="242">
        <f>IF(BX69&gt;0,$E69/$F69,0)</f>
        <v>290.56521739130437</v>
      </c>
      <c r="BY70" s="242">
        <f t="shared" ref="BY70" si="1561">IF(BY69&gt;0,$E69/$F69,0)</f>
        <v>290.56521739130437</v>
      </c>
      <c r="BZ70" s="242">
        <f t="shared" ref="BZ70" si="1562">IF(BZ69&gt;0,$E69/$F69,0)</f>
        <v>290.56521739130437</v>
      </c>
      <c r="CA70" s="242">
        <f t="shared" ref="CA70" si="1563">IF(CA69&gt;0,$E69/$F69,0)</f>
        <v>290.56521739130437</v>
      </c>
      <c r="CB70" s="242">
        <f t="shared" ref="CB70" si="1564">IF(CB69&gt;0,$E69/$F69,0)</f>
        <v>0</v>
      </c>
      <c r="CC70" s="242">
        <f t="shared" ref="CC70" si="1565">IF(CC69&gt;0,$E69/$F69,0)</f>
        <v>0</v>
      </c>
      <c r="CD70" s="242">
        <f t="shared" ref="CD70" si="1566">IF(CD69&gt;0,$E69/$F69,0)</f>
        <v>0</v>
      </c>
      <c r="CE70" s="242">
        <f t="shared" ref="CE70" si="1567">IF(CE69&gt;0,$E69/$F69,0)</f>
        <v>0</v>
      </c>
      <c r="CF70" s="242">
        <f t="shared" ref="CF70" si="1568">IF(CF69&gt;0,$E69/$F69,0)</f>
        <v>0</v>
      </c>
      <c r="CG70" s="242">
        <f t="shared" ref="CG70" si="1569">IF(CG69&gt;0,$E69/$F69,0)</f>
        <v>0</v>
      </c>
      <c r="CH70" s="242">
        <f t="shared" ref="CH70" si="1570">IF(CH69&gt;0,$E69/$F69,0)</f>
        <v>0</v>
      </c>
      <c r="CI70" s="242">
        <f t="shared" ref="CI70" si="1571">IF(CI69&gt;0,$E69/$F69,0)</f>
        <v>0</v>
      </c>
      <c r="CJ70" s="125"/>
    </row>
    <row r="71" spans="1:88" ht="69.75" customHeight="1">
      <c r="A71" s="309">
        <v>33</v>
      </c>
      <c r="B71" s="282" t="s">
        <v>214</v>
      </c>
      <c r="C71" s="278" t="s">
        <v>208</v>
      </c>
      <c r="D71" s="291">
        <v>4</v>
      </c>
      <c r="E71" s="293">
        <v>13135</v>
      </c>
      <c r="F71" s="311">
        <v>21</v>
      </c>
      <c r="G71" s="165"/>
      <c r="H71" s="157"/>
      <c r="I71" s="165"/>
      <c r="J71" s="125"/>
      <c r="K71" s="165"/>
      <c r="L71" s="158"/>
      <c r="M71" s="165"/>
      <c r="N71" s="157"/>
      <c r="O71" s="169"/>
      <c r="P71" s="157"/>
      <c r="Q71" s="165"/>
      <c r="R71" s="157"/>
      <c r="S71" s="165"/>
      <c r="T71" s="157"/>
      <c r="U71" s="165"/>
      <c r="V71" s="157"/>
      <c r="W71" s="222">
        <f t="shared" ref="W71" si="1572">IF(K71="РНВ",$E71,IF(L71="РНВ",$E71,IF(M71="РНВ",$E71,IF(N71="РНВ",$E71,IF(O71="РНВ",$E71,IF(P71="РНВ",$E71,IF(Q71="РНВ",$E71,IF(R71="РНВ",$E71,IF(S71="РНВ",$E71,IF(T71="РНВ",$E71,IF(U71="РНВ",$E71,IF(V71="РНВ",$E71,0))))))))))))</f>
        <v>0</v>
      </c>
      <c r="X71" s="158"/>
      <c r="Y71" s="165"/>
      <c r="Z71" s="158"/>
      <c r="AA71" s="165"/>
      <c r="AB71" s="157"/>
      <c r="AC71" s="165"/>
      <c r="AD71" s="157"/>
      <c r="AE71" s="165"/>
      <c r="AF71" s="157"/>
      <c r="AG71" s="136"/>
      <c r="AH71" s="157"/>
      <c r="AI71" s="165"/>
      <c r="AJ71" s="222">
        <f t="shared" ref="AJ71" si="1573">IF(X71="РНВ",$E71,IF(Y71="РНВ",$E71,IF(Z71="РНВ",$E71,IF(AA71="РНВ",$E71,IF(AB71="РНВ",$E71,IF(AC71="РНВ",$E71,IF(AD71="РНВ",$E71,IF(AE71="РНВ",$E71,IF(AF71="РНВ",$E71,IF(AG71="РНВ",$E71,IF(AH71="РНВ",$E71,IF(AI71="РНВ",$E71,0))))))))))))</f>
        <v>0</v>
      </c>
      <c r="AK71" s="165"/>
      <c r="AL71" s="157"/>
      <c r="AM71" s="165"/>
      <c r="AN71" s="157"/>
      <c r="AO71" s="165"/>
      <c r="AP71" s="157"/>
      <c r="AQ71" s="165"/>
      <c r="AR71" s="157"/>
      <c r="AS71" s="165"/>
      <c r="AT71" s="157"/>
      <c r="AU71" s="165"/>
      <c r="AV71" s="157"/>
      <c r="AW71" s="222">
        <f t="shared" ref="AW71" si="1574">IF(AK71="РНВ",$E71,IF(AL71="РНВ",$E71,IF(AM71="РНВ",$E71,IF(AN71="РНВ",$E71,IF(AO71="РНВ",$E71,IF(AP71="РНВ",$E71,IF(AQ71="РНВ",$E71,IF(AR71="РНВ",$E71,IF(AS71="РНВ",$E71,IF(AT71="РНВ",$E71,IF(AU71="РНВ",$E71,IF(AV71="РНВ",$E71,0))))))))))))</f>
        <v>0</v>
      </c>
      <c r="AX71" s="165"/>
      <c r="AY71" s="157"/>
      <c r="AZ71" s="165"/>
      <c r="BA71" s="157"/>
      <c r="BB71" s="165"/>
      <c r="BC71" s="157"/>
      <c r="BD71" s="165"/>
      <c r="BE71" s="157"/>
      <c r="BF71" s="165"/>
      <c r="BG71" s="157"/>
      <c r="BH71" s="165"/>
      <c r="BI71" s="157"/>
      <c r="BJ71" s="222">
        <f t="shared" ref="BJ71" si="1575">IF(AX71="РНВ",$E71,IF(AY71="РНВ",$E71,IF(AZ71="РНВ",$E71,IF(BA71="РНВ",$E71,IF(BB71="РНВ",$E71,IF(BC71="РНВ",$E71,IF(BD71="РНВ",$E71,IF(BE71="РНВ",$E71,IF(BF71="РНВ",$E71,IF(BG71="РНВ",$E71,IF(BH71="РНВ",$E71,IF(BI71="РНВ",$E71,0))))))))))))</f>
        <v>0</v>
      </c>
      <c r="BK71" s="165"/>
      <c r="BL71" s="157"/>
      <c r="BM71" s="165"/>
      <c r="BN71" s="157"/>
      <c r="BO71" s="165"/>
      <c r="BP71" s="157"/>
      <c r="BQ71" s="165"/>
      <c r="BR71" s="157"/>
      <c r="BS71" s="165"/>
      <c r="BT71" s="157"/>
      <c r="BU71" s="165"/>
      <c r="BV71" s="157"/>
      <c r="BW71" s="222">
        <f t="shared" ref="BW71" si="1576">IF(BK71="РНВ",$E71,IF(BL71="РНВ",$E71,IF(BM71="РНВ",$E71,IF(BN71="РНВ",$E71,IF(BO71="РНВ",$E71,IF(BP71="РНВ",$E71,IF(BQ71="РНВ",$E71,IF(BR71="РНВ",$E71,IF(BS71="РНВ",$E71,IF(BT71="РНВ",$E71,IF(BU71="РНВ",$E71,IF(BV71="РНВ",$E71,0))))))))))))</f>
        <v>0</v>
      </c>
      <c r="BX71" s="165"/>
      <c r="BY71" s="157"/>
      <c r="BZ71" s="165"/>
      <c r="CA71" s="259">
        <v>1</v>
      </c>
      <c r="CB71" s="259">
        <v>1</v>
      </c>
      <c r="CC71" s="259">
        <v>1</v>
      </c>
      <c r="CD71" s="259">
        <v>1</v>
      </c>
      <c r="CE71" s="259">
        <v>1</v>
      </c>
      <c r="CF71" s="133">
        <v>1</v>
      </c>
      <c r="CG71" s="133">
        <v>1</v>
      </c>
      <c r="CH71" s="133">
        <v>1</v>
      </c>
      <c r="CI71" s="133">
        <v>1</v>
      </c>
      <c r="CJ71" s="222">
        <f t="shared" ref="CJ71" si="1577">IF(BX71="РНВ",$E71,IF(BY71="РНВ",$E71,IF(BZ71="РНВ",$E71,IF(CA71="РНВ",$E71,IF(CB71="РНВ",$E71,IF(CC71="РНВ",$E71,IF(CD71="РНВ",$E71,IF(CE71="РНВ",$E71,IF(CF71="РНВ",$E71,IF(CG71="РНВ",$E71,IF(CH71="РНВ",$E71,IF(CI71="РНВ",$E71,0))))))))))))</f>
        <v>0</v>
      </c>
    </row>
    <row r="72" spans="1:88" ht="19.899999999999999" customHeight="1">
      <c r="A72" s="279"/>
      <c r="B72" s="279"/>
      <c r="C72" s="278"/>
      <c r="D72" s="279"/>
      <c r="E72" s="280"/>
      <c r="F72" s="312"/>
      <c r="G72" s="132"/>
      <c r="H72" s="164"/>
      <c r="I72" s="132"/>
      <c r="J72" s="170"/>
      <c r="K72" s="132"/>
      <c r="L72" s="171"/>
      <c r="M72" s="132"/>
      <c r="N72" s="164"/>
      <c r="O72" s="131"/>
      <c r="P72" s="164"/>
      <c r="Q72" s="132"/>
      <c r="R72" s="164"/>
      <c r="S72" s="132"/>
      <c r="T72" s="164"/>
      <c r="U72" s="132"/>
      <c r="V72" s="164"/>
      <c r="W72" s="125"/>
      <c r="X72" s="171"/>
      <c r="Y72" s="132"/>
      <c r="Z72" s="171"/>
      <c r="AA72" s="132"/>
      <c r="AB72" s="164"/>
      <c r="AC72" s="132"/>
      <c r="AD72" s="164"/>
      <c r="AE72" s="132"/>
      <c r="AF72" s="164"/>
      <c r="AG72" s="132"/>
      <c r="AH72" s="164"/>
      <c r="AI72" s="132"/>
      <c r="AJ72" s="125"/>
      <c r="AK72" s="242">
        <f>IF(AK71&gt;0,$E71/$F71,0)</f>
        <v>0</v>
      </c>
      <c r="AL72" s="242">
        <f t="shared" ref="AL72" si="1578">IF(AL71&gt;0,$E71/$F71,0)</f>
        <v>0</v>
      </c>
      <c r="AM72" s="242">
        <f t="shared" ref="AM72" si="1579">IF(AM71&gt;0,$E71/$F71,0)</f>
        <v>0</v>
      </c>
      <c r="AN72" s="242">
        <f t="shared" ref="AN72" si="1580">IF(AN71&gt;0,$E71/$F71,0)</f>
        <v>0</v>
      </c>
      <c r="AO72" s="242">
        <f t="shared" ref="AO72" si="1581">IF(AO71&gt;0,$E71/$F71,0)</f>
        <v>0</v>
      </c>
      <c r="AP72" s="242">
        <f t="shared" ref="AP72" si="1582">IF(AP71&gt;0,$E71/$F71,0)</f>
        <v>0</v>
      </c>
      <c r="AQ72" s="242">
        <f t="shared" ref="AQ72" si="1583">IF(AQ71&gt;0,$E71/$F71,0)</f>
        <v>0</v>
      </c>
      <c r="AR72" s="242">
        <f t="shared" ref="AR72" si="1584">IF(AR71&gt;0,$E71/$F71,0)</f>
        <v>0</v>
      </c>
      <c r="AS72" s="242">
        <f t="shared" ref="AS72" si="1585">IF(AS71&gt;0,$E71/$F71,0)</f>
        <v>0</v>
      </c>
      <c r="AT72" s="242">
        <f t="shared" ref="AT72" si="1586">IF(AT71&gt;0,$E71/$F71,0)</f>
        <v>0</v>
      </c>
      <c r="AU72" s="242">
        <f t="shared" ref="AU72" si="1587">IF(AU71&gt;0,$E71/$F71,0)</f>
        <v>0</v>
      </c>
      <c r="AV72" s="242">
        <f t="shared" ref="AV72" si="1588">IF(AV71&gt;0,$E71/$F71,0)</f>
        <v>0</v>
      </c>
      <c r="AW72" s="125"/>
      <c r="AX72" s="242">
        <f>IF(AX71&gt;0,$E71/$F71,0)</f>
        <v>0</v>
      </c>
      <c r="AY72" s="242">
        <f t="shared" ref="AY72" si="1589">IF(AY71&gt;0,$E71/$F71,0)</f>
        <v>0</v>
      </c>
      <c r="AZ72" s="242">
        <f t="shared" ref="AZ72" si="1590">IF(AZ71&gt;0,$E71/$F71,0)</f>
        <v>0</v>
      </c>
      <c r="BA72" s="242">
        <f t="shared" ref="BA72" si="1591">IF(BA71&gt;0,$E71/$F71,0)</f>
        <v>0</v>
      </c>
      <c r="BB72" s="242">
        <f t="shared" ref="BB72" si="1592">IF(BB71&gt;0,$E71/$F71,0)</f>
        <v>0</v>
      </c>
      <c r="BC72" s="242">
        <f t="shared" ref="BC72" si="1593">IF(BC71&gt;0,$E71/$F71,0)</f>
        <v>0</v>
      </c>
      <c r="BD72" s="242">
        <f t="shared" ref="BD72" si="1594">IF(BD71&gt;0,$E71/$F71,0)</f>
        <v>0</v>
      </c>
      <c r="BE72" s="242">
        <f t="shared" ref="BE72" si="1595">IF(BE71&gt;0,$E71/$F71,0)</f>
        <v>0</v>
      </c>
      <c r="BF72" s="242">
        <f t="shared" ref="BF72" si="1596">IF(BF71&gt;0,$E71/$F71,0)</f>
        <v>0</v>
      </c>
      <c r="BG72" s="242">
        <f t="shared" ref="BG72" si="1597">IF(BG71&gt;0,$E71/$F71,0)</f>
        <v>0</v>
      </c>
      <c r="BH72" s="242">
        <f t="shared" ref="BH72" si="1598">IF(BH71&gt;0,$E71/$F71,0)</f>
        <v>0</v>
      </c>
      <c r="BI72" s="242">
        <f t="shared" ref="BI72" si="1599">IF(BI71&gt;0,$E71/$F71,0)</f>
        <v>0</v>
      </c>
      <c r="BJ72" s="125"/>
      <c r="BK72" s="242">
        <f>IF(BK71&gt;0,$E71/$F71,0)</f>
        <v>0</v>
      </c>
      <c r="BL72" s="242">
        <f t="shared" ref="BL72" si="1600">IF(BL71&gt;0,$E71/$F71,0)</f>
        <v>0</v>
      </c>
      <c r="BM72" s="242">
        <f t="shared" ref="BM72" si="1601">IF(BM71&gt;0,$E71/$F71,0)</f>
        <v>0</v>
      </c>
      <c r="BN72" s="242">
        <f t="shared" ref="BN72" si="1602">IF(BN71&gt;0,$E71/$F71,0)</f>
        <v>0</v>
      </c>
      <c r="BO72" s="242">
        <f t="shared" ref="BO72" si="1603">IF(BO71&gt;0,$E71/$F71,0)</f>
        <v>0</v>
      </c>
      <c r="BP72" s="242">
        <f t="shared" ref="BP72" si="1604">IF(BP71&gt;0,$E71/$F71,0)</f>
        <v>0</v>
      </c>
      <c r="BQ72" s="242">
        <f t="shared" ref="BQ72" si="1605">IF(BQ71&gt;0,$E71/$F71,0)</f>
        <v>0</v>
      </c>
      <c r="BR72" s="242">
        <f t="shared" ref="BR72" si="1606">IF(BR71&gt;0,$E71/$F71,0)</f>
        <v>0</v>
      </c>
      <c r="BS72" s="242">
        <f t="shared" ref="BS72" si="1607">IF(BS71&gt;0,$E71/$F71,0)</f>
        <v>0</v>
      </c>
      <c r="BT72" s="242">
        <f t="shared" ref="BT72" si="1608">IF(BT71&gt;0,$E71/$F71,0)</f>
        <v>0</v>
      </c>
      <c r="BU72" s="242">
        <f t="shared" ref="BU72" si="1609">IF(BU71&gt;0,$E71/$F71,0)</f>
        <v>0</v>
      </c>
      <c r="BV72" s="242">
        <f t="shared" ref="BV72" si="1610">IF(BV71&gt;0,$E71/$F71,0)</f>
        <v>0</v>
      </c>
      <c r="BW72" s="125"/>
      <c r="BX72" s="242">
        <f>IF(BX71&gt;0,$E71/$F71,0)</f>
        <v>0</v>
      </c>
      <c r="BY72" s="242">
        <f t="shared" ref="BY72" si="1611">IF(BY71&gt;0,$E71/$F71,0)</f>
        <v>0</v>
      </c>
      <c r="BZ72" s="242">
        <f t="shared" ref="BZ72" si="1612">IF(BZ71&gt;0,$E71/$F71,0)</f>
        <v>0</v>
      </c>
      <c r="CA72" s="242">
        <f t="shared" ref="CA72" si="1613">IF(CA71&gt;0,$E71/$F71,0)</f>
        <v>625.47619047619048</v>
      </c>
      <c r="CB72" s="242">
        <f t="shared" ref="CB72" si="1614">IF(CB71&gt;0,$E71/$F71,0)</f>
        <v>625.47619047619048</v>
      </c>
      <c r="CC72" s="242">
        <f t="shared" ref="CC72" si="1615">IF(CC71&gt;0,$E71/$F71,0)</f>
        <v>625.47619047619048</v>
      </c>
      <c r="CD72" s="242">
        <f t="shared" ref="CD72" si="1616">IF(CD71&gt;0,$E71/$F71,0)</f>
        <v>625.47619047619048</v>
      </c>
      <c r="CE72" s="242">
        <f t="shared" ref="CE72" si="1617">IF(CE71&gt;0,$E71/$F71,0)</f>
        <v>625.47619047619048</v>
      </c>
      <c r="CF72" s="242">
        <f t="shared" ref="CF72" si="1618">IF(CF71&gt;0,$E71/$F71,0)</f>
        <v>625.47619047619048</v>
      </c>
      <c r="CG72" s="242">
        <f t="shared" ref="CG72" si="1619">IF(CG71&gt;0,$E71/$F71,0)</f>
        <v>625.47619047619048</v>
      </c>
      <c r="CH72" s="242">
        <f t="shared" ref="CH72" si="1620">IF(CH71&gt;0,$E71/$F71,0)</f>
        <v>625.47619047619048</v>
      </c>
      <c r="CI72" s="242">
        <f t="shared" ref="CI72" si="1621">IF(CI71&gt;0,$E71/$F71,0)</f>
        <v>625.47619047619048</v>
      </c>
      <c r="CJ72" s="125"/>
    </row>
    <row r="73" spans="1:88" ht="82.15" customHeight="1">
      <c r="A73" s="279">
        <v>34</v>
      </c>
      <c r="B73" s="282" t="s">
        <v>215</v>
      </c>
      <c r="C73" s="278" t="s">
        <v>208</v>
      </c>
      <c r="D73" s="279">
        <v>4</v>
      </c>
      <c r="E73" s="280">
        <v>12714</v>
      </c>
      <c r="F73" s="281">
        <f t="shared" ref="F73" si="1622">COUNTA(K73:V73,X73:AI73,AK73:AV73,AX73:BI73,BK73:BV73,BX73:CI73)</f>
        <v>0</v>
      </c>
      <c r="G73" s="136"/>
      <c r="H73" s="136"/>
      <c r="I73" s="135"/>
      <c r="J73" s="172"/>
      <c r="K73" s="136"/>
      <c r="L73" s="136"/>
      <c r="M73" s="136"/>
      <c r="N73" s="135"/>
      <c r="O73" s="136"/>
      <c r="P73" s="136"/>
      <c r="Q73" s="135"/>
      <c r="R73" s="136"/>
      <c r="S73" s="136"/>
      <c r="T73" s="136"/>
      <c r="U73" s="136"/>
      <c r="V73" s="136"/>
      <c r="W73" s="222">
        <f t="shared" ref="W73" si="1623">IF(K73="РНВ",$E73,IF(L73="РНВ",$E73,IF(M73="РНВ",$E73,IF(N73="РНВ",$E73,IF(O73="РНВ",$E73,IF(P73="РНВ",$E73,IF(Q73="РНВ",$E73,IF(R73="РНВ",$E73,IF(S73="РНВ",$E73,IF(T73="РНВ",$E73,IF(U73="РНВ",$E73,IF(V73="РНВ",$E73,0))))))))))))</f>
        <v>0</v>
      </c>
      <c r="X73" s="135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222">
        <f t="shared" ref="AJ73" si="1624">IF(X73="РНВ",$E73,IF(Y73="РНВ",$E73,IF(Z73="РНВ",$E73,IF(AA73="РНВ",$E73,IF(AB73="РНВ",$E73,IF(AC73="РНВ",$E73,IF(AD73="РНВ",$E73,IF(AE73="РНВ",$E73,IF(AF73="РНВ",$E73,IF(AG73="РНВ",$E73,IF(AH73="РНВ",$E73,IF(AI73="РНВ",$E73,0))))))))))))</f>
        <v>0</v>
      </c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222">
        <f t="shared" ref="AW73" si="1625">IF(AK73="РНВ",$E73,IF(AL73="РНВ",$E73,IF(AM73="РНВ",$E73,IF(AN73="РНВ",$E73,IF(AO73="РНВ",$E73,IF(AP73="РНВ",$E73,IF(AQ73="РНВ",$E73,IF(AR73="РНВ",$E73,IF(AS73="РНВ",$E73,IF(AT73="РНВ",$E73,IF(AU73="РНВ",$E73,IF(AV73="РНВ",$E73,0))))))))))))</f>
        <v>0</v>
      </c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57"/>
      <c r="BJ73" s="222">
        <f t="shared" ref="BJ73" si="1626">IF(AX73="РНВ",$E73,IF(AY73="РНВ",$E73,IF(AZ73="РНВ",$E73,IF(BA73="РНВ",$E73,IF(BB73="РНВ",$E73,IF(BC73="РНВ",$E73,IF(BD73="РНВ",$E73,IF(BE73="РНВ",$E73,IF(BF73="РНВ",$E73,IF(BG73="РНВ",$E73,IF(BH73="РНВ",$E73,IF(BI73="РНВ",$E73,0))))))))))))</f>
        <v>0</v>
      </c>
      <c r="BK73" s="136"/>
      <c r="BL73" s="136"/>
      <c r="BM73" s="136"/>
      <c r="BN73" s="136"/>
      <c r="BO73" s="136"/>
      <c r="BP73" s="136"/>
      <c r="BQ73" s="136"/>
      <c r="BR73" s="136"/>
      <c r="BS73" s="136"/>
      <c r="BT73" s="136"/>
      <c r="BU73" s="136"/>
      <c r="BV73" s="136"/>
      <c r="BW73" s="222">
        <f t="shared" ref="BW73" si="1627">IF(BK73="РНВ",$E73,IF(BL73="РНВ",$E73,IF(BM73="РНВ",$E73,IF(BN73="РНВ",$E73,IF(BO73="РНВ",$E73,IF(BP73="РНВ",$E73,IF(BQ73="РНВ",$E73,IF(BR73="РНВ",$E73,IF(BS73="РНВ",$E73,IF(BT73="РНВ",$E73,IF(BU73="РНВ",$E73,IF(BV73="РНВ",$E73,0))))))))))))</f>
        <v>0</v>
      </c>
      <c r="BX73" s="136"/>
      <c r="BY73" s="136"/>
      <c r="BZ73" s="136"/>
      <c r="CA73" s="136"/>
      <c r="CB73" s="136"/>
      <c r="CC73" s="136"/>
      <c r="CD73" s="136"/>
      <c r="CE73" s="136"/>
      <c r="CF73" s="136"/>
      <c r="CG73" s="136"/>
      <c r="CH73" s="136"/>
      <c r="CI73" s="136"/>
      <c r="CJ73" s="222">
        <f t="shared" ref="CJ73" si="1628">IF(BX73="РНВ",$E73,IF(BY73="РНВ",$E73,IF(BZ73="РНВ",$E73,IF(CA73="РНВ",$E73,IF(CB73="РНВ",$E73,IF(CC73="РНВ",$E73,IF(CD73="РНВ",$E73,IF(CE73="РНВ",$E73,IF(CF73="РНВ",$E73,IF(CG73="РНВ",$E73,IF(CH73="РНВ",$E73,IF(CI73="РНВ",$E73,0))))))))))))</f>
        <v>0</v>
      </c>
    </row>
    <row r="74" spans="1:88" ht="22.15" customHeight="1">
      <c r="A74" s="279"/>
      <c r="B74" s="279"/>
      <c r="C74" s="278"/>
      <c r="D74" s="279"/>
      <c r="E74" s="280"/>
      <c r="F74" s="279"/>
      <c r="G74" s="173"/>
      <c r="H74" s="173"/>
      <c r="I74" s="174"/>
      <c r="J74" s="172"/>
      <c r="K74" s="173"/>
      <c r="L74" s="173"/>
      <c r="M74" s="173"/>
      <c r="N74" s="174"/>
      <c r="O74" s="173"/>
      <c r="P74" s="173"/>
      <c r="Q74" s="174"/>
      <c r="R74" s="173"/>
      <c r="S74" s="173"/>
      <c r="T74" s="173"/>
      <c r="U74" s="173"/>
      <c r="V74" s="164"/>
      <c r="W74" s="125"/>
      <c r="X74" s="174"/>
      <c r="Y74" s="173"/>
      <c r="Z74" s="173"/>
      <c r="AA74" s="173"/>
      <c r="AB74" s="173"/>
      <c r="AC74" s="173"/>
      <c r="AD74" s="173"/>
      <c r="AE74" s="173"/>
      <c r="AF74" s="173"/>
      <c r="AG74" s="173"/>
      <c r="AH74" s="173"/>
      <c r="AI74" s="173"/>
      <c r="AJ74" s="125"/>
      <c r="AK74" s="242">
        <f>IF(AK73&gt;0,$E73/$F73,0)</f>
        <v>0</v>
      </c>
      <c r="AL74" s="242">
        <f t="shared" ref="AL74" si="1629">IF(AL73&gt;0,$E73/$F73,0)</f>
        <v>0</v>
      </c>
      <c r="AM74" s="242">
        <f t="shared" ref="AM74" si="1630">IF(AM73&gt;0,$E73/$F73,0)</f>
        <v>0</v>
      </c>
      <c r="AN74" s="242">
        <f t="shared" ref="AN74" si="1631">IF(AN73&gt;0,$E73/$F73,0)</f>
        <v>0</v>
      </c>
      <c r="AO74" s="242">
        <f t="shared" ref="AO74" si="1632">IF(AO73&gt;0,$E73/$F73,0)</f>
        <v>0</v>
      </c>
      <c r="AP74" s="242">
        <f t="shared" ref="AP74" si="1633">IF(AP73&gt;0,$E73/$F73,0)</f>
        <v>0</v>
      </c>
      <c r="AQ74" s="242">
        <f t="shared" ref="AQ74" si="1634">IF(AQ73&gt;0,$E73/$F73,0)</f>
        <v>0</v>
      </c>
      <c r="AR74" s="242">
        <f t="shared" ref="AR74" si="1635">IF(AR73&gt;0,$E73/$F73,0)</f>
        <v>0</v>
      </c>
      <c r="AS74" s="242">
        <f t="shared" ref="AS74" si="1636">IF(AS73&gt;0,$E73/$F73,0)</f>
        <v>0</v>
      </c>
      <c r="AT74" s="242">
        <f t="shared" ref="AT74" si="1637">IF(AT73&gt;0,$E73/$F73,0)</f>
        <v>0</v>
      </c>
      <c r="AU74" s="242">
        <f t="shared" ref="AU74" si="1638">IF(AU73&gt;0,$E73/$F73,0)</f>
        <v>0</v>
      </c>
      <c r="AV74" s="242">
        <f t="shared" ref="AV74" si="1639">IF(AV73&gt;0,$E73/$F73,0)</f>
        <v>0</v>
      </c>
      <c r="AW74" s="125"/>
      <c r="AX74" s="242">
        <f>IF(AX73&gt;0,$E73/$F73,0)</f>
        <v>0</v>
      </c>
      <c r="AY74" s="242">
        <f t="shared" ref="AY74" si="1640">IF(AY73&gt;0,$E73/$F73,0)</f>
        <v>0</v>
      </c>
      <c r="AZ74" s="242">
        <f t="shared" ref="AZ74" si="1641">IF(AZ73&gt;0,$E73/$F73,0)</f>
        <v>0</v>
      </c>
      <c r="BA74" s="242">
        <f t="shared" ref="BA74" si="1642">IF(BA73&gt;0,$E73/$F73,0)</f>
        <v>0</v>
      </c>
      <c r="BB74" s="242">
        <f t="shared" ref="BB74" si="1643">IF(BB73&gt;0,$E73/$F73,0)</f>
        <v>0</v>
      </c>
      <c r="BC74" s="242">
        <f t="shared" ref="BC74" si="1644">IF(BC73&gt;0,$E73/$F73,0)</f>
        <v>0</v>
      </c>
      <c r="BD74" s="242">
        <f t="shared" ref="BD74" si="1645">IF(BD73&gt;0,$E73/$F73,0)</f>
        <v>0</v>
      </c>
      <c r="BE74" s="242">
        <f t="shared" ref="BE74" si="1646">IF(BE73&gt;0,$E73/$F73,0)</f>
        <v>0</v>
      </c>
      <c r="BF74" s="242">
        <f t="shared" ref="BF74" si="1647">IF(BF73&gt;0,$E73/$F73,0)</f>
        <v>0</v>
      </c>
      <c r="BG74" s="242">
        <f t="shared" ref="BG74" si="1648">IF(BG73&gt;0,$E73/$F73,0)</f>
        <v>0</v>
      </c>
      <c r="BH74" s="242">
        <f t="shared" ref="BH74" si="1649">IF(BH73&gt;0,$E73/$F73,0)</f>
        <v>0</v>
      </c>
      <c r="BI74" s="242">
        <f t="shared" ref="BI74" si="1650">IF(BI73&gt;0,$E73/$F73,0)</f>
        <v>0</v>
      </c>
      <c r="BJ74" s="125"/>
      <c r="BK74" s="242">
        <f>IF(BK73&gt;0,$E73/$F73,0)</f>
        <v>0</v>
      </c>
      <c r="BL74" s="242">
        <f t="shared" ref="BL74" si="1651">IF(BL73&gt;0,$E73/$F73,0)</f>
        <v>0</v>
      </c>
      <c r="BM74" s="242">
        <f t="shared" ref="BM74" si="1652">IF(BM73&gt;0,$E73/$F73,0)</f>
        <v>0</v>
      </c>
      <c r="BN74" s="242">
        <f t="shared" ref="BN74" si="1653">IF(BN73&gt;0,$E73/$F73,0)</f>
        <v>0</v>
      </c>
      <c r="BO74" s="242">
        <f t="shared" ref="BO74" si="1654">IF(BO73&gt;0,$E73/$F73,0)</f>
        <v>0</v>
      </c>
      <c r="BP74" s="242">
        <f t="shared" ref="BP74" si="1655">IF(BP73&gt;0,$E73/$F73,0)</f>
        <v>0</v>
      </c>
      <c r="BQ74" s="242">
        <f t="shared" ref="BQ74" si="1656">IF(BQ73&gt;0,$E73/$F73,0)</f>
        <v>0</v>
      </c>
      <c r="BR74" s="242">
        <f t="shared" ref="BR74" si="1657">IF(BR73&gt;0,$E73/$F73,0)</f>
        <v>0</v>
      </c>
      <c r="BS74" s="242">
        <f t="shared" ref="BS74" si="1658">IF(BS73&gt;0,$E73/$F73,0)</f>
        <v>0</v>
      </c>
      <c r="BT74" s="242">
        <f t="shared" ref="BT74" si="1659">IF(BT73&gt;0,$E73/$F73,0)</f>
        <v>0</v>
      </c>
      <c r="BU74" s="242">
        <f t="shared" ref="BU74" si="1660">IF(BU73&gt;0,$E73/$F73,0)</f>
        <v>0</v>
      </c>
      <c r="BV74" s="242">
        <f t="shared" ref="BV74" si="1661">IF(BV73&gt;0,$E73/$F73,0)</f>
        <v>0</v>
      </c>
      <c r="BW74" s="125"/>
      <c r="BX74" s="242">
        <f>IF(BX73&gt;0,$E73/$F73,0)</f>
        <v>0</v>
      </c>
      <c r="BY74" s="242">
        <f t="shared" ref="BY74" si="1662">IF(BY73&gt;0,$E73/$F73,0)</f>
        <v>0</v>
      </c>
      <c r="BZ74" s="242">
        <f t="shared" ref="BZ74" si="1663">IF(BZ73&gt;0,$E73/$F73,0)</f>
        <v>0</v>
      </c>
      <c r="CA74" s="242">
        <f t="shared" ref="CA74" si="1664">IF(CA73&gt;0,$E73/$F73,0)</f>
        <v>0</v>
      </c>
      <c r="CB74" s="242">
        <f t="shared" ref="CB74" si="1665">IF(CB73&gt;0,$E73/$F73,0)</f>
        <v>0</v>
      </c>
      <c r="CC74" s="242">
        <f t="shared" ref="CC74" si="1666">IF(CC73&gt;0,$E73/$F73,0)</f>
        <v>0</v>
      </c>
      <c r="CD74" s="242">
        <f t="shared" ref="CD74" si="1667">IF(CD73&gt;0,$E73/$F73,0)</f>
        <v>0</v>
      </c>
      <c r="CE74" s="242">
        <f t="shared" ref="CE74" si="1668">IF(CE73&gt;0,$E73/$F73,0)</f>
        <v>0</v>
      </c>
      <c r="CF74" s="242">
        <f t="shared" ref="CF74" si="1669">IF(CF73&gt;0,$E73/$F73,0)</f>
        <v>0</v>
      </c>
      <c r="CG74" s="242">
        <f t="shared" ref="CG74" si="1670">IF(CG73&gt;0,$E73/$F73,0)</f>
        <v>0</v>
      </c>
      <c r="CH74" s="242">
        <f t="shared" ref="CH74" si="1671">IF(CH73&gt;0,$E73/$F73,0)</f>
        <v>0</v>
      </c>
      <c r="CI74" s="242">
        <f t="shared" ref="CI74" si="1672">IF(CI73&gt;0,$E73/$F73,0)</f>
        <v>0</v>
      </c>
      <c r="CJ74" s="125"/>
    </row>
    <row r="75" spans="1:88" ht="82.5" customHeight="1">
      <c r="A75" s="279">
        <v>35</v>
      </c>
      <c r="B75" s="282" t="s">
        <v>216</v>
      </c>
      <c r="C75" s="283" t="s">
        <v>243</v>
      </c>
      <c r="D75" s="279">
        <v>5</v>
      </c>
      <c r="E75" s="280">
        <v>15836</v>
      </c>
      <c r="F75" s="281">
        <f t="shared" ref="F75" si="1673">COUNTA(K75:V75,X75:AI75,AK75:AV75,AX75:BI75,BK75:BV75,BX75:CI75)</f>
        <v>28</v>
      </c>
      <c r="G75" s="136"/>
      <c r="H75" s="136"/>
      <c r="I75" s="136"/>
      <c r="J75" s="137"/>
      <c r="K75" s="136"/>
      <c r="L75" s="135"/>
      <c r="M75" s="136"/>
      <c r="N75" s="136"/>
      <c r="O75" s="135"/>
      <c r="P75" s="136"/>
      <c r="Q75" s="136"/>
      <c r="R75" s="136"/>
      <c r="S75" s="165"/>
      <c r="T75" s="136"/>
      <c r="U75" s="136"/>
      <c r="V75" s="136"/>
      <c r="W75" s="222">
        <f t="shared" ref="W75" si="1674">IF(K75="РНВ",$E75,IF(L75="РНВ",$E75,IF(M75="РНВ",$E75,IF(N75="РНВ",$E75,IF(O75="РНВ",$E75,IF(P75="РНВ",$E75,IF(Q75="РНВ",$E75,IF(R75="РНВ",$E75,IF(S75="РНВ",$E75,IF(T75="РНВ",$E75,IF(U75="РНВ",$E75,IF(V75="РНВ",$E75,0))))))))))))</f>
        <v>0</v>
      </c>
      <c r="X75" s="135"/>
      <c r="Y75" s="136"/>
      <c r="Z75" s="135"/>
      <c r="AA75" s="136"/>
      <c r="AB75" s="136"/>
      <c r="AC75" s="136"/>
      <c r="AD75" s="136"/>
      <c r="AE75" s="136"/>
      <c r="AF75" s="136"/>
      <c r="AG75" s="136"/>
      <c r="AH75" s="136"/>
      <c r="AI75" s="259">
        <v>1</v>
      </c>
      <c r="AJ75" s="222">
        <f t="shared" ref="AJ75" si="1675">IF(X75="РНВ",$E75,IF(Y75="РНВ",$E75,IF(Z75="РНВ",$E75,IF(AA75="РНВ",$E75,IF(AB75="РНВ",$E75,IF(AC75="РНВ",$E75,IF(AD75="РНВ",$E75,IF(AE75="РНВ",$E75,IF(AF75="РНВ",$E75,IF(AG75="РНВ",$E75,IF(AH75="РНВ",$E75,IF(AI75="РНВ",$E75,0))))))))))))</f>
        <v>0</v>
      </c>
      <c r="AK75" s="259">
        <v>1</v>
      </c>
      <c r="AL75" s="259">
        <v>1</v>
      </c>
      <c r="AM75" s="259">
        <v>1</v>
      </c>
      <c r="AN75" s="259">
        <v>1</v>
      </c>
      <c r="AO75" s="133">
        <v>1</v>
      </c>
      <c r="AP75" s="133">
        <v>1</v>
      </c>
      <c r="AQ75" s="133">
        <v>1</v>
      </c>
      <c r="AR75" s="133">
        <v>1</v>
      </c>
      <c r="AS75" s="133">
        <v>1</v>
      </c>
      <c r="AT75" s="133">
        <v>1</v>
      </c>
      <c r="AU75" s="133">
        <v>1</v>
      </c>
      <c r="AV75" s="133">
        <v>1</v>
      </c>
      <c r="AW75" s="222">
        <f t="shared" ref="AW75" si="1676">IF(AK75="РНВ",$E75,IF(AL75="РНВ",$E75,IF(AM75="РНВ",$E75,IF(AN75="РНВ",$E75,IF(AO75="РНВ",$E75,IF(AP75="РНВ",$E75,IF(AQ75="РНВ",$E75,IF(AR75="РНВ",$E75,IF(AS75="РНВ",$E75,IF(AT75="РНВ",$E75,IF(AU75="РНВ",$E75,IF(AV75="РНВ",$E75,0))))))))))))</f>
        <v>0</v>
      </c>
      <c r="AX75" s="133">
        <v>1</v>
      </c>
      <c r="AY75" s="133">
        <v>1</v>
      </c>
      <c r="AZ75" s="133">
        <v>1</v>
      </c>
      <c r="BA75" s="133">
        <v>1</v>
      </c>
      <c r="BB75" s="133">
        <v>1</v>
      </c>
      <c r="BC75" s="133">
        <v>1</v>
      </c>
      <c r="BD75" s="133">
        <v>1</v>
      </c>
      <c r="BE75" s="133">
        <v>1</v>
      </c>
      <c r="BF75" s="133">
        <v>1</v>
      </c>
      <c r="BG75" s="133">
        <v>1</v>
      </c>
      <c r="BH75" s="133">
        <v>1</v>
      </c>
      <c r="BI75" s="133">
        <v>1</v>
      </c>
      <c r="BJ75" s="222">
        <f t="shared" ref="BJ75" si="1677">IF(AX75="РНВ",$E75,IF(AY75="РНВ",$E75,IF(AZ75="РНВ",$E75,IF(BA75="РНВ",$E75,IF(BB75="РНВ",$E75,IF(BC75="РНВ",$E75,IF(BD75="РНВ",$E75,IF(BE75="РНВ",$E75,IF(BF75="РНВ",$E75,IF(BG75="РНВ",$E75,IF(BH75="РНВ",$E75,IF(BI75="РНВ",$E75,0))))))))))))</f>
        <v>0</v>
      </c>
      <c r="BK75" s="133">
        <v>1</v>
      </c>
      <c r="BL75" s="133">
        <v>1</v>
      </c>
      <c r="BM75" s="223" t="s">
        <v>37</v>
      </c>
      <c r="BN75" s="151"/>
      <c r="BO75" s="151"/>
      <c r="BP75" s="151"/>
      <c r="BQ75" s="151"/>
      <c r="BR75" s="151"/>
      <c r="BS75" s="226"/>
      <c r="BT75" s="136"/>
      <c r="BU75" s="136"/>
      <c r="BV75" s="157"/>
      <c r="BW75" s="222">
        <f t="shared" ref="BW75" si="1678">IF(BK75="РНВ",$E75,IF(BL75="РНВ",$E75,IF(BM75="РНВ",$E75,IF(BN75="РНВ",$E75,IF(BO75="РНВ",$E75,IF(BP75="РНВ",$E75,IF(BQ75="РНВ",$E75,IF(BR75="РНВ",$E75,IF(BS75="РНВ",$E75,IF(BT75="РНВ",$E75,IF(BU75="РНВ",$E75,IF(BV75="РНВ",$E75,0))))))))))))</f>
        <v>15836</v>
      </c>
      <c r="BX75" s="136"/>
      <c r="BY75" s="136"/>
      <c r="BZ75" s="136"/>
      <c r="CA75" s="136"/>
      <c r="CB75" s="136"/>
      <c r="CC75" s="136"/>
      <c r="CD75" s="136"/>
      <c r="CE75" s="136"/>
      <c r="CF75" s="136"/>
      <c r="CG75" s="136"/>
      <c r="CH75" s="136"/>
      <c r="CI75" s="136"/>
      <c r="CJ75" s="222">
        <f t="shared" ref="CJ75" si="1679">IF(BX75="РНВ",$E75,IF(BY75="РНВ",$E75,IF(BZ75="РНВ",$E75,IF(CA75="РНВ",$E75,IF(CB75="РНВ",$E75,IF(CC75="РНВ",$E75,IF(CD75="РНВ",$E75,IF(CE75="РНВ",$E75,IF(CF75="РНВ",$E75,IF(CG75="РНВ",$E75,IF(CH75="РНВ",$E75,IF(CI75="РНВ",$E75,0))))))))))))</f>
        <v>0</v>
      </c>
    </row>
    <row r="76" spans="1:88" ht="23.45" customHeight="1">
      <c r="A76" s="279"/>
      <c r="B76" s="279"/>
      <c r="C76" s="283"/>
      <c r="D76" s="279"/>
      <c r="E76" s="280"/>
      <c r="F76" s="279"/>
      <c r="G76" s="132"/>
      <c r="H76" s="132"/>
      <c r="I76" s="132"/>
      <c r="J76" s="125"/>
      <c r="K76" s="132"/>
      <c r="L76" s="131"/>
      <c r="M76" s="132"/>
      <c r="N76" s="132"/>
      <c r="O76" s="131"/>
      <c r="P76" s="132"/>
      <c r="Q76" s="132"/>
      <c r="R76" s="132"/>
      <c r="S76" s="168"/>
      <c r="T76" s="132"/>
      <c r="U76" s="132"/>
      <c r="V76" s="132"/>
      <c r="W76" s="125"/>
      <c r="X76" s="131"/>
      <c r="Y76" s="132"/>
      <c r="Z76" s="131"/>
      <c r="AA76" s="132"/>
      <c r="AB76" s="132"/>
      <c r="AC76" s="132"/>
      <c r="AD76" s="132"/>
      <c r="AE76" s="132"/>
      <c r="AF76" s="132"/>
      <c r="AG76" s="132"/>
      <c r="AH76" s="132"/>
      <c r="AI76" s="132"/>
      <c r="AJ76" s="125"/>
      <c r="AK76" s="242">
        <f>IF(AK75&gt;0,$E75/$F75,0)</f>
        <v>565.57142857142856</v>
      </c>
      <c r="AL76" s="242">
        <f t="shared" ref="AL76" si="1680">IF(AL75&gt;0,$E75/$F75,0)</f>
        <v>565.57142857142856</v>
      </c>
      <c r="AM76" s="242">
        <f t="shared" ref="AM76" si="1681">IF(AM75&gt;0,$E75/$F75,0)</f>
        <v>565.57142857142856</v>
      </c>
      <c r="AN76" s="242">
        <f t="shared" ref="AN76" si="1682">IF(AN75&gt;0,$E75/$F75,0)</f>
        <v>565.57142857142856</v>
      </c>
      <c r="AO76" s="242">
        <f t="shared" ref="AO76" si="1683">IF(AO75&gt;0,$E75/$F75,0)</f>
        <v>565.57142857142856</v>
      </c>
      <c r="AP76" s="242">
        <f t="shared" ref="AP76" si="1684">IF(AP75&gt;0,$E75/$F75,0)</f>
        <v>565.57142857142856</v>
      </c>
      <c r="AQ76" s="242">
        <f t="shared" ref="AQ76" si="1685">IF(AQ75&gt;0,$E75/$F75,0)</f>
        <v>565.57142857142856</v>
      </c>
      <c r="AR76" s="242">
        <f t="shared" ref="AR76" si="1686">IF(AR75&gt;0,$E75/$F75,0)</f>
        <v>565.57142857142856</v>
      </c>
      <c r="AS76" s="242">
        <f t="shared" ref="AS76" si="1687">IF(AS75&gt;0,$E75/$F75,0)</f>
        <v>565.57142857142856</v>
      </c>
      <c r="AT76" s="242">
        <f t="shared" ref="AT76" si="1688">IF(AT75&gt;0,$E75/$F75,0)</f>
        <v>565.57142857142856</v>
      </c>
      <c r="AU76" s="242">
        <f t="shared" ref="AU76" si="1689">IF(AU75&gt;0,$E75/$F75,0)</f>
        <v>565.57142857142856</v>
      </c>
      <c r="AV76" s="242">
        <f t="shared" ref="AV76" si="1690">IF(AV75&gt;0,$E75/$F75,0)</f>
        <v>565.57142857142856</v>
      </c>
      <c r="AW76" s="125"/>
      <c r="AX76" s="242">
        <f>IF(AX75&gt;0,$E75/$F75,0)</f>
        <v>565.57142857142856</v>
      </c>
      <c r="AY76" s="242">
        <f t="shared" ref="AY76" si="1691">IF(AY75&gt;0,$E75/$F75,0)</f>
        <v>565.57142857142856</v>
      </c>
      <c r="AZ76" s="242">
        <f t="shared" ref="AZ76" si="1692">IF(AZ75&gt;0,$E75/$F75,0)</f>
        <v>565.57142857142856</v>
      </c>
      <c r="BA76" s="242">
        <f t="shared" ref="BA76" si="1693">IF(BA75&gt;0,$E75/$F75,0)</f>
        <v>565.57142857142856</v>
      </c>
      <c r="BB76" s="242">
        <f t="shared" ref="BB76" si="1694">IF(BB75&gt;0,$E75/$F75,0)</f>
        <v>565.57142857142856</v>
      </c>
      <c r="BC76" s="242">
        <f t="shared" ref="BC76" si="1695">IF(BC75&gt;0,$E75/$F75,0)</f>
        <v>565.57142857142856</v>
      </c>
      <c r="BD76" s="242">
        <f t="shared" ref="BD76" si="1696">IF(BD75&gt;0,$E75/$F75,0)</f>
        <v>565.57142857142856</v>
      </c>
      <c r="BE76" s="242">
        <f t="shared" ref="BE76" si="1697">IF(BE75&gt;0,$E75/$F75,0)</f>
        <v>565.57142857142856</v>
      </c>
      <c r="BF76" s="242">
        <f t="shared" ref="BF76" si="1698">IF(BF75&gt;0,$E75/$F75,0)</f>
        <v>565.57142857142856</v>
      </c>
      <c r="BG76" s="242">
        <f t="shared" ref="BG76" si="1699">IF(BG75&gt;0,$E75/$F75,0)</f>
        <v>565.57142857142856</v>
      </c>
      <c r="BH76" s="242">
        <f t="shared" ref="BH76" si="1700">IF(BH75&gt;0,$E75/$F75,0)</f>
        <v>565.57142857142856</v>
      </c>
      <c r="BI76" s="242">
        <f t="shared" ref="BI76" si="1701">IF(BI75&gt;0,$E75/$F75,0)</f>
        <v>565.57142857142856</v>
      </c>
      <c r="BJ76" s="125"/>
      <c r="BK76" s="242">
        <f>IF(BK75&gt;0,$E75/$F75,0)</f>
        <v>565.57142857142856</v>
      </c>
      <c r="BL76" s="242">
        <f t="shared" ref="BL76" si="1702">IF(BL75&gt;0,$E75/$F75,0)</f>
        <v>565.57142857142856</v>
      </c>
      <c r="BM76" s="242">
        <f t="shared" ref="BM76" si="1703">IF(BM75&gt;0,$E75/$F75,0)</f>
        <v>565.57142857142856</v>
      </c>
      <c r="BN76" s="242">
        <f t="shared" ref="BN76" si="1704">IF(BN75&gt;0,$E75/$F75,0)</f>
        <v>0</v>
      </c>
      <c r="BO76" s="242">
        <f t="shared" ref="BO76" si="1705">IF(BO75&gt;0,$E75/$F75,0)</f>
        <v>0</v>
      </c>
      <c r="BP76" s="242">
        <f t="shared" ref="BP76" si="1706">IF(BP75&gt;0,$E75/$F75,0)</f>
        <v>0</v>
      </c>
      <c r="BQ76" s="242">
        <f t="shared" ref="BQ76" si="1707">IF(BQ75&gt;0,$E75/$F75,0)</f>
        <v>0</v>
      </c>
      <c r="BR76" s="242">
        <f t="shared" ref="BR76" si="1708">IF(BR75&gt;0,$E75/$F75,0)</f>
        <v>0</v>
      </c>
      <c r="BS76" s="242">
        <f t="shared" ref="BS76" si="1709">IF(BS75&gt;0,$E75/$F75,0)</f>
        <v>0</v>
      </c>
      <c r="BT76" s="242">
        <f t="shared" ref="BT76" si="1710">IF(BT75&gt;0,$E75/$F75,0)</f>
        <v>0</v>
      </c>
      <c r="BU76" s="242">
        <f t="shared" ref="BU76" si="1711">IF(BU75&gt;0,$E75/$F75,0)</f>
        <v>0</v>
      </c>
      <c r="BV76" s="242">
        <f t="shared" ref="BV76" si="1712">IF(BV75&gt;0,$E75/$F75,0)</f>
        <v>0</v>
      </c>
      <c r="BW76" s="125"/>
      <c r="BX76" s="242">
        <f>IF(BX75&gt;0,$E75/$F75,0)</f>
        <v>0</v>
      </c>
      <c r="BY76" s="242">
        <f t="shared" ref="BY76" si="1713">IF(BY75&gt;0,$E75/$F75,0)</f>
        <v>0</v>
      </c>
      <c r="BZ76" s="242">
        <f t="shared" ref="BZ76" si="1714">IF(BZ75&gt;0,$E75/$F75,0)</f>
        <v>0</v>
      </c>
      <c r="CA76" s="242">
        <f t="shared" ref="CA76" si="1715">IF(CA75&gt;0,$E75/$F75,0)</f>
        <v>0</v>
      </c>
      <c r="CB76" s="242">
        <f t="shared" ref="CB76" si="1716">IF(CB75&gt;0,$E75/$F75,0)</f>
        <v>0</v>
      </c>
      <c r="CC76" s="242">
        <f t="shared" ref="CC76" si="1717">IF(CC75&gt;0,$E75/$F75,0)</f>
        <v>0</v>
      </c>
      <c r="CD76" s="242">
        <f t="shared" ref="CD76" si="1718">IF(CD75&gt;0,$E75/$F75,0)</f>
        <v>0</v>
      </c>
      <c r="CE76" s="242">
        <f t="shared" ref="CE76" si="1719">IF(CE75&gt;0,$E75/$F75,0)</f>
        <v>0</v>
      </c>
      <c r="CF76" s="242">
        <f t="shared" ref="CF76" si="1720">IF(CF75&gt;0,$E75/$F75,0)</f>
        <v>0</v>
      </c>
      <c r="CG76" s="242">
        <f t="shared" ref="CG76" si="1721">IF(CG75&gt;0,$E75/$F75,0)</f>
        <v>0</v>
      </c>
      <c r="CH76" s="242">
        <f t="shared" ref="CH76" si="1722">IF(CH75&gt;0,$E75/$F75,0)</f>
        <v>0</v>
      </c>
      <c r="CI76" s="242">
        <f t="shared" ref="CI76" si="1723">IF(CI75&gt;0,$E75/$F75,0)</f>
        <v>0</v>
      </c>
      <c r="CJ76" s="125"/>
    </row>
    <row r="77" spans="1:88" ht="82.5" customHeight="1">
      <c r="A77" s="279">
        <v>36</v>
      </c>
      <c r="B77" s="282" t="s">
        <v>217</v>
      </c>
      <c r="C77" s="278" t="s">
        <v>208</v>
      </c>
      <c r="D77" s="279">
        <v>3</v>
      </c>
      <c r="E77" s="280">
        <v>9155</v>
      </c>
      <c r="F77" s="281">
        <f t="shared" ref="F77" si="1724">COUNTA(K77:V77,X77:AI77,AK77:AV77,AX77:BI77,BK77:BV77,BX77:CI77)</f>
        <v>20</v>
      </c>
      <c r="G77" s="136"/>
      <c r="H77" s="136"/>
      <c r="I77" s="136"/>
      <c r="J77" s="137"/>
      <c r="K77" s="136"/>
      <c r="L77" s="135"/>
      <c r="M77" s="136"/>
      <c r="N77" s="136"/>
      <c r="O77" s="135"/>
      <c r="P77" s="136"/>
      <c r="Q77" s="136"/>
      <c r="R77" s="136"/>
      <c r="S77" s="165"/>
      <c r="T77" s="136"/>
      <c r="U77" s="136"/>
      <c r="V77" s="136"/>
      <c r="W77" s="222">
        <f t="shared" ref="W77" si="1725">IF(K77="РНВ",$E77,IF(L77="РНВ",$E77,IF(M77="РНВ",$E77,IF(N77="РНВ",$E77,IF(O77="РНВ",$E77,IF(P77="РНВ",$E77,IF(Q77="РНВ",$E77,IF(R77="РНВ",$E77,IF(S77="РНВ",$E77,IF(T77="РНВ",$E77,IF(U77="РНВ",$E77,IF(V77="РНВ",$E77,0))))))))))))</f>
        <v>0</v>
      </c>
      <c r="X77" s="135"/>
      <c r="Y77" s="136"/>
      <c r="Z77" s="135"/>
      <c r="AA77" s="136"/>
      <c r="AB77" s="136"/>
      <c r="AC77" s="136"/>
      <c r="AD77" s="136"/>
      <c r="AE77" s="136"/>
      <c r="AF77" s="136"/>
      <c r="AG77" s="136"/>
      <c r="AH77" s="136"/>
      <c r="AI77" s="136"/>
      <c r="AJ77" s="222">
        <f t="shared" ref="AJ77" si="1726">IF(X77="РНВ",$E77,IF(Y77="РНВ",$E77,IF(Z77="РНВ",$E77,IF(AA77="РНВ",$E77,IF(AB77="РНВ",$E77,IF(AC77="РНВ",$E77,IF(AD77="РНВ",$E77,IF(AE77="РНВ",$E77,IF(AF77="РНВ",$E77,IF(AG77="РНВ",$E77,IF(AH77="РНВ",$E77,IF(AI77="РНВ",$E77,0))))))))))))</f>
        <v>0</v>
      </c>
      <c r="AK77" s="136"/>
      <c r="AL77" s="136"/>
      <c r="AM77" s="136"/>
      <c r="AN77" s="136"/>
      <c r="AO77" s="136"/>
      <c r="AP77" s="136"/>
      <c r="AQ77" s="136"/>
      <c r="AR77" s="151"/>
      <c r="AS77" s="151"/>
      <c r="AT77" s="151"/>
      <c r="AU77" s="151"/>
      <c r="AV77" s="151"/>
      <c r="AW77" s="222">
        <f t="shared" ref="AW77" si="1727">IF(AK77="РНВ",$E77,IF(AL77="РНВ",$E77,IF(AM77="РНВ",$E77,IF(AN77="РНВ",$E77,IF(AO77="РНВ",$E77,IF(AP77="РНВ",$E77,IF(AQ77="РНВ",$E77,IF(AR77="РНВ",$E77,IF(AS77="РНВ",$E77,IF(AT77="РНВ",$E77,IF(AU77="РНВ",$E77,IF(AV77="РНВ",$E77,0))))))))))))</f>
        <v>0</v>
      </c>
      <c r="AX77" s="151"/>
      <c r="AY77" s="151"/>
      <c r="AZ77" s="133">
        <v>1</v>
      </c>
      <c r="BA77" s="133">
        <v>1</v>
      </c>
      <c r="BB77" s="133">
        <v>1</v>
      </c>
      <c r="BC77" s="133">
        <v>1</v>
      </c>
      <c r="BD77" s="133">
        <v>1</v>
      </c>
      <c r="BE77" s="133">
        <v>1</v>
      </c>
      <c r="BF77" s="133">
        <v>1</v>
      </c>
      <c r="BG77" s="133">
        <v>1</v>
      </c>
      <c r="BH77" s="133">
        <v>1</v>
      </c>
      <c r="BI77" s="133">
        <v>1</v>
      </c>
      <c r="BJ77" s="222">
        <f t="shared" ref="BJ77" si="1728">IF(AX77="РНВ",$E77,IF(AY77="РНВ",$E77,IF(AZ77="РНВ",$E77,IF(BA77="РНВ",$E77,IF(BB77="РНВ",$E77,IF(BC77="РНВ",$E77,IF(BD77="РНВ",$E77,IF(BE77="РНВ",$E77,IF(BF77="РНВ",$E77,IF(BG77="РНВ",$E77,IF(BH77="РНВ",$E77,IF(BI77="РНВ",$E77,0))))))))))))</f>
        <v>0</v>
      </c>
      <c r="BK77" s="133">
        <v>1</v>
      </c>
      <c r="BL77" s="133">
        <v>1</v>
      </c>
      <c r="BM77" s="133">
        <v>1</v>
      </c>
      <c r="BN77" s="133">
        <v>1</v>
      </c>
      <c r="BO77" s="133">
        <v>1</v>
      </c>
      <c r="BP77" s="133">
        <v>1</v>
      </c>
      <c r="BQ77" s="133">
        <v>1</v>
      </c>
      <c r="BR77" s="133">
        <v>1</v>
      </c>
      <c r="BS77" s="133">
        <v>1</v>
      </c>
      <c r="BT77" s="223" t="s">
        <v>37</v>
      </c>
      <c r="BU77" s="136"/>
      <c r="BV77" s="157"/>
      <c r="BW77" s="222">
        <f t="shared" ref="BW77" si="1729">IF(BK77="РНВ",$E77,IF(BL77="РНВ",$E77,IF(BM77="РНВ",$E77,IF(BN77="РНВ",$E77,IF(BO77="РНВ",$E77,IF(BP77="РНВ",$E77,IF(BQ77="РНВ",$E77,IF(BR77="РНВ",$E77,IF(BS77="РНВ",$E77,IF(BT77="РНВ",$E77,IF(BU77="РНВ",$E77,IF(BV77="РНВ",$E77,0))))))))))))</f>
        <v>9155</v>
      </c>
      <c r="BX77" s="136"/>
      <c r="BY77" s="136"/>
      <c r="BZ77" s="136"/>
      <c r="CA77" s="136"/>
      <c r="CB77" s="136"/>
      <c r="CC77" s="136"/>
      <c r="CD77" s="136"/>
      <c r="CE77" s="136"/>
      <c r="CF77" s="136"/>
      <c r="CG77" s="136"/>
      <c r="CH77" s="136"/>
      <c r="CI77" s="136"/>
      <c r="CJ77" s="222">
        <f t="shared" ref="CJ77" si="1730">IF(BX77="РНВ",$E77,IF(BY77="РНВ",$E77,IF(BZ77="РНВ",$E77,IF(CA77="РНВ",$E77,IF(CB77="РНВ",$E77,IF(CC77="РНВ",$E77,IF(CD77="РНВ",$E77,IF(CE77="РНВ",$E77,IF(CF77="РНВ",$E77,IF(CG77="РНВ",$E77,IF(CH77="РНВ",$E77,IF(CI77="РНВ",$E77,0))))))))))))</f>
        <v>0</v>
      </c>
    </row>
    <row r="78" spans="1:88" ht="23.45" customHeight="1">
      <c r="A78" s="279"/>
      <c r="B78" s="279"/>
      <c r="C78" s="278"/>
      <c r="D78" s="279"/>
      <c r="E78" s="280"/>
      <c r="F78" s="279"/>
      <c r="G78" s="132"/>
      <c r="H78" s="132"/>
      <c r="I78" s="132"/>
      <c r="J78" s="125"/>
      <c r="K78" s="132"/>
      <c r="L78" s="131"/>
      <c r="M78" s="132"/>
      <c r="N78" s="132"/>
      <c r="O78" s="131"/>
      <c r="P78" s="132"/>
      <c r="Q78" s="132"/>
      <c r="R78" s="132"/>
      <c r="S78" s="168"/>
      <c r="T78" s="132"/>
      <c r="U78" s="132"/>
      <c r="V78" s="132"/>
      <c r="W78" s="125"/>
      <c r="X78" s="131"/>
      <c r="Y78" s="132"/>
      <c r="Z78" s="131"/>
      <c r="AA78" s="132"/>
      <c r="AB78" s="132"/>
      <c r="AC78" s="132"/>
      <c r="AD78" s="132"/>
      <c r="AE78" s="132"/>
      <c r="AF78" s="132"/>
      <c r="AG78" s="132"/>
      <c r="AH78" s="132"/>
      <c r="AI78" s="132"/>
      <c r="AJ78" s="125"/>
      <c r="AK78" s="242">
        <f>IF(AK77&gt;0,$E77/$F77,0)</f>
        <v>0</v>
      </c>
      <c r="AL78" s="242">
        <f t="shared" ref="AL78" si="1731">IF(AL77&gt;0,$E77/$F77,0)</f>
        <v>0</v>
      </c>
      <c r="AM78" s="242">
        <f t="shared" ref="AM78" si="1732">IF(AM77&gt;0,$E77/$F77,0)</f>
        <v>0</v>
      </c>
      <c r="AN78" s="242">
        <f t="shared" ref="AN78" si="1733">IF(AN77&gt;0,$E77/$F77,0)</f>
        <v>0</v>
      </c>
      <c r="AO78" s="242">
        <f t="shared" ref="AO78" si="1734">IF(AO77&gt;0,$E77/$F77,0)</f>
        <v>0</v>
      </c>
      <c r="AP78" s="242">
        <f t="shared" ref="AP78" si="1735">IF(AP77&gt;0,$E77/$F77,0)</f>
        <v>0</v>
      </c>
      <c r="AQ78" s="242">
        <f t="shared" ref="AQ78" si="1736">IF(AQ77&gt;0,$E77/$F77,0)</f>
        <v>0</v>
      </c>
      <c r="AR78" s="242">
        <f t="shared" ref="AR78" si="1737">IF(AR77&gt;0,$E77/$F77,0)</f>
        <v>0</v>
      </c>
      <c r="AS78" s="242">
        <f t="shared" ref="AS78" si="1738">IF(AS77&gt;0,$E77/$F77,0)</f>
        <v>0</v>
      </c>
      <c r="AT78" s="242">
        <f t="shared" ref="AT78" si="1739">IF(AT77&gt;0,$E77/$F77,0)</f>
        <v>0</v>
      </c>
      <c r="AU78" s="242">
        <f t="shared" ref="AU78" si="1740">IF(AU77&gt;0,$E77/$F77,0)</f>
        <v>0</v>
      </c>
      <c r="AV78" s="242">
        <f t="shared" ref="AV78" si="1741">IF(AV77&gt;0,$E77/$F77,0)</f>
        <v>0</v>
      </c>
      <c r="AW78" s="125"/>
      <c r="AX78" s="242">
        <f>IF(AX77&gt;0,$E77/$F77,0)</f>
        <v>0</v>
      </c>
      <c r="AY78" s="242">
        <f t="shared" ref="AY78" si="1742">IF(AY77&gt;0,$E77/$F77,0)</f>
        <v>0</v>
      </c>
      <c r="AZ78" s="242">
        <f t="shared" ref="AZ78" si="1743">IF(AZ77&gt;0,$E77/$F77,0)</f>
        <v>457.75</v>
      </c>
      <c r="BA78" s="242">
        <f t="shared" ref="BA78" si="1744">IF(BA77&gt;0,$E77/$F77,0)</f>
        <v>457.75</v>
      </c>
      <c r="BB78" s="242">
        <f t="shared" ref="BB78" si="1745">IF(BB77&gt;0,$E77/$F77,0)</f>
        <v>457.75</v>
      </c>
      <c r="BC78" s="242">
        <f t="shared" ref="BC78" si="1746">IF(BC77&gt;0,$E77/$F77,0)</f>
        <v>457.75</v>
      </c>
      <c r="BD78" s="242">
        <f t="shared" ref="BD78" si="1747">IF(BD77&gt;0,$E77/$F77,0)</f>
        <v>457.75</v>
      </c>
      <c r="BE78" s="242">
        <f t="shared" ref="BE78" si="1748">IF(BE77&gt;0,$E77/$F77,0)</f>
        <v>457.75</v>
      </c>
      <c r="BF78" s="242">
        <f t="shared" ref="BF78" si="1749">IF(BF77&gt;0,$E77/$F77,0)</f>
        <v>457.75</v>
      </c>
      <c r="BG78" s="242">
        <f t="shared" ref="BG78" si="1750">IF(BG77&gt;0,$E77/$F77,0)</f>
        <v>457.75</v>
      </c>
      <c r="BH78" s="242">
        <f t="shared" ref="BH78" si="1751">IF(BH77&gt;0,$E77/$F77,0)</f>
        <v>457.75</v>
      </c>
      <c r="BI78" s="242">
        <f t="shared" ref="BI78" si="1752">IF(BI77&gt;0,$E77/$F77,0)</f>
        <v>457.75</v>
      </c>
      <c r="BJ78" s="125"/>
      <c r="BK78" s="242">
        <f>IF(BK77&gt;0,$E77/$F77,0)</f>
        <v>457.75</v>
      </c>
      <c r="BL78" s="242">
        <f t="shared" ref="BL78" si="1753">IF(BL77&gt;0,$E77/$F77,0)</f>
        <v>457.75</v>
      </c>
      <c r="BM78" s="242">
        <f t="shared" ref="BM78" si="1754">IF(BM77&gt;0,$E77/$F77,0)</f>
        <v>457.75</v>
      </c>
      <c r="BN78" s="242">
        <f t="shared" ref="BN78" si="1755">IF(BN77&gt;0,$E77/$F77,0)</f>
        <v>457.75</v>
      </c>
      <c r="BO78" s="242">
        <f t="shared" ref="BO78" si="1756">IF(BO77&gt;0,$E77/$F77,0)</f>
        <v>457.75</v>
      </c>
      <c r="BP78" s="242">
        <f t="shared" ref="BP78" si="1757">IF(BP77&gt;0,$E77/$F77,0)</f>
        <v>457.75</v>
      </c>
      <c r="BQ78" s="242">
        <f t="shared" ref="BQ78" si="1758">IF(BQ77&gt;0,$E77/$F77,0)</f>
        <v>457.75</v>
      </c>
      <c r="BR78" s="242">
        <f t="shared" ref="BR78" si="1759">IF(BR77&gt;0,$E77/$F77,0)</f>
        <v>457.75</v>
      </c>
      <c r="BS78" s="242">
        <f t="shared" ref="BS78" si="1760">IF(BS77&gt;0,$E77/$F77,0)</f>
        <v>457.75</v>
      </c>
      <c r="BT78" s="242">
        <f t="shared" ref="BT78" si="1761">IF(BT77&gt;0,$E77/$F77,0)</f>
        <v>457.75</v>
      </c>
      <c r="BU78" s="242">
        <f t="shared" ref="BU78" si="1762">IF(BU77&gt;0,$E77/$F77,0)</f>
        <v>0</v>
      </c>
      <c r="BV78" s="242">
        <f t="shared" ref="BV78" si="1763">IF(BV77&gt;0,$E77/$F77,0)</f>
        <v>0</v>
      </c>
      <c r="BW78" s="125"/>
      <c r="BX78" s="242">
        <f>IF(BX77&gt;0,$E77/$F77,0)</f>
        <v>0</v>
      </c>
      <c r="BY78" s="242">
        <f t="shared" ref="BY78" si="1764">IF(BY77&gt;0,$E77/$F77,0)</f>
        <v>0</v>
      </c>
      <c r="BZ78" s="242">
        <f t="shared" ref="BZ78" si="1765">IF(BZ77&gt;0,$E77/$F77,0)</f>
        <v>0</v>
      </c>
      <c r="CA78" s="242">
        <f t="shared" ref="CA78" si="1766">IF(CA77&gt;0,$E77/$F77,0)</f>
        <v>0</v>
      </c>
      <c r="CB78" s="242">
        <f t="shared" ref="CB78" si="1767">IF(CB77&gt;0,$E77/$F77,0)</f>
        <v>0</v>
      </c>
      <c r="CC78" s="242">
        <f t="shared" ref="CC78" si="1768">IF(CC77&gt;0,$E77/$F77,0)</f>
        <v>0</v>
      </c>
      <c r="CD78" s="242">
        <f t="shared" ref="CD78" si="1769">IF(CD77&gt;0,$E77/$F77,0)</f>
        <v>0</v>
      </c>
      <c r="CE78" s="242">
        <f t="shared" ref="CE78" si="1770">IF(CE77&gt;0,$E77/$F77,0)</f>
        <v>0</v>
      </c>
      <c r="CF78" s="242">
        <f t="shared" ref="CF78" si="1771">IF(CF77&gt;0,$E77/$F77,0)</f>
        <v>0</v>
      </c>
      <c r="CG78" s="242">
        <f t="shared" ref="CG78" si="1772">IF(CG77&gt;0,$E77/$F77,0)</f>
        <v>0</v>
      </c>
      <c r="CH78" s="242">
        <f t="shared" ref="CH78" si="1773">IF(CH77&gt;0,$E77/$F77,0)</f>
        <v>0</v>
      </c>
      <c r="CI78" s="242">
        <f t="shared" ref="CI78" si="1774">IF(CI77&gt;0,$E77/$F77,0)</f>
        <v>0</v>
      </c>
      <c r="CJ78" s="125"/>
    </row>
    <row r="79" spans="1:88" ht="82.5" customHeight="1">
      <c r="A79" s="284">
        <v>37</v>
      </c>
      <c r="B79" s="282" t="s">
        <v>218</v>
      </c>
      <c r="C79" s="278" t="s">
        <v>208</v>
      </c>
      <c r="D79" s="279">
        <v>3</v>
      </c>
      <c r="E79" s="280">
        <v>9858</v>
      </c>
      <c r="F79" s="281">
        <f t="shared" ref="F79" si="1775">COUNTA(K79:V79,X79:AI79,AK79:AV79,AX79:BI79,BK79:BV79,BX79:CI79)</f>
        <v>24</v>
      </c>
      <c r="G79" s="157"/>
      <c r="H79" s="157"/>
      <c r="I79" s="157"/>
      <c r="J79" s="125"/>
      <c r="K79" s="157"/>
      <c r="L79" s="158"/>
      <c r="M79" s="157"/>
      <c r="N79" s="157"/>
      <c r="O79" s="158"/>
      <c r="P79" s="157"/>
      <c r="Q79" s="157"/>
      <c r="R79" s="157"/>
      <c r="S79" s="157"/>
      <c r="T79" s="157"/>
      <c r="U79" s="157"/>
      <c r="V79" s="157"/>
      <c r="W79" s="222">
        <f t="shared" ref="W79" si="1776">IF(K79="РНВ",$E79,IF(L79="РНВ",$E79,IF(M79="РНВ",$E79,IF(N79="РНВ",$E79,IF(O79="РНВ",$E79,IF(P79="РНВ",$E79,IF(Q79="РНВ",$E79,IF(R79="РНВ",$E79,IF(S79="РНВ",$E79,IF(T79="РНВ",$E79,IF(U79="РНВ",$E79,IF(V79="РНВ",$E79,0))))))))))))</f>
        <v>0</v>
      </c>
      <c r="X79" s="158"/>
      <c r="Y79" s="157"/>
      <c r="Z79" s="158"/>
      <c r="AA79" s="157"/>
      <c r="AB79" s="157"/>
      <c r="AC79" s="157"/>
      <c r="AD79" s="157"/>
      <c r="AE79" s="157"/>
      <c r="AF79" s="157"/>
      <c r="AG79" s="136"/>
      <c r="AH79" s="157"/>
      <c r="AI79" s="157"/>
      <c r="AJ79" s="222">
        <f t="shared" ref="AJ79" si="1777">IF(X79="РНВ",$E79,IF(Y79="РНВ",$E79,IF(Z79="РНВ",$E79,IF(AA79="РНВ",$E79,IF(AB79="РНВ",$E79,IF(AC79="РНВ",$E79,IF(AD79="РНВ",$E79,IF(AE79="РНВ",$E79,IF(AF79="РНВ",$E79,IF(AG79="РНВ",$E79,IF(AH79="РНВ",$E79,IF(AI79="РНВ",$E79,0))))))))))))</f>
        <v>0</v>
      </c>
      <c r="AK79" s="157"/>
      <c r="AL79" s="157"/>
      <c r="AM79" s="157"/>
      <c r="AN79" s="157"/>
      <c r="AO79" s="157"/>
      <c r="AP79" s="157"/>
      <c r="AQ79" s="157"/>
      <c r="AR79" s="157"/>
      <c r="AS79" s="157"/>
      <c r="AT79" s="157"/>
      <c r="AU79" s="157"/>
      <c r="AV79" s="157"/>
      <c r="AW79" s="222">
        <f t="shared" ref="AW79" si="1778">IF(AK79="РНВ",$E79,IF(AL79="РНВ",$E79,IF(AM79="РНВ",$E79,IF(AN79="РНВ",$E79,IF(AO79="РНВ",$E79,IF(AP79="РНВ",$E79,IF(AQ79="РНВ",$E79,IF(AR79="РНВ",$E79,IF(AS79="РНВ",$E79,IF(AT79="РНВ",$E79,IF(AU79="РНВ",$E79,IF(AV79="РНВ",$E79,0))))))))))))</f>
        <v>0</v>
      </c>
      <c r="AX79" s="157"/>
      <c r="AY79" s="157"/>
      <c r="AZ79" s="157"/>
      <c r="BA79" s="157"/>
      <c r="BB79" s="157"/>
      <c r="BC79" s="157"/>
      <c r="BD79" s="157"/>
      <c r="BE79" s="133">
        <v>1</v>
      </c>
      <c r="BF79" s="133">
        <v>1</v>
      </c>
      <c r="BG79" s="133">
        <v>1</v>
      </c>
      <c r="BH79" s="133">
        <v>1</v>
      </c>
      <c r="BI79" s="133">
        <v>1</v>
      </c>
      <c r="BJ79" s="222">
        <f t="shared" ref="BJ79" si="1779">IF(AX79="РНВ",$E79,IF(AY79="РНВ",$E79,IF(AZ79="РНВ",$E79,IF(BA79="РНВ",$E79,IF(BB79="РНВ",$E79,IF(BC79="РНВ",$E79,IF(BD79="РНВ",$E79,IF(BE79="РНВ",$E79,IF(BF79="РНВ",$E79,IF(BG79="РНВ",$E79,IF(BH79="РНВ",$E79,IF(BI79="РНВ",$E79,0))))))))))))</f>
        <v>0</v>
      </c>
      <c r="BK79" s="133">
        <v>1</v>
      </c>
      <c r="BL79" s="133">
        <v>1</v>
      </c>
      <c r="BM79" s="133">
        <v>1</v>
      </c>
      <c r="BN79" s="133">
        <v>1</v>
      </c>
      <c r="BO79" s="133">
        <v>1</v>
      </c>
      <c r="BP79" s="133">
        <v>1</v>
      </c>
      <c r="BQ79" s="133">
        <v>1</v>
      </c>
      <c r="BR79" s="133">
        <v>1</v>
      </c>
      <c r="BS79" s="133">
        <v>1</v>
      </c>
      <c r="BT79" s="133">
        <v>1</v>
      </c>
      <c r="BU79" s="133">
        <v>1</v>
      </c>
      <c r="BV79" s="133">
        <v>1</v>
      </c>
      <c r="BW79" s="222">
        <f t="shared" ref="BW79" si="1780">IF(BK79="РНВ",$E79,IF(BL79="РНВ",$E79,IF(BM79="РНВ",$E79,IF(BN79="РНВ",$E79,IF(BO79="РНВ",$E79,IF(BP79="РНВ",$E79,IF(BQ79="РНВ",$E79,IF(BR79="РНВ",$E79,IF(BS79="РНВ",$E79,IF(BT79="РНВ",$E79,IF(BU79="РНВ",$E79,IF(BV79="РНВ",$E79,0))))))))))))</f>
        <v>0</v>
      </c>
      <c r="BX79" s="133">
        <v>1</v>
      </c>
      <c r="BY79" s="133">
        <v>1</v>
      </c>
      <c r="BZ79" s="133">
        <v>1</v>
      </c>
      <c r="CA79" s="133">
        <v>1</v>
      </c>
      <c r="CB79" s="133">
        <v>1</v>
      </c>
      <c r="CC79" s="133">
        <v>1</v>
      </c>
      <c r="CD79" s="223" t="s">
        <v>37</v>
      </c>
      <c r="CE79" s="151"/>
      <c r="CF79" s="151"/>
      <c r="CG79" s="151"/>
      <c r="CH79" s="151"/>
      <c r="CI79" s="151"/>
      <c r="CJ79" s="222">
        <f t="shared" ref="CJ79" si="1781">IF(BX79="РНВ",$E79,IF(BY79="РНВ",$E79,IF(BZ79="РНВ",$E79,IF(CA79="РНВ",$E79,IF(CB79="РНВ",$E79,IF(CC79="РНВ",$E79,IF(CD79="РНВ",$E79,IF(CE79="РНВ",$E79,IF(CF79="РНВ",$E79,IF(CG79="РНВ",$E79,IF(CH79="РНВ",$E79,IF(CI79="РНВ",$E79,0))))))))))))</f>
        <v>9858</v>
      </c>
    </row>
    <row r="80" spans="1:88" ht="19.899999999999999" customHeight="1">
      <c r="A80" s="279"/>
      <c r="B80" s="279"/>
      <c r="C80" s="278"/>
      <c r="D80" s="279"/>
      <c r="E80" s="280"/>
      <c r="F80" s="279"/>
      <c r="G80" s="132"/>
      <c r="H80" s="132"/>
      <c r="I80" s="132"/>
      <c r="J80" s="125"/>
      <c r="K80" s="132"/>
      <c r="L80" s="131"/>
      <c r="M80" s="132"/>
      <c r="N80" s="132"/>
      <c r="O80" s="131"/>
      <c r="P80" s="132"/>
      <c r="Q80" s="132"/>
      <c r="R80" s="132"/>
      <c r="S80" s="132"/>
      <c r="T80" s="132"/>
      <c r="U80" s="132"/>
      <c r="V80" s="132"/>
      <c r="W80" s="125"/>
      <c r="X80" s="131"/>
      <c r="Y80" s="132"/>
      <c r="Z80" s="131"/>
      <c r="AA80" s="132"/>
      <c r="AB80" s="132"/>
      <c r="AC80" s="132"/>
      <c r="AD80" s="132"/>
      <c r="AE80" s="132"/>
      <c r="AF80" s="132"/>
      <c r="AG80" s="132"/>
      <c r="AH80" s="132"/>
      <c r="AI80" s="132"/>
      <c r="AJ80" s="125"/>
      <c r="AK80" s="242">
        <f>IF(AK79&gt;0,$E79/$F79,0)</f>
        <v>0</v>
      </c>
      <c r="AL80" s="242">
        <f t="shared" ref="AL80" si="1782">IF(AL79&gt;0,$E79/$F79,0)</f>
        <v>0</v>
      </c>
      <c r="AM80" s="242">
        <f t="shared" ref="AM80" si="1783">IF(AM79&gt;0,$E79/$F79,0)</f>
        <v>0</v>
      </c>
      <c r="AN80" s="242">
        <f t="shared" ref="AN80" si="1784">IF(AN79&gt;0,$E79/$F79,0)</f>
        <v>0</v>
      </c>
      <c r="AO80" s="242">
        <f t="shared" ref="AO80" si="1785">IF(AO79&gt;0,$E79/$F79,0)</f>
        <v>0</v>
      </c>
      <c r="AP80" s="242">
        <f t="shared" ref="AP80" si="1786">IF(AP79&gt;0,$E79/$F79,0)</f>
        <v>0</v>
      </c>
      <c r="AQ80" s="242">
        <f t="shared" ref="AQ80" si="1787">IF(AQ79&gt;0,$E79/$F79,0)</f>
        <v>0</v>
      </c>
      <c r="AR80" s="242">
        <f t="shared" ref="AR80" si="1788">IF(AR79&gt;0,$E79/$F79,0)</f>
        <v>0</v>
      </c>
      <c r="AS80" s="242">
        <f t="shared" ref="AS80" si="1789">IF(AS79&gt;0,$E79/$F79,0)</f>
        <v>0</v>
      </c>
      <c r="AT80" s="242">
        <f t="shared" ref="AT80" si="1790">IF(AT79&gt;0,$E79/$F79,0)</f>
        <v>0</v>
      </c>
      <c r="AU80" s="242">
        <f t="shared" ref="AU80" si="1791">IF(AU79&gt;0,$E79/$F79,0)</f>
        <v>0</v>
      </c>
      <c r="AV80" s="242">
        <f t="shared" ref="AV80" si="1792">IF(AV79&gt;0,$E79/$F79,0)</f>
        <v>0</v>
      </c>
      <c r="AW80" s="125"/>
      <c r="AX80" s="242">
        <f>IF(AX79&gt;0,$E79/$F79,0)</f>
        <v>0</v>
      </c>
      <c r="AY80" s="242">
        <f t="shared" ref="AY80" si="1793">IF(AY79&gt;0,$E79/$F79,0)</f>
        <v>0</v>
      </c>
      <c r="AZ80" s="242">
        <f t="shared" ref="AZ80" si="1794">IF(AZ79&gt;0,$E79/$F79,0)</f>
        <v>0</v>
      </c>
      <c r="BA80" s="242">
        <f t="shared" ref="BA80" si="1795">IF(BA79&gt;0,$E79/$F79,0)</f>
        <v>0</v>
      </c>
      <c r="BB80" s="242">
        <f t="shared" ref="BB80" si="1796">IF(BB79&gt;0,$E79/$F79,0)</f>
        <v>0</v>
      </c>
      <c r="BC80" s="242">
        <f t="shared" ref="BC80" si="1797">IF(BC79&gt;0,$E79/$F79,0)</f>
        <v>0</v>
      </c>
      <c r="BD80" s="242">
        <f t="shared" ref="BD80" si="1798">IF(BD79&gt;0,$E79/$F79,0)</f>
        <v>0</v>
      </c>
      <c r="BE80" s="242">
        <f t="shared" ref="BE80" si="1799">IF(BE79&gt;0,$E79/$F79,0)</f>
        <v>410.75</v>
      </c>
      <c r="BF80" s="242">
        <f t="shared" ref="BF80" si="1800">IF(BF79&gt;0,$E79/$F79,0)</f>
        <v>410.75</v>
      </c>
      <c r="BG80" s="242">
        <f t="shared" ref="BG80" si="1801">IF(BG79&gt;0,$E79/$F79,0)</f>
        <v>410.75</v>
      </c>
      <c r="BH80" s="242">
        <f t="shared" ref="BH80" si="1802">IF(BH79&gt;0,$E79/$F79,0)</f>
        <v>410.75</v>
      </c>
      <c r="BI80" s="242">
        <f t="shared" ref="BI80" si="1803">IF(BI79&gt;0,$E79/$F79,0)</f>
        <v>410.75</v>
      </c>
      <c r="BJ80" s="125"/>
      <c r="BK80" s="242">
        <f>IF(BK79&gt;0,$E79/$F79,0)</f>
        <v>410.75</v>
      </c>
      <c r="BL80" s="242">
        <f t="shared" ref="BL80" si="1804">IF(BL79&gt;0,$E79/$F79,0)</f>
        <v>410.75</v>
      </c>
      <c r="BM80" s="242">
        <f t="shared" ref="BM80" si="1805">IF(BM79&gt;0,$E79/$F79,0)</f>
        <v>410.75</v>
      </c>
      <c r="BN80" s="242">
        <f t="shared" ref="BN80" si="1806">IF(BN79&gt;0,$E79/$F79,0)</f>
        <v>410.75</v>
      </c>
      <c r="BO80" s="242">
        <f t="shared" ref="BO80" si="1807">IF(BO79&gt;0,$E79/$F79,0)</f>
        <v>410.75</v>
      </c>
      <c r="BP80" s="242">
        <f t="shared" ref="BP80" si="1808">IF(BP79&gt;0,$E79/$F79,0)</f>
        <v>410.75</v>
      </c>
      <c r="BQ80" s="242">
        <f t="shared" ref="BQ80" si="1809">IF(BQ79&gt;0,$E79/$F79,0)</f>
        <v>410.75</v>
      </c>
      <c r="BR80" s="242">
        <f t="shared" ref="BR80" si="1810">IF(BR79&gt;0,$E79/$F79,0)</f>
        <v>410.75</v>
      </c>
      <c r="BS80" s="242">
        <f t="shared" ref="BS80" si="1811">IF(BS79&gt;0,$E79/$F79,0)</f>
        <v>410.75</v>
      </c>
      <c r="BT80" s="242">
        <f t="shared" ref="BT80" si="1812">IF(BT79&gt;0,$E79/$F79,0)</f>
        <v>410.75</v>
      </c>
      <c r="BU80" s="242">
        <f t="shared" ref="BU80" si="1813">IF(BU79&gt;0,$E79/$F79,0)</f>
        <v>410.75</v>
      </c>
      <c r="BV80" s="242">
        <f t="shared" ref="BV80" si="1814">IF(BV79&gt;0,$E79/$F79,0)</f>
        <v>410.75</v>
      </c>
      <c r="BW80" s="125"/>
      <c r="BX80" s="242">
        <f>IF(BX79&gt;0,$E79/$F79,0)</f>
        <v>410.75</v>
      </c>
      <c r="BY80" s="242">
        <f t="shared" ref="BY80" si="1815">IF(BY79&gt;0,$E79/$F79,0)</f>
        <v>410.75</v>
      </c>
      <c r="BZ80" s="242">
        <f t="shared" ref="BZ80" si="1816">IF(BZ79&gt;0,$E79/$F79,0)</f>
        <v>410.75</v>
      </c>
      <c r="CA80" s="242">
        <f t="shared" ref="CA80" si="1817">IF(CA79&gt;0,$E79/$F79,0)</f>
        <v>410.75</v>
      </c>
      <c r="CB80" s="242">
        <f t="shared" ref="CB80" si="1818">IF(CB79&gt;0,$E79/$F79,0)</f>
        <v>410.75</v>
      </c>
      <c r="CC80" s="242">
        <f t="shared" ref="CC80" si="1819">IF(CC79&gt;0,$E79/$F79,0)</f>
        <v>410.75</v>
      </c>
      <c r="CD80" s="242">
        <f t="shared" ref="CD80" si="1820">IF(CD79&gt;0,$E79/$F79,0)</f>
        <v>410.75</v>
      </c>
      <c r="CE80" s="242">
        <f t="shared" ref="CE80" si="1821">IF(CE79&gt;0,$E79/$F79,0)</f>
        <v>0</v>
      </c>
      <c r="CF80" s="242">
        <f t="shared" ref="CF80" si="1822">IF(CF79&gt;0,$E79/$F79,0)</f>
        <v>0</v>
      </c>
      <c r="CG80" s="242">
        <f t="shared" ref="CG80" si="1823">IF(CG79&gt;0,$E79/$F79,0)</f>
        <v>0</v>
      </c>
      <c r="CH80" s="242">
        <f t="shared" ref="CH80" si="1824">IF(CH79&gt;0,$E79/$F79,0)</f>
        <v>0</v>
      </c>
      <c r="CI80" s="242">
        <f t="shared" ref="CI80" si="1825">IF(CI79&gt;0,$E79/$F79,0)</f>
        <v>0</v>
      </c>
      <c r="CJ80" s="125"/>
    </row>
    <row r="81" spans="1:88" s="264" customFormat="1" ht="69.75" customHeight="1">
      <c r="A81" s="284">
        <v>38</v>
      </c>
      <c r="B81" s="285" t="s">
        <v>231</v>
      </c>
      <c r="C81" s="286" t="s">
        <v>242</v>
      </c>
      <c r="D81" s="279">
        <v>3</v>
      </c>
      <c r="E81" s="280">
        <v>9523</v>
      </c>
      <c r="F81" s="281">
        <f t="shared" ref="F81" si="1826">COUNTA(K81:V81,X81:AI81,AK81:AV81,AX81:BI81,BK81:BV81,BX81:CI81)</f>
        <v>21</v>
      </c>
      <c r="G81" s="165"/>
      <c r="H81" s="157"/>
      <c r="I81" s="165"/>
      <c r="J81" s="125"/>
      <c r="K81" s="165"/>
      <c r="L81" s="158"/>
      <c r="M81" s="165"/>
      <c r="N81" s="157"/>
      <c r="O81" s="169"/>
      <c r="P81" s="157"/>
      <c r="Q81" s="165"/>
      <c r="R81" s="157"/>
      <c r="S81" s="165"/>
      <c r="T81" s="157"/>
      <c r="U81" s="165"/>
      <c r="V81" s="157"/>
      <c r="W81" s="222">
        <f t="shared" ref="W81" si="1827">IF(K81="РНВ",$E81,IF(L81="РНВ",$E81,IF(M81="РНВ",$E81,IF(N81="РНВ",$E81,IF(O81="РНВ",$E81,IF(P81="РНВ",$E81,IF(Q81="РНВ",$E81,IF(R81="РНВ",$E81,IF(S81="РНВ",$E81,IF(T81="РНВ",$E81,IF(U81="РНВ",$E81,IF(V81="РНВ",$E81,0))))))))))))</f>
        <v>0</v>
      </c>
      <c r="X81" s="158"/>
      <c r="Y81" s="261"/>
      <c r="Z81" s="158"/>
      <c r="AA81" s="261"/>
      <c r="AB81" s="157"/>
      <c r="AC81" s="261"/>
      <c r="AD81" s="157"/>
      <c r="AE81" s="261"/>
      <c r="AF81" s="157"/>
      <c r="AG81" s="261"/>
      <c r="AH81" s="157"/>
      <c r="AI81" s="261"/>
      <c r="AJ81" s="222">
        <f t="shared" ref="AJ81" si="1828">IF(X81="РНВ",$E81,IF(Y81="РНВ",$E81,IF(Z81="РНВ",$E81,IF(AA81="РНВ",$E81,IF(AB81="РНВ",$E81,IF(AC81="РНВ",$E81,IF(AD81="РНВ",$E81,IF(AE81="РНВ",$E81,IF(AF81="РНВ",$E81,IF(AG81="РНВ",$E81,IF(AH81="РНВ",$E81,IF(AI81="РНВ",$E81,0))))))))))))</f>
        <v>0</v>
      </c>
      <c r="AK81" s="261"/>
      <c r="AL81" s="157"/>
      <c r="AM81" s="261"/>
      <c r="AN81" s="157"/>
      <c r="AO81" s="261"/>
      <c r="AP81" s="157"/>
      <c r="AQ81" s="261"/>
      <c r="AR81" s="157"/>
      <c r="AS81" s="261"/>
      <c r="AT81" s="157"/>
      <c r="AU81" s="261"/>
      <c r="AV81" s="157"/>
      <c r="AW81" s="222">
        <f t="shared" ref="AW81" si="1829">IF(AK81="РНВ",$E81,IF(AL81="РНВ",$E81,IF(AM81="РНВ",$E81,IF(AN81="РНВ",$E81,IF(AO81="РНВ",$E81,IF(AP81="РНВ",$E81,IF(AQ81="РНВ",$E81,IF(AR81="РНВ",$E81,IF(AS81="РНВ",$E81,IF(AT81="РНВ",$E81,IF(AU81="РНВ",$E81,IF(AV81="РНВ",$E81,0))))))))))))</f>
        <v>0</v>
      </c>
      <c r="AX81" s="261"/>
      <c r="AY81" s="157"/>
      <c r="AZ81" s="261"/>
      <c r="BA81" s="157"/>
      <c r="BB81" s="261"/>
      <c r="BC81" s="157"/>
      <c r="BD81" s="261"/>
      <c r="BE81" s="157"/>
      <c r="BF81" s="261"/>
      <c r="BG81" s="157"/>
      <c r="BH81" s="261"/>
      <c r="BI81" s="157"/>
      <c r="BJ81" s="222">
        <f t="shared" ref="BJ81" si="1830">IF(AX81="РНВ",$E81,IF(AY81="РНВ",$E81,IF(AZ81="РНВ",$E81,IF(BA81="РНВ",$E81,IF(BB81="РНВ",$E81,IF(BC81="РНВ",$E81,IF(BD81="РНВ",$E81,IF(BE81="РНВ",$E81,IF(BF81="РНВ",$E81,IF(BG81="РНВ",$E81,IF(BH81="РНВ",$E81,IF(BI81="РНВ",$E81,0))))))))))))</f>
        <v>0</v>
      </c>
      <c r="BK81" s="261"/>
      <c r="BL81" s="157"/>
      <c r="BM81" s="262">
        <v>1</v>
      </c>
      <c r="BN81" s="262">
        <v>1</v>
      </c>
      <c r="BO81" s="262">
        <v>1</v>
      </c>
      <c r="BP81" s="262">
        <v>1</v>
      </c>
      <c r="BQ81" s="262">
        <v>1</v>
      </c>
      <c r="BR81" s="262">
        <v>1</v>
      </c>
      <c r="BS81" s="262">
        <v>1</v>
      </c>
      <c r="BT81" s="262">
        <v>1</v>
      </c>
      <c r="BU81" s="262">
        <v>1</v>
      </c>
      <c r="BV81" s="262">
        <v>1</v>
      </c>
      <c r="BW81" s="222">
        <f t="shared" ref="BW81" si="1831">IF(BK81="РНВ",$E81,IF(BL81="РНВ",$E81,IF(BM81="РНВ",$E81,IF(BN81="РНВ",$E81,IF(BO81="РНВ",$E81,IF(BP81="РНВ",$E81,IF(BQ81="РНВ",$E81,IF(BR81="РНВ",$E81,IF(BS81="РНВ",$E81,IF(BT81="РНВ",$E81,IF(BU81="РНВ",$E81,IF(BV81="РНВ",$E81,0))))))))))))</f>
        <v>0</v>
      </c>
      <c r="BX81" s="262">
        <v>1</v>
      </c>
      <c r="BY81" s="262">
        <v>1</v>
      </c>
      <c r="BZ81" s="262">
        <v>1</v>
      </c>
      <c r="CA81" s="262">
        <v>1</v>
      </c>
      <c r="CB81" s="262">
        <v>1</v>
      </c>
      <c r="CC81" s="262">
        <v>1</v>
      </c>
      <c r="CD81" s="262">
        <v>1</v>
      </c>
      <c r="CE81" s="262">
        <v>1</v>
      </c>
      <c r="CF81" s="262">
        <v>1</v>
      </c>
      <c r="CG81" s="262">
        <v>1</v>
      </c>
      <c r="CH81" s="263" t="s">
        <v>37</v>
      </c>
      <c r="CI81" s="157"/>
      <c r="CJ81" s="222">
        <f t="shared" ref="CJ81" si="1832">IF(BX81="РНВ",$E81,IF(BY81="РНВ",$E81,IF(BZ81="РНВ",$E81,IF(CA81="РНВ",$E81,IF(CB81="РНВ",$E81,IF(CC81="РНВ",$E81,IF(CD81="РНВ",$E81,IF(CE81="РНВ",$E81,IF(CF81="РНВ",$E81,IF(CG81="РНВ",$E81,IF(CH81="РНВ",$E81,IF(CI81="РНВ",$E81,0))))))))))))</f>
        <v>9523</v>
      </c>
    </row>
    <row r="82" spans="1:88" ht="19.899999999999999" customHeight="1">
      <c r="A82" s="288"/>
      <c r="B82" s="288"/>
      <c r="C82" s="289"/>
      <c r="D82" s="288"/>
      <c r="E82" s="290"/>
      <c r="F82" s="288"/>
      <c r="G82" s="132"/>
      <c r="H82" s="164"/>
      <c r="I82" s="132"/>
      <c r="J82" s="170"/>
      <c r="K82" s="132"/>
      <c r="L82" s="171"/>
      <c r="M82" s="132"/>
      <c r="N82" s="164"/>
      <c r="O82" s="131"/>
      <c r="P82" s="164"/>
      <c r="Q82" s="132"/>
      <c r="R82" s="164"/>
      <c r="S82" s="132"/>
      <c r="T82" s="164"/>
      <c r="U82" s="132"/>
      <c r="V82" s="164"/>
      <c r="W82" s="125"/>
      <c r="X82" s="171"/>
      <c r="Y82" s="147"/>
      <c r="Z82" s="171"/>
      <c r="AA82" s="147"/>
      <c r="AB82" s="164"/>
      <c r="AC82" s="147"/>
      <c r="AD82" s="164"/>
      <c r="AE82" s="147"/>
      <c r="AF82" s="164"/>
      <c r="AG82" s="147"/>
      <c r="AH82" s="164"/>
      <c r="AI82" s="147"/>
      <c r="AJ82" s="148"/>
      <c r="AK82" s="260">
        <f>IF(AK81&gt;0,$E81/$F81,0)</f>
        <v>0</v>
      </c>
      <c r="AL82" s="260">
        <f t="shared" ref="AL82" si="1833">IF(AL81&gt;0,$E81/$F81,0)</f>
        <v>0</v>
      </c>
      <c r="AM82" s="260">
        <f t="shared" ref="AM82" si="1834">IF(AM81&gt;0,$E81/$F81,0)</f>
        <v>0</v>
      </c>
      <c r="AN82" s="260">
        <f t="shared" ref="AN82" si="1835">IF(AN81&gt;0,$E81/$F81,0)</f>
        <v>0</v>
      </c>
      <c r="AO82" s="260">
        <f t="shared" ref="AO82" si="1836">IF(AO81&gt;0,$E81/$F81,0)</f>
        <v>0</v>
      </c>
      <c r="AP82" s="260">
        <f t="shared" ref="AP82" si="1837">IF(AP81&gt;0,$E81/$F81,0)</f>
        <v>0</v>
      </c>
      <c r="AQ82" s="260">
        <f t="shared" ref="AQ82" si="1838">IF(AQ81&gt;0,$E81/$F81,0)</f>
        <v>0</v>
      </c>
      <c r="AR82" s="260">
        <f t="shared" ref="AR82" si="1839">IF(AR81&gt;0,$E81/$F81,0)</f>
        <v>0</v>
      </c>
      <c r="AS82" s="260">
        <f t="shared" ref="AS82" si="1840">IF(AS81&gt;0,$E81/$F81,0)</f>
        <v>0</v>
      </c>
      <c r="AT82" s="260">
        <f t="shared" ref="AT82" si="1841">IF(AT81&gt;0,$E81/$F81,0)</f>
        <v>0</v>
      </c>
      <c r="AU82" s="260">
        <f t="shared" ref="AU82" si="1842">IF(AU81&gt;0,$E81/$F81,0)</f>
        <v>0</v>
      </c>
      <c r="AV82" s="260">
        <f t="shared" ref="AV82" si="1843">IF(AV81&gt;0,$E81/$F81,0)</f>
        <v>0</v>
      </c>
      <c r="AW82" s="148"/>
      <c r="AX82" s="260">
        <f>IF(AX81&gt;0,$E81/$F81,0)</f>
        <v>0</v>
      </c>
      <c r="AY82" s="260">
        <f t="shared" ref="AY82" si="1844">IF(AY81&gt;0,$E81/$F81,0)</f>
        <v>0</v>
      </c>
      <c r="AZ82" s="260">
        <f t="shared" ref="AZ82" si="1845">IF(AZ81&gt;0,$E81/$F81,0)</f>
        <v>0</v>
      </c>
      <c r="BA82" s="260">
        <f t="shared" ref="BA82" si="1846">IF(BA81&gt;0,$E81/$F81,0)</f>
        <v>0</v>
      </c>
      <c r="BB82" s="260">
        <f t="shared" ref="BB82" si="1847">IF(BB81&gt;0,$E81/$F81,0)</f>
        <v>0</v>
      </c>
      <c r="BC82" s="260">
        <f t="shared" ref="BC82" si="1848">IF(BC81&gt;0,$E81/$F81,0)</f>
        <v>0</v>
      </c>
      <c r="BD82" s="260">
        <f t="shared" ref="BD82" si="1849">IF(BD81&gt;0,$E81/$F81,0)</f>
        <v>0</v>
      </c>
      <c r="BE82" s="260">
        <f t="shared" ref="BE82" si="1850">IF(BE81&gt;0,$E81/$F81,0)</f>
        <v>0</v>
      </c>
      <c r="BF82" s="260">
        <f t="shared" ref="BF82" si="1851">IF(BF81&gt;0,$E81/$F81,0)</f>
        <v>0</v>
      </c>
      <c r="BG82" s="260">
        <f t="shared" ref="BG82" si="1852">IF(BG81&gt;0,$E81/$F81,0)</f>
        <v>0</v>
      </c>
      <c r="BH82" s="260">
        <f t="shared" ref="BH82" si="1853">IF(BH81&gt;0,$E81/$F81,0)</f>
        <v>0</v>
      </c>
      <c r="BI82" s="260">
        <f t="shared" ref="BI82" si="1854">IF(BI81&gt;0,$E81/$F81,0)</f>
        <v>0</v>
      </c>
      <c r="BJ82" s="148"/>
      <c r="BK82" s="260">
        <f>IF(BK81&gt;0,$E81/$F81,0)</f>
        <v>0</v>
      </c>
      <c r="BL82" s="260">
        <f t="shared" ref="BL82" si="1855">IF(BL81&gt;0,$E81/$F81,0)</f>
        <v>0</v>
      </c>
      <c r="BM82" s="260">
        <f t="shared" ref="BM82" si="1856">IF(BM81&gt;0,$E81/$F81,0)</f>
        <v>453.47619047619048</v>
      </c>
      <c r="BN82" s="260">
        <f t="shared" ref="BN82" si="1857">IF(BN81&gt;0,$E81/$F81,0)</f>
        <v>453.47619047619048</v>
      </c>
      <c r="BO82" s="260">
        <f t="shared" ref="BO82" si="1858">IF(BO81&gt;0,$E81/$F81,0)</f>
        <v>453.47619047619048</v>
      </c>
      <c r="BP82" s="260">
        <f t="shared" ref="BP82" si="1859">IF(BP81&gt;0,$E81/$F81,0)</f>
        <v>453.47619047619048</v>
      </c>
      <c r="BQ82" s="260">
        <f t="shared" ref="BQ82" si="1860">IF(BQ81&gt;0,$E81/$F81,0)</f>
        <v>453.47619047619048</v>
      </c>
      <c r="BR82" s="260">
        <f t="shared" ref="BR82" si="1861">IF(BR81&gt;0,$E81/$F81,0)</f>
        <v>453.47619047619048</v>
      </c>
      <c r="BS82" s="260">
        <f t="shared" ref="BS82" si="1862">IF(BS81&gt;0,$E81/$F81,0)</f>
        <v>453.47619047619048</v>
      </c>
      <c r="BT82" s="260">
        <f t="shared" ref="BT82" si="1863">IF(BT81&gt;0,$E81/$F81,0)</f>
        <v>453.47619047619048</v>
      </c>
      <c r="BU82" s="260">
        <f t="shared" ref="BU82" si="1864">IF(BU81&gt;0,$E81/$F81,0)</f>
        <v>453.47619047619048</v>
      </c>
      <c r="BV82" s="260">
        <f t="shared" ref="BV82" si="1865">IF(BV81&gt;0,$E81/$F81,0)</f>
        <v>453.47619047619048</v>
      </c>
      <c r="BW82" s="148"/>
      <c r="BX82" s="260">
        <f>IF(BX81&gt;0,$E81/$F81,0)</f>
        <v>453.47619047619048</v>
      </c>
      <c r="BY82" s="260">
        <f t="shared" ref="BY82" si="1866">IF(BY81&gt;0,$E81/$F81,0)</f>
        <v>453.47619047619048</v>
      </c>
      <c r="BZ82" s="260">
        <f t="shared" ref="BZ82" si="1867">IF(BZ81&gt;0,$E81/$F81,0)</f>
        <v>453.47619047619048</v>
      </c>
      <c r="CA82" s="260">
        <f t="shared" ref="CA82" si="1868">IF(CA81&gt;0,$E81/$F81,0)</f>
        <v>453.47619047619048</v>
      </c>
      <c r="CB82" s="260">
        <f t="shared" ref="CB82" si="1869">IF(CB81&gt;0,$E81/$F81,0)</f>
        <v>453.47619047619048</v>
      </c>
      <c r="CC82" s="260">
        <f t="shared" ref="CC82" si="1870">IF(CC81&gt;0,$E81/$F81,0)</f>
        <v>453.47619047619048</v>
      </c>
      <c r="CD82" s="260">
        <f t="shared" ref="CD82" si="1871">IF(CD81&gt;0,$E81/$F81,0)</f>
        <v>453.47619047619048</v>
      </c>
      <c r="CE82" s="260">
        <f t="shared" ref="CE82" si="1872">IF(CE81&gt;0,$E81/$F81,0)</f>
        <v>453.47619047619048</v>
      </c>
      <c r="CF82" s="260">
        <f t="shared" ref="CF82" si="1873">IF(CF81&gt;0,$E81/$F81,0)</f>
        <v>453.47619047619048</v>
      </c>
      <c r="CG82" s="260">
        <f t="shared" ref="CG82" si="1874">IF(CG81&gt;0,$E81/$F81,0)</f>
        <v>453.47619047619048</v>
      </c>
      <c r="CH82" s="260">
        <f t="shared" ref="CH82" si="1875">IF(CH81&gt;0,$E81/$F81,0)</f>
        <v>453.47619047619048</v>
      </c>
      <c r="CI82" s="260">
        <f t="shared" ref="CI82" si="1876">IF(CI81&gt;0,$E81/$F81,0)</f>
        <v>0</v>
      </c>
      <c r="CJ82" s="148"/>
    </row>
    <row r="83" spans="1:88" ht="82.15" customHeight="1">
      <c r="A83" s="279">
        <v>39</v>
      </c>
      <c r="B83" s="291" t="s">
        <v>211</v>
      </c>
      <c r="C83" s="278" t="s">
        <v>208</v>
      </c>
      <c r="D83" s="279">
        <v>6</v>
      </c>
      <c r="E83" s="293">
        <v>20241</v>
      </c>
      <c r="F83" s="281">
        <f t="shared" ref="F83" si="1877">COUNTA(K83:V83,X83:AI83,AK83:AV83,AX83:BI83,BK83:BV83,BX83:CI83)</f>
        <v>28</v>
      </c>
      <c r="G83" s="136"/>
      <c r="H83" s="136"/>
      <c r="I83" s="135"/>
      <c r="J83" s="172"/>
      <c r="K83" s="136"/>
      <c r="L83" s="136"/>
      <c r="M83" s="136"/>
      <c r="N83" s="135"/>
      <c r="O83" s="136"/>
      <c r="P83" s="136"/>
      <c r="Q83" s="135"/>
      <c r="R83" s="136"/>
      <c r="S83" s="136"/>
      <c r="T83" s="136"/>
      <c r="U83" s="136"/>
      <c r="V83" s="136"/>
      <c r="W83" s="222">
        <f t="shared" ref="W83" si="1878">IF(K83="РНВ",$E83,IF(L83="РНВ",$E83,IF(M83="РНВ",$E83,IF(N83="РНВ",$E83,IF(O83="РНВ",$E83,IF(P83="РНВ",$E83,IF(Q83="РНВ",$E83,IF(R83="РНВ",$E83,IF(S83="РНВ",$E83,IF(T83="РНВ",$E83,IF(U83="РНВ",$E83,IF(V83="РНВ",$E83,0))))))))))))</f>
        <v>0</v>
      </c>
      <c r="X83" s="135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222">
        <f t="shared" ref="AJ83" si="1879">IF(X83="РНВ",$E83,IF(Y83="РНВ",$E83,IF(Z83="РНВ",$E83,IF(AA83="РНВ",$E83,IF(AB83="РНВ",$E83,IF(AC83="РНВ",$E83,IF(AD83="РНВ",$E83,IF(AE83="РНВ",$E83,IF(AF83="РНВ",$E83,IF(AG83="РНВ",$E83,IF(AH83="РНВ",$E83,IF(AI83="РНВ",$E83,0))))))))))))</f>
        <v>0</v>
      </c>
      <c r="AK83" s="259">
        <v>1</v>
      </c>
      <c r="AL83" s="259">
        <v>1</v>
      </c>
      <c r="AM83" s="259">
        <v>1</v>
      </c>
      <c r="AN83" s="133">
        <v>1</v>
      </c>
      <c r="AO83" s="133">
        <v>1</v>
      </c>
      <c r="AP83" s="133">
        <v>1</v>
      </c>
      <c r="AQ83" s="133">
        <v>1</v>
      </c>
      <c r="AR83" s="133">
        <v>1</v>
      </c>
      <c r="AS83" s="133">
        <v>1</v>
      </c>
      <c r="AT83" s="133">
        <v>1</v>
      </c>
      <c r="AU83" s="133">
        <v>1</v>
      </c>
      <c r="AV83" s="133">
        <v>1</v>
      </c>
      <c r="AW83" s="222">
        <f t="shared" ref="AW83" si="1880">IF(AK83="РНВ",$E83,IF(AL83="РНВ",$E83,IF(AM83="РНВ",$E83,IF(AN83="РНВ",$E83,IF(AO83="РНВ",$E83,IF(AP83="РНВ",$E83,IF(AQ83="РНВ",$E83,IF(AR83="РНВ",$E83,IF(AS83="РНВ",$E83,IF(AT83="РНВ",$E83,IF(AU83="РНВ",$E83,IF(AV83="РНВ",$E83,0))))))))))))</f>
        <v>0</v>
      </c>
      <c r="AX83" s="133">
        <v>1</v>
      </c>
      <c r="AY83" s="133">
        <v>1</v>
      </c>
      <c r="AZ83" s="133">
        <v>1</v>
      </c>
      <c r="BA83" s="133">
        <v>1</v>
      </c>
      <c r="BB83" s="133">
        <v>1</v>
      </c>
      <c r="BC83" s="133">
        <v>1</v>
      </c>
      <c r="BD83" s="133">
        <v>1</v>
      </c>
      <c r="BE83" s="133">
        <v>1</v>
      </c>
      <c r="BF83" s="133">
        <v>1</v>
      </c>
      <c r="BG83" s="133">
        <v>1</v>
      </c>
      <c r="BH83" s="133">
        <v>1</v>
      </c>
      <c r="BI83" s="133">
        <v>1</v>
      </c>
      <c r="BJ83" s="222">
        <f t="shared" ref="BJ83" si="1881">IF(AX83="РНВ",$E83,IF(AY83="РНВ",$E83,IF(AZ83="РНВ",$E83,IF(BA83="РНВ",$E83,IF(BB83="РНВ",$E83,IF(BC83="РНВ",$E83,IF(BD83="РНВ",$E83,IF(BE83="РНВ",$E83,IF(BF83="РНВ",$E83,IF(BG83="РНВ",$E83,IF(BH83="РНВ",$E83,IF(BI83="РНВ",$E83,0))))))))))))</f>
        <v>0</v>
      </c>
      <c r="BK83" s="133">
        <v>1</v>
      </c>
      <c r="BL83" s="133">
        <v>1</v>
      </c>
      <c r="BM83" s="133">
        <v>1</v>
      </c>
      <c r="BN83" s="223" t="s">
        <v>37</v>
      </c>
      <c r="BO83" s="136"/>
      <c r="BP83" s="136"/>
      <c r="BQ83" s="136"/>
      <c r="BR83" s="136"/>
      <c r="BS83" s="136"/>
      <c r="BT83" s="136"/>
      <c r="BU83" s="136"/>
      <c r="BV83" s="136"/>
      <c r="BW83" s="222">
        <f t="shared" ref="BW83" si="1882">IF(BK83="РНВ",$E83,IF(BL83="РНВ",$E83,IF(BM83="РНВ",$E83,IF(BN83="РНВ",$E83,IF(BO83="РНВ",$E83,IF(BP83="РНВ",$E83,IF(BQ83="РНВ",$E83,IF(BR83="РНВ",$E83,IF(BS83="РНВ",$E83,IF(BT83="РНВ",$E83,IF(BU83="РНВ",$E83,IF(BV83="РНВ",$E83,0))))))))))))</f>
        <v>20241</v>
      </c>
      <c r="BX83" s="136"/>
      <c r="BY83" s="136"/>
      <c r="BZ83" s="136"/>
      <c r="CA83" s="136"/>
      <c r="CB83" s="136"/>
      <c r="CC83" s="136"/>
      <c r="CD83" s="136"/>
      <c r="CE83" s="136"/>
      <c r="CF83" s="136"/>
      <c r="CG83" s="136"/>
      <c r="CH83" s="136"/>
      <c r="CI83" s="136"/>
      <c r="CJ83" s="222">
        <f t="shared" ref="CJ83" si="1883">IF(BX83="РНВ",$E83,IF(BY83="РНВ",$E83,IF(BZ83="РНВ",$E83,IF(CA83="РНВ",$E83,IF(CB83="РНВ",$E83,IF(CC83="РНВ",$E83,IF(CD83="РНВ",$E83,IF(CE83="РНВ",$E83,IF(CF83="РНВ",$E83,IF(CG83="РНВ",$E83,IF(CH83="РНВ",$E83,IF(CI83="РНВ",$E83,0))))))))))))</f>
        <v>0</v>
      </c>
    </row>
    <row r="84" spans="1:88" ht="22.15" customHeight="1">
      <c r="A84" s="279"/>
      <c r="B84" s="279"/>
      <c r="C84" s="278"/>
      <c r="D84" s="279"/>
      <c r="E84" s="280"/>
      <c r="F84" s="279"/>
      <c r="G84" s="173"/>
      <c r="H84" s="173"/>
      <c r="I84" s="174"/>
      <c r="J84" s="172"/>
      <c r="K84" s="173"/>
      <c r="L84" s="173"/>
      <c r="M84" s="173"/>
      <c r="N84" s="174"/>
      <c r="O84" s="173"/>
      <c r="P84" s="173"/>
      <c r="Q84" s="174"/>
      <c r="R84" s="173"/>
      <c r="S84" s="173"/>
      <c r="T84" s="173"/>
      <c r="U84" s="173"/>
      <c r="V84" s="164"/>
      <c r="W84" s="125"/>
      <c r="X84" s="174"/>
      <c r="Y84" s="173"/>
      <c r="Z84" s="173"/>
      <c r="AA84" s="173"/>
      <c r="AB84" s="173"/>
      <c r="AC84" s="173"/>
      <c r="AD84" s="173"/>
      <c r="AE84" s="173"/>
      <c r="AF84" s="173"/>
      <c r="AG84" s="173"/>
      <c r="AH84" s="173"/>
      <c r="AI84" s="173"/>
      <c r="AJ84" s="125"/>
      <c r="AK84" s="242">
        <f>IF(AK83&gt;0,$E83/$F83,0)</f>
        <v>722.89285714285711</v>
      </c>
      <c r="AL84" s="242">
        <f t="shared" ref="AL84" si="1884">IF(AL83&gt;0,$E83/$F83,0)</f>
        <v>722.89285714285711</v>
      </c>
      <c r="AM84" s="242">
        <f t="shared" ref="AM84" si="1885">IF(AM83&gt;0,$E83/$F83,0)</f>
        <v>722.89285714285711</v>
      </c>
      <c r="AN84" s="242">
        <f t="shared" ref="AN84" si="1886">IF(AN83&gt;0,$E83/$F83,0)</f>
        <v>722.89285714285711</v>
      </c>
      <c r="AO84" s="242">
        <f t="shared" ref="AO84" si="1887">IF(AO83&gt;0,$E83/$F83,0)</f>
        <v>722.89285714285711</v>
      </c>
      <c r="AP84" s="242">
        <f t="shared" ref="AP84" si="1888">IF(AP83&gt;0,$E83/$F83,0)</f>
        <v>722.89285714285711</v>
      </c>
      <c r="AQ84" s="242">
        <f t="shared" ref="AQ84" si="1889">IF(AQ83&gt;0,$E83/$F83,0)</f>
        <v>722.89285714285711</v>
      </c>
      <c r="AR84" s="242">
        <f t="shared" ref="AR84" si="1890">IF(AR83&gt;0,$E83/$F83,0)</f>
        <v>722.89285714285711</v>
      </c>
      <c r="AS84" s="242">
        <f t="shared" ref="AS84" si="1891">IF(AS83&gt;0,$E83/$F83,0)</f>
        <v>722.89285714285711</v>
      </c>
      <c r="AT84" s="242">
        <f t="shared" ref="AT84" si="1892">IF(AT83&gt;0,$E83/$F83,0)</f>
        <v>722.89285714285711</v>
      </c>
      <c r="AU84" s="242">
        <f t="shared" ref="AU84" si="1893">IF(AU83&gt;0,$E83/$F83,0)</f>
        <v>722.89285714285711</v>
      </c>
      <c r="AV84" s="242">
        <f t="shared" ref="AV84" si="1894">IF(AV83&gt;0,$E83/$F83,0)</f>
        <v>722.89285714285711</v>
      </c>
      <c r="AW84" s="125"/>
      <c r="AX84" s="242">
        <f>IF(AX83&gt;0,$E83/$F83,0)</f>
        <v>722.89285714285711</v>
      </c>
      <c r="AY84" s="242">
        <f t="shared" ref="AY84" si="1895">IF(AY83&gt;0,$E83/$F83,0)</f>
        <v>722.89285714285711</v>
      </c>
      <c r="AZ84" s="242">
        <f t="shared" ref="AZ84" si="1896">IF(AZ83&gt;0,$E83/$F83,0)</f>
        <v>722.89285714285711</v>
      </c>
      <c r="BA84" s="242">
        <f t="shared" ref="BA84" si="1897">IF(BA83&gt;0,$E83/$F83,0)</f>
        <v>722.89285714285711</v>
      </c>
      <c r="BB84" s="242">
        <f t="shared" ref="BB84" si="1898">IF(BB83&gt;0,$E83/$F83,0)</f>
        <v>722.89285714285711</v>
      </c>
      <c r="BC84" s="242">
        <f t="shared" ref="BC84" si="1899">IF(BC83&gt;0,$E83/$F83,0)</f>
        <v>722.89285714285711</v>
      </c>
      <c r="BD84" s="242">
        <f t="shared" ref="BD84" si="1900">IF(BD83&gt;0,$E83/$F83,0)</f>
        <v>722.89285714285711</v>
      </c>
      <c r="BE84" s="242">
        <f t="shared" ref="BE84" si="1901">IF(BE83&gt;0,$E83/$F83,0)</f>
        <v>722.89285714285711</v>
      </c>
      <c r="BF84" s="242">
        <f t="shared" ref="BF84" si="1902">IF(BF83&gt;0,$E83/$F83,0)</f>
        <v>722.89285714285711</v>
      </c>
      <c r="BG84" s="242">
        <f t="shared" ref="BG84" si="1903">IF(BG83&gt;0,$E83/$F83,0)</f>
        <v>722.89285714285711</v>
      </c>
      <c r="BH84" s="242">
        <f t="shared" ref="BH84" si="1904">IF(BH83&gt;0,$E83/$F83,0)</f>
        <v>722.89285714285711</v>
      </c>
      <c r="BI84" s="242">
        <f t="shared" ref="BI84" si="1905">IF(BI83&gt;0,$E83/$F83,0)</f>
        <v>722.89285714285711</v>
      </c>
      <c r="BJ84" s="125"/>
      <c r="BK84" s="242">
        <f>IF(BK83&gt;0,$E83/$F83,0)</f>
        <v>722.89285714285711</v>
      </c>
      <c r="BL84" s="242">
        <f t="shared" ref="BL84" si="1906">IF(BL83&gt;0,$E83/$F83,0)</f>
        <v>722.89285714285711</v>
      </c>
      <c r="BM84" s="242">
        <f t="shared" ref="BM84" si="1907">IF(BM83&gt;0,$E83/$F83,0)</f>
        <v>722.89285714285711</v>
      </c>
      <c r="BN84" s="242">
        <f t="shared" ref="BN84" si="1908">IF(BN83&gt;0,$E83/$F83,0)</f>
        <v>722.89285714285711</v>
      </c>
      <c r="BO84" s="242">
        <f t="shared" ref="BO84" si="1909">IF(BO83&gt;0,$E83/$F83,0)</f>
        <v>0</v>
      </c>
      <c r="BP84" s="242">
        <f t="shared" ref="BP84" si="1910">IF(BP83&gt;0,$E83/$F83,0)</f>
        <v>0</v>
      </c>
      <c r="BQ84" s="242">
        <f t="shared" ref="BQ84" si="1911">IF(BQ83&gt;0,$E83/$F83,0)</f>
        <v>0</v>
      </c>
      <c r="BR84" s="242">
        <f t="shared" ref="BR84" si="1912">IF(BR83&gt;0,$E83/$F83,0)</f>
        <v>0</v>
      </c>
      <c r="BS84" s="242">
        <f t="shared" ref="BS84" si="1913">IF(BS83&gt;0,$E83/$F83,0)</f>
        <v>0</v>
      </c>
      <c r="BT84" s="242">
        <f t="shared" ref="BT84" si="1914">IF(BT83&gt;0,$E83/$F83,0)</f>
        <v>0</v>
      </c>
      <c r="BU84" s="242">
        <f t="shared" ref="BU84" si="1915">IF(BU83&gt;0,$E83/$F83,0)</f>
        <v>0</v>
      </c>
      <c r="BV84" s="242">
        <f t="shared" ref="BV84" si="1916">IF(BV83&gt;0,$E83/$F83,0)</f>
        <v>0</v>
      </c>
      <c r="BW84" s="125"/>
      <c r="BX84" s="242">
        <f>IF(BX83&gt;0,$E83/$F83,0)</f>
        <v>0</v>
      </c>
      <c r="BY84" s="242">
        <f t="shared" ref="BY84" si="1917">IF(BY83&gt;0,$E83/$F83,0)</f>
        <v>0</v>
      </c>
      <c r="BZ84" s="242">
        <f t="shared" ref="BZ84" si="1918">IF(BZ83&gt;0,$E83/$F83,0)</f>
        <v>0</v>
      </c>
      <c r="CA84" s="242">
        <f t="shared" ref="CA84" si="1919">IF(CA83&gt;0,$E83/$F83,0)</f>
        <v>0</v>
      </c>
      <c r="CB84" s="242">
        <f t="shared" ref="CB84" si="1920">IF(CB83&gt;0,$E83/$F83,0)</f>
        <v>0</v>
      </c>
      <c r="CC84" s="242">
        <f t="shared" ref="CC84" si="1921">IF(CC83&gt;0,$E83/$F83,0)</f>
        <v>0</v>
      </c>
      <c r="CD84" s="242">
        <f t="shared" ref="CD84" si="1922">IF(CD83&gt;0,$E83/$F83,0)</f>
        <v>0</v>
      </c>
      <c r="CE84" s="242">
        <f t="shared" ref="CE84" si="1923">IF(CE83&gt;0,$E83/$F83,0)</f>
        <v>0</v>
      </c>
      <c r="CF84" s="242">
        <f t="shared" ref="CF84" si="1924">IF(CF83&gt;0,$E83/$F83,0)</f>
        <v>0</v>
      </c>
      <c r="CG84" s="242">
        <f t="shared" ref="CG84" si="1925">IF(CG83&gt;0,$E83/$F83,0)</f>
        <v>0</v>
      </c>
      <c r="CH84" s="242">
        <f t="shared" ref="CH84" si="1926">IF(CH83&gt;0,$E83/$F83,0)</f>
        <v>0</v>
      </c>
      <c r="CI84" s="242">
        <f t="shared" ref="CI84" si="1927">IF(CI83&gt;0,$E83/$F83,0)</f>
        <v>0</v>
      </c>
      <c r="CJ84" s="125"/>
    </row>
    <row r="85" spans="1:88" ht="82.15" customHeight="1">
      <c r="A85" s="291">
        <v>40</v>
      </c>
      <c r="B85" s="291" t="s">
        <v>239</v>
      </c>
      <c r="C85" s="291" t="s">
        <v>187</v>
      </c>
      <c r="D85" s="291"/>
      <c r="E85" s="293">
        <f>E94-E88-E90-E91</f>
        <v>110307.79000000004</v>
      </c>
      <c r="F85" s="281">
        <f t="shared" ref="F85" si="1928">COUNTA(K85:V85,X85:AI85,AK85:AV85,AX85:BI85,BK85:BV85,BX85:CI85)</f>
        <v>0</v>
      </c>
      <c r="G85" s="136"/>
      <c r="H85" s="136"/>
      <c r="I85" s="135"/>
      <c r="J85" s="172"/>
      <c r="K85" s="136"/>
      <c r="L85" s="136"/>
      <c r="M85" s="136"/>
      <c r="N85" s="135"/>
      <c r="O85" s="136"/>
      <c r="P85" s="136"/>
      <c r="Q85" s="135"/>
      <c r="R85" s="136"/>
      <c r="S85" s="136"/>
      <c r="T85" s="136"/>
      <c r="U85" s="136"/>
      <c r="V85" s="136"/>
      <c r="W85" s="222">
        <f>IF(K85="РНВ",$E85,IF(L85="РНВ",$E85,IF(M85="РНВ",$E85,IF(N85="РНВ",$E85,IF(O85="РНВ",$E85,IF(P85="РНВ",$E85,IF(Q85="РНВ",$E85,IF(R85="РНВ",$E85,IF(S85="РНВ",$E85,IF(T85="РНВ",$E85,IF(U85="РНВ",$E85,IF(V85="РНВ",$E85,0))))))))))))</f>
        <v>0</v>
      </c>
      <c r="X85" s="135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222">
        <f>IF(X85="РНВ",$E85,IF(Y85="РНВ",$E85,IF(Z85="РНВ",$E85,IF(AA85="РНВ",$E85,IF(AB85="РНВ",$E85,IF(AC85="РНВ",$E85,IF(AD85="РНВ",$E85,IF(AE85="РНВ",$E85,IF(AF85="РНВ",$E85,IF(AG85="РНВ",$E85,IF(AH85="РНВ",$E85,IF(AI85="РНВ",$E85,0))))))))))))</f>
        <v>0</v>
      </c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222">
        <f>IF(AK85="РНВ",$E85,IF(AL85="РНВ",$E85,IF(AM85="РНВ",$E85,IF(AN85="РНВ",$E85,IF(AO85="РНВ",$E85,IF(AP85="РНВ",$E85,IF(AQ85="РНВ",$E85,IF(AR85="РНВ",$E85,IF(AS85="РНВ",$E85,IF(AT85="РНВ",$E85,IF(AU85="РНВ",$E85,IF(AV85="РНВ",$E85,0))))))))))))</f>
        <v>0</v>
      </c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222">
        <f>IF(AX85="РНВ",$E85,IF(AY85="РНВ",$E85,IF(AZ85="РНВ",$E85,IF(BA85="РНВ",$E85,IF(BB85="РНВ",$E85,IF(BC85="РНВ",$E85,IF(BD85="РНВ",$E85,IF(BE85="РНВ",$E85,IF(BF85="РНВ",$E85,IF(BG85="РНВ",$E85,IF(BH85="РНВ",$E85,IF(BI85="РНВ",$E85,0))))))))))))</f>
        <v>0</v>
      </c>
      <c r="BK85" s="136"/>
      <c r="BL85" s="136"/>
      <c r="BM85" s="136"/>
      <c r="BN85" s="136"/>
      <c r="BO85" s="136"/>
      <c r="BP85" s="136"/>
      <c r="BQ85" s="136"/>
      <c r="BR85" s="136"/>
      <c r="BS85" s="136"/>
      <c r="BT85" s="136"/>
      <c r="BU85" s="136"/>
      <c r="BV85" s="136"/>
      <c r="BW85" s="222">
        <f>IF(BK85="РНВ",$E85,IF(BL85="РНВ",$E85,IF(BM85="РНВ",$E85,IF(BN85="РНВ",$E85,IF(BO85="РНВ",$E85,IF(BP85="РНВ",$E85,IF(BQ85="РНВ",$E85,IF(BR85="РНВ",$E85,IF(BS85="РНВ",$E85,IF(BT85="РНВ",$E85,IF(BU85="РНВ",$E85,IF(BV85="РНВ",$E85,0))))))))))))</f>
        <v>0</v>
      </c>
      <c r="BX85" s="136"/>
      <c r="BY85" s="136"/>
      <c r="BZ85" s="136"/>
      <c r="CA85" s="136"/>
      <c r="CB85" s="136"/>
      <c r="CC85" s="136"/>
      <c r="CD85" s="136"/>
      <c r="CE85" s="136"/>
      <c r="CF85" s="136"/>
      <c r="CG85" s="136"/>
      <c r="CH85" s="136"/>
      <c r="CI85" s="136"/>
      <c r="CJ85" s="222">
        <f>IF(BX85="РНВ",$E85,IF(BY85="РНВ",$E85,IF(BZ85="РНВ",$E85,IF(CA85="РНВ",$E85,IF(CB85="РНВ",$E85,IF(CC85="РНВ",$E85,IF(CD85="РНВ",$E85,IF(CE85="РНВ",$E85,IF(CF85="РНВ",$E85,IF(CG85="РНВ",$E85,IF(CH85="РНВ",$E85,IF(CI85="РНВ",$E85,0))))))))))))</f>
        <v>0</v>
      </c>
    </row>
    <row r="86" spans="1:88" ht="22.15" customHeight="1">
      <c r="A86" s="288"/>
      <c r="B86" s="292"/>
      <c r="C86" s="288"/>
      <c r="D86" s="288"/>
      <c r="E86" s="290"/>
      <c r="F86" s="279"/>
      <c r="G86" s="173"/>
      <c r="H86" s="173"/>
      <c r="I86" s="174"/>
      <c r="J86" s="172"/>
      <c r="K86" s="173"/>
      <c r="L86" s="173"/>
      <c r="M86" s="173"/>
      <c r="N86" s="174"/>
      <c r="O86" s="173"/>
      <c r="P86" s="173"/>
      <c r="Q86" s="174"/>
      <c r="R86" s="173"/>
      <c r="S86" s="173"/>
      <c r="T86" s="173"/>
      <c r="U86" s="173"/>
      <c r="V86" s="164"/>
      <c r="W86" s="125"/>
      <c r="X86" s="174"/>
      <c r="Y86" s="173"/>
      <c r="Z86" s="173"/>
      <c r="AA86" s="173"/>
      <c r="AB86" s="173"/>
      <c r="AC86" s="173"/>
      <c r="AD86" s="173"/>
      <c r="AE86" s="173"/>
      <c r="AF86" s="173"/>
      <c r="AG86" s="173"/>
      <c r="AH86" s="173"/>
      <c r="AI86" s="173"/>
      <c r="AJ86" s="125"/>
      <c r="AK86" s="242">
        <f>IF(AK85&gt;0,$E85/$F85,0)</f>
        <v>0</v>
      </c>
      <c r="AL86" s="242">
        <f t="shared" ref="AL86" si="1929">IF(AL85&gt;0,$E85/$F85,0)</f>
        <v>0</v>
      </c>
      <c r="AM86" s="242">
        <f t="shared" ref="AM86" si="1930">IF(AM85&gt;0,$E85/$F85,0)</f>
        <v>0</v>
      </c>
      <c r="AN86" s="242">
        <f t="shared" ref="AN86" si="1931">IF(AN85&gt;0,$E85/$F85,0)</f>
        <v>0</v>
      </c>
      <c r="AO86" s="242">
        <f t="shared" ref="AO86" si="1932">IF(AO85&gt;0,$E85/$F85,0)</f>
        <v>0</v>
      </c>
      <c r="AP86" s="242">
        <f t="shared" ref="AP86" si="1933">IF(AP85&gt;0,$E85/$F85,0)</f>
        <v>0</v>
      </c>
      <c r="AQ86" s="242">
        <f t="shared" ref="AQ86" si="1934">IF(AQ85&gt;0,$E85/$F85,0)</f>
        <v>0</v>
      </c>
      <c r="AR86" s="242">
        <f t="shared" ref="AR86" si="1935">IF(AR85&gt;0,$E85/$F85,0)</f>
        <v>0</v>
      </c>
      <c r="AS86" s="242">
        <f t="shared" ref="AS86" si="1936">IF(AS85&gt;0,$E85/$F85,0)</f>
        <v>0</v>
      </c>
      <c r="AT86" s="242">
        <f t="shared" ref="AT86" si="1937">IF(AT85&gt;0,$E85/$F85,0)</f>
        <v>0</v>
      </c>
      <c r="AU86" s="242">
        <f t="shared" ref="AU86" si="1938">IF(AU85&gt;0,$E85/$F85,0)</f>
        <v>0</v>
      </c>
      <c r="AV86" s="242">
        <f t="shared" ref="AV86" si="1939">IF(AV85&gt;0,$E85/$F85,0)</f>
        <v>0</v>
      </c>
      <c r="AW86" s="125"/>
      <c r="AX86" s="242">
        <f>IF(AX85&gt;0,$E85/$F85,0)</f>
        <v>0</v>
      </c>
      <c r="AY86" s="242">
        <f t="shared" ref="AY86" si="1940">IF(AY85&gt;0,$E85/$F85,0)</f>
        <v>0</v>
      </c>
      <c r="AZ86" s="242">
        <f t="shared" ref="AZ86" si="1941">IF(AZ85&gt;0,$E85/$F85,0)</f>
        <v>0</v>
      </c>
      <c r="BA86" s="242">
        <f t="shared" ref="BA86" si="1942">IF(BA85&gt;0,$E85/$F85,0)</f>
        <v>0</v>
      </c>
      <c r="BB86" s="242">
        <f t="shared" ref="BB86" si="1943">IF(BB85&gt;0,$E85/$F85,0)</f>
        <v>0</v>
      </c>
      <c r="BC86" s="242">
        <f t="shared" ref="BC86" si="1944">IF(BC85&gt;0,$E85/$F85,0)</f>
        <v>0</v>
      </c>
      <c r="BD86" s="242">
        <f t="shared" ref="BD86" si="1945">IF(BD85&gt;0,$E85/$F85,0)</f>
        <v>0</v>
      </c>
      <c r="BE86" s="242">
        <f t="shared" ref="BE86" si="1946">IF(BE85&gt;0,$E85/$F85,0)</f>
        <v>0</v>
      </c>
      <c r="BF86" s="242">
        <f t="shared" ref="BF86" si="1947">IF(BF85&gt;0,$E85/$F85,0)</f>
        <v>0</v>
      </c>
      <c r="BG86" s="242">
        <f t="shared" ref="BG86" si="1948">IF(BG85&gt;0,$E85/$F85,0)</f>
        <v>0</v>
      </c>
      <c r="BH86" s="242">
        <f t="shared" ref="BH86" si="1949">IF(BH85&gt;0,$E85/$F85,0)</f>
        <v>0</v>
      </c>
      <c r="BI86" s="242">
        <f t="shared" ref="BI86" si="1950">IF(BI85&gt;0,$E85/$F85,0)</f>
        <v>0</v>
      </c>
      <c r="BJ86" s="125"/>
      <c r="BK86" s="242">
        <f>IF(BK85&gt;0,$E85/$F85,0)</f>
        <v>0</v>
      </c>
      <c r="BL86" s="242">
        <f t="shared" ref="BL86" si="1951">IF(BL85&gt;0,$E85/$F85,0)</f>
        <v>0</v>
      </c>
      <c r="BM86" s="242">
        <f t="shared" ref="BM86" si="1952">IF(BM85&gt;0,$E85/$F85,0)</f>
        <v>0</v>
      </c>
      <c r="BN86" s="242">
        <f t="shared" ref="BN86" si="1953">IF(BN85&gt;0,$E85/$F85,0)</f>
        <v>0</v>
      </c>
      <c r="BO86" s="242">
        <f t="shared" ref="BO86" si="1954">IF(BO85&gt;0,$E85/$F85,0)</f>
        <v>0</v>
      </c>
      <c r="BP86" s="242">
        <f t="shared" ref="BP86" si="1955">IF(BP85&gt;0,$E85/$F85,0)</f>
        <v>0</v>
      </c>
      <c r="BQ86" s="242">
        <f t="shared" ref="BQ86" si="1956">IF(BQ85&gt;0,$E85/$F85,0)</f>
        <v>0</v>
      </c>
      <c r="BR86" s="242">
        <f t="shared" ref="BR86" si="1957">IF(BR85&gt;0,$E85/$F85,0)</f>
        <v>0</v>
      </c>
      <c r="BS86" s="242">
        <f t="shared" ref="BS86" si="1958">IF(BS85&gt;0,$E85/$F85,0)</f>
        <v>0</v>
      </c>
      <c r="BT86" s="242">
        <f t="shared" ref="BT86" si="1959">IF(BT85&gt;0,$E85/$F85,0)</f>
        <v>0</v>
      </c>
      <c r="BU86" s="242">
        <f t="shared" ref="BU86" si="1960">IF(BU85&gt;0,$E85/$F85,0)</f>
        <v>0</v>
      </c>
      <c r="BV86" s="242">
        <f t="shared" ref="BV86" si="1961">IF(BV85&gt;0,$E85/$F85,0)</f>
        <v>0</v>
      </c>
      <c r="BW86" s="125"/>
      <c r="BX86" s="242">
        <f>IF(BX85&gt;0,$E85/$F85,0)</f>
        <v>0</v>
      </c>
      <c r="BY86" s="242">
        <f t="shared" ref="BY86" si="1962">IF(BY85&gt;0,$E85/$F85,0)</f>
        <v>0</v>
      </c>
      <c r="BZ86" s="242">
        <f t="shared" ref="BZ86" si="1963">IF(BZ85&gt;0,$E85/$F85,0)</f>
        <v>0</v>
      </c>
      <c r="CA86" s="242">
        <f t="shared" ref="CA86" si="1964">IF(CA85&gt;0,$E85/$F85,0)</f>
        <v>0</v>
      </c>
      <c r="CB86" s="242">
        <f t="shared" ref="CB86" si="1965">IF(CB85&gt;0,$E85/$F85,0)</f>
        <v>0</v>
      </c>
      <c r="CC86" s="242">
        <f t="shared" ref="CC86" si="1966">IF(CC85&gt;0,$E85/$F85,0)</f>
        <v>0</v>
      </c>
      <c r="CD86" s="242">
        <f t="shared" ref="CD86" si="1967">IF(CD85&gt;0,$E85/$F85,0)</f>
        <v>0</v>
      </c>
      <c r="CE86" s="242">
        <f t="shared" ref="CE86" si="1968">IF(CE85&gt;0,$E85/$F85,0)</f>
        <v>0</v>
      </c>
      <c r="CF86" s="242">
        <f t="shared" ref="CF86" si="1969">IF(CF85&gt;0,$E85/$F85,0)</f>
        <v>0</v>
      </c>
      <c r="CG86" s="242">
        <f t="shared" ref="CG86" si="1970">IF(CG85&gt;0,$E85/$F85,0)</f>
        <v>0</v>
      </c>
      <c r="CH86" s="242">
        <f t="shared" ref="CH86" si="1971">IF(CH85&gt;0,$E85/$F85,0)</f>
        <v>0</v>
      </c>
      <c r="CI86" s="242">
        <f t="shared" ref="CI86" si="1972">IF(CI85&gt;0,$E85/$F85,0)</f>
        <v>0</v>
      </c>
      <c r="CJ86" s="125"/>
    </row>
    <row r="87" spans="1:88" ht="42" customHeight="1">
      <c r="A87" s="287" t="s">
        <v>188</v>
      </c>
      <c r="B87" s="287"/>
      <c r="C87" s="233" t="s">
        <v>176</v>
      </c>
      <c r="D87" s="175"/>
      <c r="E87" s="230">
        <f t="shared" ref="E87:E92" si="1973">SUMIF($C$7:$C$86,C87,$E$7:$E$86)</f>
        <v>62824.74</v>
      </c>
      <c r="F87" s="122"/>
      <c r="G87" s="224"/>
      <c r="H87" s="224"/>
      <c r="I87" s="224"/>
      <c r="J87" s="177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2">
        <f>IF(K87="РНВ",$E87,IF(L87="РНВ",$E87,IF(M87="РНВ",$E87,IF(N87="РНВ",$E87,IF(O87="РНВ",$E87,IF(P87="РНВ",$E87,IF(Q87="РНВ",$E87,IF(R87="РНВ",$E87,IF(S87="РНВ",$E87,IF(T87="РНВ",$E87,IF(U87="РНВ",$E87,IF(V87="РНВ",$E87,0))))))))))))</f>
        <v>0</v>
      </c>
      <c r="X87" s="224"/>
      <c r="Y87" s="224"/>
      <c r="Z87" s="224"/>
      <c r="AA87" s="176"/>
      <c r="AB87" s="176"/>
      <c r="AC87" s="176"/>
      <c r="AD87" s="176"/>
      <c r="AE87" s="176"/>
      <c r="AF87" s="176"/>
      <c r="AG87" s="176"/>
      <c r="AH87" s="176"/>
      <c r="AI87" s="176"/>
      <c r="AJ87" s="222">
        <f>IF(X87="РНВ",$E87,IF(Y87="РНВ",$E87,IF(Z87="РНВ",$E87,IF(AA87="РНВ",$E87,IF(AB87="РНВ",$E87,IF(AC87="РНВ",$E87,IF(AD87="РНВ",$E87,IF(AE87="РНВ",$E87,IF(AF87="РНВ",$E87,IF(AG87="РНВ",$E87,IF(AH87="РНВ",$E87,IF(AI87="РНВ",$E87,0))))))))))))</f>
        <v>0</v>
      </c>
      <c r="AK87" s="237"/>
      <c r="AL87" s="237"/>
      <c r="AM87" s="237"/>
      <c r="AN87" s="237"/>
      <c r="AO87" s="237"/>
      <c r="AP87" s="237"/>
      <c r="AQ87" s="237"/>
      <c r="AR87" s="237"/>
      <c r="AS87" s="237"/>
      <c r="AT87" s="237"/>
      <c r="AU87" s="237"/>
      <c r="AV87" s="237"/>
      <c r="AW87" s="222">
        <f>IF(AK87="РНВ",$E87,IF(AL87="РНВ",$E87,IF(AM87="РНВ",$E87,IF(AN87="РНВ",$E87,IF(AO87="РНВ",$E87,IF(AP87="РНВ",$E87,IF(AQ87="РНВ",$E87,IF(AR87="РНВ",$E87,IF(AS87="РНВ",$E87,IF(AT87="РНВ",$E87,IF(AU87="РНВ",$E87,IF(AV87="РНВ",$E87,0))))))))))))</f>
        <v>0</v>
      </c>
      <c r="AX87" s="176"/>
      <c r="AY87" s="176"/>
      <c r="AZ87" s="176"/>
      <c r="BA87" s="176"/>
      <c r="BB87" s="176"/>
      <c r="BC87" s="176"/>
      <c r="BD87" s="176"/>
      <c r="BE87" s="176"/>
      <c r="BF87" s="176"/>
      <c r="BG87" s="176"/>
      <c r="BH87" s="176"/>
      <c r="BI87" s="176"/>
      <c r="BJ87" s="222">
        <f>IF(AX87="РНВ",$E87,IF(AY87="РНВ",$E87,IF(AZ87="РНВ",$E87,IF(BA87="РНВ",$E87,IF(BB87="РНВ",$E87,IF(BC87="РНВ",$E87,IF(BD87="РНВ",$E87,IF(BE87="РНВ",$E87,IF(BF87="РНВ",$E87,IF(BG87="РНВ",$E87,IF(BH87="РНВ",$E87,IF(BI87="РНВ",$E87,0))))))))))))</f>
        <v>0</v>
      </c>
      <c r="BK87" s="176"/>
      <c r="BL87" s="176"/>
      <c r="BM87" s="176"/>
      <c r="BN87" s="176"/>
      <c r="BO87" s="176"/>
      <c r="BP87" s="176"/>
      <c r="BQ87" s="176"/>
      <c r="BR87" s="176"/>
      <c r="BS87" s="176"/>
      <c r="BT87" s="176"/>
      <c r="BU87" s="176"/>
      <c r="BV87" s="176"/>
      <c r="BW87" s="222">
        <f>IF(BK87="РНВ",$E87,IF(BL87="РНВ",$E87,IF(BM87="РНВ",$E87,IF(BN87="РНВ",$E87,IF(BO87="РНВ",$E87,IF(BP87="РНВ",$E87,IF(BQ87="РНВ",$E87,IF(BR87="РНВ",$E87,IF(BS87="РНВ",$E87,IF(BT87="РНВ",$E87,IF(BU87="РНВ",$E87,IF(BV87="РНВ",$E87,0))))))))))))</f>
        <v>0</v>
      </c>
      <c r="BX87" s="176"/>
      <c r="BY87" s="176"/>
      <c r="BZ87" s="176"/>
      <c r="CA87" s="176"/>
      <c r="CB87" s="176"/>
      <c r="CC87" s="176"/>
      <c r="CD87" s="176"/>
      <c r="CE87" s="176"/>
      <c r="CF87" s="176"/>
      <c r="CG87" s="176"/>
      <c r="CH87" s="176"/>
      <c r="CI87" s="176"/>
      <c r="CJ87" s="222">
        <f>IF(BX87="РНВ",$E87,IF(BY87="РНВ",$E87,IF(BZ87="РНВ",$E87,IF(CA87="РНВ",$E87,IF(CB87="РНВ",$E87,IF(CC87="РНВ",$E87,IF(CD87="РНВ",$E87,IF(CE87="РНВ",$E87,IF(CF87="РНВ",$E87,IF(CG87="РНВ",$E87,IF(CH87="РНВ",$E87,IF(CI87="РНВ",$E87,0))))))))))))</f>
        <v>0</v>
      </c>
    </row>
    <row r="88" spans="1:88" ht="67.5" customHeight="1">
      <c r="A88" s="287"/>
      <c r="B88" s="287"/>
      <c r="C88" s="234" t="s">
        <v>243</v>
      </c>
      <c r="D88" s="178"/>
      <c r="E88" s="231">
        <f t="shared" si="1973"/>
        <v>66339.039999999994</v>
      </c>
      <c r="F88" s="122"/>
      <c r="G88" s="176"/>
      <c r="H88" s="176"/>
      <c r="I88" s="176"/>
      <c r="J88" s="177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25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  <c r="AH88" s="176"/>
      <c r="AI88" s="176"/>
      <c r="AJ88" s="125"/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25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25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25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25"/>
    </row>
    <row r="89" spans="1:88" ht="42" customHeight="1">
      <c r="A89" s="287"/>
      <c r="B89" s="287"/>
      <c r="C89" s="235" t="s">
        <v>187</v>
      </c>
      <c r="D89" s="179"/>
      <c r="E89" s="232">
        <f t="shared" si="1973"/>
        <v>110307.79000000004</v>
      </c>
      <c r="F89" s="122"/>
      <c r="G89" s="176"/>
      <c r="H89" s="176"/>
      <c r="I89" s="176"/>
      <c r="J89" s="177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222">
        <f>IF(K89="РНВ",$E89,IF(L89="РНВ",$E89,IF(M89="РНВ",$E89,IF(N89="РНВ",$E89,IF(O89="РНВ",$E89,IF(P89="РНВ",$E89,IF(Q89="РНВ",$E89,IF(R89="РНВ",$E89,IF(S89="РНВ",$E89,IF(T89="РНВ",$E89,IF(U89="РНВ",$E89,IF(V89="РНВ",$E89,0))))))))))))</f>
        <v>0</v>
      </c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  <c r="AH89" s="176"/>
      <c r="AI89" s="176"/>
      <c r="AJ89" s="222">
        <f>IF(X89="РНВ",$E89,IF(Y89="РНВ",$E89,IF(Z89="РНВ",$E89,IF(AA89="РНВ",$E89,IF(AB89="РНВ",$E89,IF(AC89="РНВ",$E89,IF(AD89="РНВ",$E89,IF(AE89="РНВ",$E89,IF(AF89="РНВ",$E89,IF(AG89="РНВ",$E89,IF(AH89="РНВ",$E89,IF(AI89="РНВ",$E89,0))))))))))))</f>
        <v>0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222">
        <f>IF(AK89="РНВ",$E89,IF(AL89="РНВ",$E89,IF(AM89="РНВ",$E89,IF(AN89="РНВ",$E89,IF(AO89="РНВ",$E89,IF(AP89="РНВ",$E89,IF(AQ89="РНВ",$E89,IF(AR89="РНВ",$E89,IF(AS89="РНВ",$E89,IF(AT89="РНВ",$E89,IF(AU89="РНВ",$E89,IF(AV89="РНВ",$E89,0))))))))))))</f>
        <v>0</v>
      </c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222">
        <f>IF(AX89="РНВ",$E89,IF(AY89="РНВ",$E89,IF(AZ89="РНВ",$E89,IF(BA89="РНВ",$E89,IF(BB89="РНВ",$E89,IF(BC89="РНВ",$E89,IF(BD89="РНВ",$E89,IF(BE89="РНВ",$E89,IF(BF89="РНВ",$E89,IF(BG89="РНВ",$E89,IF(BH89="РНВ",$E89,IF(BI89="РНВ",$E89,0))))))))))))</f>
        <v>0</v>
      </c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222">
        <f>IF(BK89="РНВ",$E89,IF(BL89="РНВ",$E89,IF(BM89="РНВ",$E89,IF(BN89="РНВ",$E89,IF(BO89="РНВ",$E89,IF(BP89="РНВ",$E89,IF(BQ89="РНВ",$E89,IF(BR89="РНВ",$E89,IF(BS89="РНВ",$E89,IF(BT89="РНВ",$E89,IF(BU89="РНВ",$E89,IF(BV89="РНВ",$E89,0))))))))))))</f>
        <v>0</v>
      </c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222">
        <f>IF(BX89="РНВ",$E89,IF(BY89="РНВ",$E89,IF(BZ89="РНВ",$E89,IF(CA89="РНВ",$E89,IF(CB89="РНВ",$E89,IF(CC89="РНВ",$E89,IF(CD89="РНВ",$E89,IF(CE89="РНВ",$E89,IF(CF89="РНВ",$E89,IF(CG89="РНВ",$E89,IF(CH89="РНВ",$E89,IF(CI89="РНВ",$E89,0))))))))))))</f>
        <v>0</v>
      </c>
    </row>
    <row r="90" spans="1:88" ht="42" customHeight="1">
      <c r="A90" s="287"/>
      <c r="B90" s="287"/>
      <c r="C90" s="236" t="s">
        <v>208</v>
      </c>
      <c r="D90" s="225"/>
      <c r="E90" s="229">
        <f t="shared" si="1973"/>
        <v>114499</v>
      </c>
      <c r="F90" s="122"/>
      <c r="G90" s="176"/>
      <c r="H90" s="176"/>
      <c r="I90" s="176"/>
      <c r="J90" s="177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25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  <c r="AH90" s="176"/>
      <c r="AI90" s="176"/>
      <c r="AJ90" s="125"/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25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25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25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25"/>
    </row>
    <row r="91" spans="1:88" ht="42" customHeight="1">
      <c r="A91" s="287"/>
      <c r="B91" s="287"/>
      <c r="C91" s="256" t="s">
        <v>242</v>
      </c>
      <c r="D91" s="257"/>
      <c r="E91" s="258">
        <f t="shared" si="1973"/>
        <v>138041.16999999998</v>
      </c>
      <c r="F91" s="255"/>
      <c r="G91" s="176"/>
      <c r="H91" s="176"/>
      <c r="I91" s="176"/>
      <c r="J91" s="177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25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25"/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25"/>
      <c r="AX91" s="176"/>
      <c r="AY91" s="176"/>
      <c r="AZ91" s="176"/>
      <c r="BA91" s="176"/>
      <c r="BB91" s="176"/>
      <c r="BC91" s="176"/>
      <c r="BD91" s="265"/>
      <c r="BE91" s="176"/>
      <c r="BF91" s="176"/>
      <c r="BG91" s="176"/>
      <c r="BH91" s="176"/>
      <c r="BI91" s="176"/>
      <c r="BJ91" s="125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25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25"/>
    </row>
    <row r="92" spans="1:88" ht="42" customHeight="1">
      <c r="A92" s="287"/>
      <c r="B92" s="287"/>
      <c r="C92" s="238" t="s">
        <v>232</v>
      </c>
      <c r="D92" s="239"/>
      <c r="E92" s="240">
        <f t="shared" si="1973"/>
        <v>56846</v>
      </c>
      <c r="F92" s="122"/>
      <c r="G92" s="176"/>
      <c r="H92" s="176"/>
      <c r="I92" s="176"/>
      <c r="J92" s="177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25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25"/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25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25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25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25"/>
    </row>
    <row r="93" spans="1:88" ht="42" customHeight="1">
      <c r="A93" s="287"/>
      <c r="B93" s="287"/>
      <c r="C93" s="248" t="s">
        <v>241</v>
      </c>
      <c r="D93" s="249"/>
      <c r="E93" s="248">
        <v>106368</v>
      </c>
      <c r="F93" s="247"/>
      <c r="G93" s="176"/>
      <c r="H93" s="176"/>
      <c r="I93" s="176"/>
      <c r="J93" s="177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25"/>
      <c r="X93" s="176"/>
      <c r="Y93" s="176"/>
      <c r="Z93" s="176"/>
      <c r="AA93" s="176"/>
      <c r="AB93" s="176"/>
      <c r="AC93" s="176"/>
      <c r="AD93" s="176"/>
      <c r="AE93" s="176"/>
      <c r="AF93" s="176"/>
      <c r="AG93" s="176"/>
      <c r="AH93" s="176"/>
      <c r="AI93" s="176"/>
      <c r="AJ93" s="125"/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25"/>
      <c r="AX93" s="176"/>
      <c r="AY93" s="176"/>
      <c r="AZ93" s="176"/>
      <c r="BA93" s="176"/>
      <c r="BB93" s="176"/>
      <c r="BC93" s="176"/>
      <c r="BD93" s="265"/>
      <c r="BE93" s="176"/>
      <c r="BF93" s="176"/>
      <c r="BG93" s="176"/>
      <c r="BH93" s="176"/>
      <c r="BI93" s="176"/>
      <c r="BJ93" s="125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25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25"/>
    </row>
    <row r="94" spans="1:88" ht="42" customHeight="1">
      <c r="A94" s="287"/>
      <c r="B94" s="287"/>
      <c r="C94" s="250" t="s">
        <v>240</v>
      </c>
      <c r="D94" s="251"/>
      <c r="E94" s="252">
        <f>322819+E93</f>
        <v>429187</v>
      </c>
      <c r="F94" s="247"/>
      <c r="G94" s="176"/>
      <c r="H94" s="176"/>
      <c r="I94" s="176"/>
      <c r="J94" s="177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25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25"/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25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25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25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25"/>
    </row>
    <row r="95" spans="1:88" s="180" customFormat="1" ht="40.9" customHeight="1">
      <c r="A95" s="287"/>
      <c r="B95" s="287"/>
      <c r="C95" s="181"/>
      <c r="D95" s="181"/>
      <c r="E95" s="182"/>
      <c r="F95" s="182"/>
      <c r="G95" s="183">
        <f t="shared" ref="G95:AJ95" si="1974">G86+G80+G76+G56+G54+G52+G46+G44+G42+G40+G38+G36+G34+G32+G30+G28+G26+G24+G20+G18+G16+G14+G12+G10+G8</f>
        <v>0</v>
      </c>
      <c r="H95" s="183">
        <f t="shared" si="1974"/>
        <v>0</v>
      </c>
      <c r="I95" s="183">
        <f t="shared" si="1974"/>
        <v>0</v>
      </c>
      <c r="J95" s="184">
        <f t="shared" si="1974"/>
        <v>0</v>
      </c>
      <c r="K95" s="183">
        <f t="shared" si="1974"/>
        <v>0</v>
      </c>
      <c r="L95" s="183">
        <f t="shared" si="1974"/>
        <v>0</v>
      </c>
      <c r="M95" s="183">
        <f t="shared" si="1974"/>
        <v>0</v>
      </c>
      <c r="N95" s="183">
        <f t="shared" si="1974"/>
        <v>0</v>
      </c>
      <c r="O95" s="183">
        <f t="shared" si="1974"/>
        <v>0</v>
      </c>
      <c r="P95" s="183">
        <f t="shared" si="1974"/>
        <v>0</v>
      </c>
      <c r="Q95" s="183">
        <f t="shared" si="1974"/>
        <v>0</v>
      </c>
      <c r="R95" s="183">
        <f t="shared" si="1974"/>
        <v>0</v>
      </c>
      <c r="S95" s="183">
        <f t="shared" si="1974"/>
        <v>0</v>
      </c>
      <c r="T95" s="183">
        <f t="shared" si="1974"/>
        <v>0</v>
      </c>
      <c r="U95" s="183">
        <f t="shared" si="1974"/>
        <v>0</v>
      </c>
      <c r="V95" s="183">
        <f t="shared" si="1974"/>
        <v>1094837</v>
      </c>
      <c r="W95" s="184">
        <f t="shared" si="1974"/>
        <v>0</v>
      </c>
      <c r="X95" s="183">
        <f t="shared" si="1974"/>
        <v>0</v>
      </c>
      <c r="Y95" s="183">
        <f t="shared" si="1974"/>
        <v>0</v>
      </c>
      <c r="Z95" s="183">
        <f t="shared" si="1974"/>
        <v>0</v>
      </c>
      <c r="AA95" s="183">
        <f t="shared" si="1974"/>
        <v>0</v>
      </c>
      <c r="AB95" s="183">
        <f t="shared" si="1974"/>
        <v>0</v>
      </c>
      <c r="AC95" s="183">
        <f t="shared" si="1974"/>
        <v>0</v>
      </c>
      <c r="AD95" s="183">
        <f t="shared" si="1974"/>
        <v>0</v>
      </c>
      <c r="AE95" s="183">
        <f t="shared" si="1974"/>
        <v>0</v>
      </c>
      <c r="AF95" s="183">
        <f t="shared" si="1974"/>
        <v>0</v>
      </c>
      <c r="AG95" s="183">
        <f t="shared" si="1974"/>
        <v>0</v>
      </c>
      <c r="AH95" s="183">
        <f t="shared" si="1974"/>
        <v>0</v>
      </c>
      <c r="AI95" s="183">
        <f t="shared" si="1974"/>
        <v>0</v>
      </c>
      <c r="AJ95" s="184">
        <f t="shared" si="1974"/>
        <v>0</v>
      </c>
      <c r="AK95" s="183"/>
      <c r="AL95" s="183"/>
      <c r="AM95" s="183"/>
      <c r="AN95" s="183"/>
      <c r="AO95" s="183"/>
      <c r="AP95" s="183"/>
      <c r="AQ95" s="183"/>
      <c r="AR95" s="183"/>
      <c r="AS95" s="183"/>
      <c r="AT95" s="183"/>
      <c r="AU95" s="183"/>
      <c r="AV95" s="183"/>
      <c r="AW95" s="183"/>
      <c r="AX95" s="183"/>
      <c r="AY95" s="183"/>
      <c r="AZ95" s="183"/>
      <c r="BA95" s="183"/>
      <c r="BB95" s="183"/>
      <c r="BC95" s="183"/>
      <c r="BD95" s="183"/>
      <c r="BE95" s="183"/>
      <c r="BF95" s="183"/>
      <c r="BG95" s="183"/>
      <c r="BH95" s="183"/>
      <c r="BI95" s="183"/>
      <c r="BJ95" s="183"/>
      <c r="BK95" s="183"/>
      <c r="BL95" s="183"/>
      <c r="BM95" s="183"/>
      <c r="BN95" s="183"/>
      <c r="BO95" s="183"/>
      <c r="BP95" s="183"/>
      <c r="BQ95" s="183"/>
      <c r="BR95" s="183"/>
      <c r="BS95" s="183"/>
      <c r="BT95" s="183"/>
      <c r="BU95" s="183"/>
      <c r="BV95" s="183"/>
      <c r="BW95" s="183"/>
      <c r="BX95" s="183"/>
      <c r="BY95" s="183"/>
      <c r="BZ95" s="183"/>
      <c r="CA95" s="183"/>
      <c r="CB95" s="183"/>
      <c r="CC95" s="183"/>
      <c r="CD95" s="183"/>
      <c r="CE95" s="183"/>
      <c r="CF95" s="183"/>
      <c r="CG95" s="183"/>
      <c r="CH95" s="183"/>
      <c r="CI95" s="183"/>
      <c r="CJ95" s="183"/>
    </row>
    <row r="96" spans="1:88" ht="22.5">
      <c r="A96" s="310" t="s">
        <v>233</v>
      </c>
      <c r="B96" s="310"/>
      <c r="C96" s="310"/>
      <c r="D96" s="310"/>
      <c r="E96" s="310"/>
      <c r="F96" s="310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241"/>
      <c r="R96" s="241"/>
      <c r="S96" s="241"/>
      <c r="T96" s="241"/>
      <c r="U96" s="241"/>
      <c r="V96" s="241"/>
      <c r="W96" s="241"/>
      <c r="X96" s="241"/>
      <c r="Y96" s="241"/>
      <c r="Z96" s="241"/>
      <c r="AA96" s="241"/>
      <c r="AB96" s="241"/>
      <c r="AC96" s="241"/>
      <c r="AD96" s="241"/>
      <c r="AE96" s="241"/>
      <c r="AF96" s="241"/>
      <c r="AG96" s="241"/>
      <c r="AH96" s="241"/>
      <c r="AI96" s="241"/>
      <c r="AJ96" s="241"/>
      <c r="AK96" s="243">
        <f>AK86+AK84+AK82+AK80+AK78+AK76+AK74+AK72+AK70+AK68+AK66+AK64+AK62+AK60+AK58+AK56+AK54+AK52+AK46+AK44+AK42+AK40+AK38+AK36+AK34+AK32+AK30+AK28+AK26+AK24+AK22+AK20+AK18+AK16+AK14+AK12+AK10+AK8</f>
        <v>4333.0326423952383</v>
      </c>
      <c r="AL96" s="243">
        <f t="shared" ref="AL96:CI96" si="1975">AL86+AL84+AL82+AL80+AL78+AL76+AL74+AL72+AL70+AL68+AL66+AL64+AL62+AL60+AL58+AL56+AL54+AL52+AL46+AL44+AL42+AL40+AL38+AL36+AL34+AL32+AL30+AL28+AL26+AL24+AL22+AL20+AL18+AL16+AL14+AL12+AL10+AL8</f>
        <v>4333.0326423952383</v>
      </c>
      <c r="AM96" s="243">
        <f t="shared" si="1975"/>
        <v>5050.8104201730166</v>
      </c>
      <c r="AN96" s="243">
        <f t="shared" si="1975"/>
        <v>5566.2628011253973</v>
      </c>
      <c r="AO96" s="243">
        <f t="shared" si="1975"/>
        <v>5566.2628011253973</v>
      </c>
      <c r="AP96" s="243">
        <f t="shared" si="1975"/>
        <v>5566.2628011253973</v>
      </c>
      <c r="AQ96" s="243">
        <f t="shared" si="1975"/>
        <v>5307.5868920344883</v>
      </c>
      <c r="AR96" s="243">
        <f t="shared" si="1975"/>
        <v>5307.5868920344883</v>
      </c>
      <c r="AS96" s="243">
        <f t="shared" si="1975"/>
        <v>5844.2535587011544</v>
      </c>
      <c r="AT96" s="243">
        <f t="shared" si="1975"/>
        <v>6268.4062640151642</v>
      </c>
      <c r="AU96" s="243">
        <f t="shared" si="1975"/>
        <v>6268.4062640151642</v>
      </c>
      <c r="AV96" s="243">
        <f t="shared" si="1975"/>
        <v>5880.3399003788008</v>
      </c>
      <c r="AW96" s="241"/>
      <c r="AX96" s="243">
        <f t="shared" si="1975"/>
        <v>5004.2478036046077</v>
      </c>
      <c r="AY96" s="243">
        <f t="shared" si="1975"/>
        <v>5004.2478036046077</v>
      </c>
      <c r="AZ96" s="243">
        <f t="shared" si="1975"/>
        <v>5977.4501845569894</v>
      </c>
      <c r="BA96" s="243">
        <f t="shared" si="1975"/>
        <v>6576.7001845569894</v>
      </c>
      <c r="BB96" s="243">
        <f t="shared" si="1975"/>
        <v>7027.3571845569895</v>
      </c>
      <c r="BC96" s="243">
        <f t="shared" si="1975"/>
        <v>7317.9224019482945</v>
      </c>
      <c r="BD96" s="243">
        <f t="shared" si="1975"/>
        <v>7317.9224019482945</v>
      </c>
      <c r="BE96" s="243">
        <f t="shared" si="1975"/>
        <v>7728.6724019482945</v>
      </c>
      <c r="BF96" s="243">
        <f t="shared" si="1975"/>
        <v>8407.4443317728546</v>
      </c>
      <c r="BG96" s="243">
        <f t="shared" si="1975"/>
        <v>8407.4443317728546</v>
      </c>
      <c r="BH96" s="243">
        <f t="shared" si="1975"/>
        <v>8051.7168317728556</v>
      </c>
      <c r="BI96" s="243">
        <f>BI86+BI84+BI82+BI80+BI78+BI76+BI74+BI72+BI70+BI68+BI66+BI64+BI62+BI60+BI58+BI56+BI54+BI52+BI46+BI44+BI42+BI40+BI38+BI36+BI34+BI32+BI30+BI28+BI26+BI24+BI22+BI20+BI18+BI16+BI14+BI12+BI10+BI8</f>
        <v>7120.502011260035</v>
      </c>
      <c r="BJ96" s="241"/>
      <c r="BK96" s="243">
        <f t="shared" si="1975"/>
        <v>6627.6255826886063</v>
      </c>
      <c r="BL96" s="243">
        <f t="shared" si="1975"/>
        <v>6627.6255826886063</v>
      </c>
      <c r="BM96" s="243">
        <f t="shared" si="1975"/>
        <v>7261.1017731647971</v>
      </c>
      <c r="BN96" s="243">
        <f t="shared" si="1975"/>
        <v>6381.4959001489242</v>
      </c>
      <c r="BO96" s="243">
        <f t="shared" si="1975"/>
        <v>5658.6030430060664</v>
      </c>
      <c r="BP96" s="243">
        <f t="shared" si="1975"/>
        <v>4404.1585985616211</v>
      </c>
      <c r="BQ96" s="243">
        <f t="shared" si="1975"/>
        <v>4404.1585985616211</v>
      </c>
      <c r="BR96" s="243">
        <f t="shared" si="1975"/>
        <v>4404.1585985616211</v>
      </c>
      <c r="BS96" s="243">
        <f t="shared" si="1975"/>
        <v>4294.0403376920558</v>
      </c>
      <c r="BT96" s="243">
        <f t="shared" si="1975"/>
        <v>4474.0403376920558</v>
      </c>
      <c r="BU96" s="243">
        <f t="shared" si="1975"/>
        <v>4016.2903376920563</v>
      </c>
      <c r="BV96" s="243">
        <f t="shared" si="1975"/>
        <v>3500.8379567396755</v>
      </c>
      <c r="BW96" s="241"/>
      <c r="BX96" s="243">
        <f t="shared" si="1975"/>
        <v>3573.8476234063419</v>
      </c>
      <c r="BY96" s="243">
        <f t="shared" si="1975"/>
        <v>3573.8476234063419</v>
      </c>
      <c r="BZ96" s="243">
        <f t="shared" si="1975"/>
        <v>3573.8476234063419</v>
      </c>
      <c r="CA96" s="243">
        <f t="shared" si="1975"/>
        <v>3457.9685507246372</v>
      </c>
      <c r="CB96" s="243">
        <f t="shared" si="1975"/>
        <v>3167.4033333333332</v>
      </c>
      <c r="CC96" s="243">
        <f t="shared" si="1975"/>
        <v>2450.7366666666667</v>
      </c>
      <c r="CD96" s="243">
        <f t="shared" si="1975"/>
        <v>2450.7366666666667</v>
      </c>
      <c r="CE96" s="243">
        <f t="shared" si="1975"/>
        <v>2039.9866666666667</v>
      </c>
      <c r="CF96" s="243">
        <f t="shared" si="1975"/>
        <v>2039.9866666666667</v>
      </c>
      <c r="CG96" s="243">
        <f t="shared" si="1975"/>
        <v>1782.6190476190477</v>
      </c>
      <c r="CH96" s="243">
        <f t="shared" si="1975"/>
        <v>1782.6190476190477</v>
      </c>
      <c r="CI96" s="243">
        <f t="shared" si="1975"/>
        <v>1329.1428571428571</v>
      </c>
      <c r="CJ96" s="241"/>
    </row>
    <row r="97" spans="1:88" ht="22.5">
      <c r="A97" s="310" t="s">
        <v>234</v>
      </c>
      <c r="B97" s="310"/>
      <c r="C97" s="310"/>
      <c r="D97" s="310"/>
      <c r="E97" s="310"/>
      <c r="F97" s="310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241"/>
      <c r="R97" s="241"/>
      <c r="S97" s="241"/>
      <c r="T97" s="241"/>
      <c r="U97" s="241"/>
      <c r="V97" s="241"/>
      <c r="W97" s="241"/>
      <c r="X97" s="241"/>
      <c r="Y97" s="241"/>
      <c r="Z97" s="241"/>
      <c r="AA97" s="241"/>
      <c r="AB97" s="241"/>
      <c r="AC97" s="241"/>
      <c r="AD97" s="241"/>
      <c r="AE97" s="241"/>
      <c r="AF97" s="241"/>
      <c r="AG97" s="241"/>
      <c r="AH97" s="241"/>
      <c r="AI97" s="241"/>
      <c r="AJ97" s="241"/>
      <c r="AK97" s="241">
        <f>COUNTIF(AK7:AK86,"&gt;2")</f>
        <v>10</v>
      </c>
      <c r="AL97" s="241">
        <f t="shared" ref="AL97:CI97" si="1976">COUNTIF(AL7:AL86,"&gt;2")</f>
        <v>10</v>
      </c>
      <c r="AM97" s="241">
        <f t="shared" si="1976"/>
        <v>11</v>
      </c>
      <c r="AN97" s="241">
        <f t="shared" si="1976"/>
        <v>12</v>
      </c>
      <c r="AO97" s="241">
        <f t="shared" si="1976"/>
        <v>12</v>
      </c>
      <c r="AP97" s="241">
        <f t="shared" si="1976"/>
        <v>12</v>
      </c>
      <c r="AQ97" s="241">
        <f t="shared" si="1976"/>
        <v>11</v>
      </c>
      <c r="AR97" s="241">
        <f t="shared" si="1976"/>
        <v>11</v>
      </c>
      <c r="AS97" s="241">
        <f t="shared" si="1976"/>
        <v>12</v>
      </c>
      <c r="AT97" s="241">
        <f t="shared" si="1976"/>
        <v>14</v>
      </c>
      <c r="AU97" s="241">
        <f t="shared" si="1976"/>
        <v>14</v>
      </c>
      <c r="AV97" s="241">
        <f t="shared" si="1976"/>
        <v>14</v>
      </c>
      <c r="AW97" s="241"/>
      <c r="AX97" s="241">
        <f t="shared" si="1976"/>
        <v>12</v>
      </c>
      <c r="AY97" s="241">
        <f t="shared" si="1976"/>
        <v>12</v>
      </c>
      <c r="AZ97" s="241">
        <f t="shared" si="1976"/>
        <v>14</v>
      </c>
      <c r="BA97" s="241">
        <f t="shared" si="1976"/>
        <v>15</v>
      </c>
      <c r="BB97" s="241">
        <f t="shared" si="1976"/>
        <v>16</v>
      </c>
      <c r="BC97" s="241">
        <f t="shared" si="1976"/>
        <v>17</v>
      </c>
      <c r="BD97" s="241">
        <f t="shared" si="1976"/>
        <v>17</v>
      </c>
      <c r="BE97" s="241">
        <f t="shared" si="1976"/>
        <v>18</v>
      </c>
      <c r="BF97" s="241">
        <f t="shared" si="1976"/>
        <v>20</v>
      </c>
      <c r="BG97" s="241">
        <f t="shared" si="1976"/>
        <v>20</v>
      </c>
      <c r="BH97" s="241">
        <f t="shared" si="1976"/>
        <v>19</v>
      </c>
      <c r="BI97" s="241">
        <f t="shared" si="1976"/>
        <v>17</v>
      </c>
      <c r="BJ97" s="241"/>
      <c r="BK97" s="241">
        <f t="shared" si="1976"/>
        <v>17</v>
      </c>
      <c r="BL97" s="241">
        <f t="shared" si="1976"/>
        <v>17</v>
      </c>
      <c r="BM97" s="241">
        <f t="shared" si="1976"/>
        <v>19</v>
      </c>
      <c r="BN97" s="241">
        <f t="shared" si="1976"/>
        <v>17</v>
      </c>
      <c r="BO97" s="241">
        <f t="shared" si="1976"/>
        <v>16</v>
      </c>
      <c r="BP97" s="241">
        <f t="shared" si="1976"/>
        <v>14</v>
      </c>
      <c r="BQ97" s="241">
        <f t="shared" si="1976"/>
        <v>14</v>
      </c>
      <c r="BR97" s="241">
        <f t="shared" si="1976"/>
        <v>14</v>
      </c>
      <c r="BS97" s="241">
        <f t="shared" si="1976"/>
        <v>13</v>
      </c>
      <c r="BT97" s="241">
        <f t="shared" si="1976"/>
        <v>14</v>
      </c>
      <c r="BU97" s="241">
        <f t="shared" si="1976"/>
        <v>13</v>
      </c>
      <c r="BV97" s="241">
        <f t="shared" si="1976"/>
        <v>11</v>
      </c>
      <c r="BW97" s="241"/>
      <c r="BX97" s="241">
        <f t="shared" si="1976"/>
        <v>11</v>
      </c>
      <c r="BY97" s="241">
        <f t="shared" si="1976"/>
        <v>11</v>
      </c>
      <c r="BZ97" s="241">
        <f t="shared" si="1976"/>
        <v>11</v>
      </c>
      <c r="CA97" s="241">
        <f t="shared" si="1976"/>
        <v>10</v>
      </c>
      <c r="CB97" s="241">
        <f t="shared" si="1976"/>
        <v>9</v>
      </c>
      <c r="CC97" s="241">
        <f t="shared" si="1976"/>
        <v>7</v>
      </c>
      <c r="CD97" s="241">
        <f t="shared" si="1976"/>
        <v>7</v>
      </c>
      <c r="CE97" s="241">
        <f t="shared" si="1976"/>
        <v>6</v>
      </c>
      <c r="CF97" s="241">
        <f t="shared" si="1976"/>
        <v>6</v>
      </c>
      <c r="CG97" s="241">
        <f t="shared" si="1976"/>
        <v>5</v>
      </c>
      <c r="CH97" s="241">
        <f t="shared" si="1976"/>
        <v>5</v>
      </c>
      <c r="CI97" s="241">
        <f t="shared" si="1976"/>
        <v>4</v>
      </c>
      <c r="CJ97" s="241"/>
    </row>
    <row r="98" spans="1:88" ht="25.5">
      <c r="E98" s="245"/>
      <c r="F98" s="244"/>
    </row>
    <row r="99" spans="1:88">
      <c r="E99" s="244"/>
    </row>
    <row r="100" spans="1:88" ht="27">
      <c r="E100" s="246"/>
    </row>
  </sheetData>
  <autoFilter ref="A6:CJ97" xr:uid="{00000000-0009-0000-0000-000003000000}">
    <filterColumn colId="6" showButton="0"/>
    <filterColumn colId="7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</autoFilter>
  <mergeCells count="270">
    <mergeCell ref="A96:F96"/>
    <mergeCell ref="A97:F97"/>
    <mergeCell ref="A49:A50"/>
    <mergeCell ref="B49:B50"/>
    <mergeCell ref="C49:C50"/>
    <mergeCell ref="D49:D50"/>
    <mergeCell ref="E49:E50"/>
    <mergeCell ref="F49:F50"/>
    <mergeCell ref="A47:A48"/>
    <mergeCell ref="B47:B48"/>
    <mergeCell ref="C47:C48"/>
    <mergeCell ref="D47:D48"/>
    <mergeCell ref="E47:E48"/>
    <mergeCell ref="F47:F48"/>
    <mergeCell ref="A71:A72"/>
    <mergeCell ref="B71:B72"/>
    <mergeCell ref="C71:C72"/>
    <mergeCell ref="D71:D72"/>
    <mergeCell ref="E71:E72"/>
    <mergeCell ref="F71:F72"/>
    <mergeCell ref="A67:A68"/>
    <mergeCell ref="B67:B68"/>
    <mergeCell ref="C67:C68"/>
    <mergeCell ref="D67:D68"/>
    <mergeCell ref="BK4:BV4"/>
    <mergeCell ref="BK5:BV5"/>
    <mergeCell ref="BK6:BV6"/>
    <mergeCell ref="BX4:CI4"/>
    <mergeCell ref="BX5:CI5"/>
    <mergeCell ref="BX6:CI6"/>
    <mergeCell ref="A73:A74"/>
    <mergeCell ref="B73:B74"/>
    <mergeCell ref="C73:C74"/>
    <mergeCell ref="D73:D74"/>
    <mergeCell ref="E73:E74"/>
    <mergeCell ref="F73:F74"/>
    <mergeCell ref="A57:A58"/>
    <mergeCell ref="B57:B58"/>
    <mergeCell ref="C57:C58"/>
    <mergeCell ref="D57:D58"/>
    <mergeCell ref="E57:E58"/>
    <mergeCell ref="F57:F58"/>
    <mergeCell ref="A59:A60"/>
    <mergeCell ref="B59:B60"/>
    <mergeCell ref="C59:C60"/>
    <mergeCell ref="D59:D60"/>
    <mergeCell ref="E59:E60"/>
    <mergeCell ref="F59:F60"/>
    <mergeCell ref="AX4:BI4"/>
    <mergeCell ref="AX5:BI5"/>
    <mergeCell ref="AX6:BI6"/>
    <mergeCell ref="A65:A66"/>
    <mergeCell ref="B65:B66"/>
    <mergeCell ref="C65:C66"/>
    <mergeCell ref="D65:D66"/>
    <mergeCell ref="E65:E66"/>
    <mergeCell ref="F65:F66"/>
    <mergeCell ref="A63:A64"/>
    <mergeCell ref="B63:B64"/>
    <mergeCell ref="C63:C64"/>
    <mergeCell ref="D63:D64"/>
    <mergeCell ref="E63:E64"/>
    <mergeCell ref="F63:F64"/>
    <mergeCell ref="K4:V5"/>
    <mergeCell ref="W4:W5"/>
    <mergeCell ref="X4:AI5"/>
    <mergeCell ref="A61:A62"/>
    <mergeCell ref="B61:B62"/>
    <mergeCell ref="C61:C62"/>
    <mergeCell ref="D61:D62"/>
    <mergeCell ref="E61:E62"/>
    <mergeCell ref="F61:F62"/>
    <mergeCell ref="AK4:AV4"/>
    <mergeCell ref="AK5:AV5"/>
    <mergeCell ref="K6:V6"/>
    <mergeCell ref="X6:AI6"/>
    <mergeCell ref="AK6:AV6"/>
    <mergeCell ref="A7:A8"/>
    <mergeCell ref="A1:J2"/>
    <mergeCell ref="A3:A6"/>
    <mergeCell ref="B3:B6"/>
    <mergeCell ref="C3:C6"/>
    <mergeCell ref="D3:D6"/>
    <mergeCell ref="E3:E6"/>
    <mergeCell ref="F3:F6"/>
    <mergeCell ref="G4:I5"/>
    <mergeCell ref="J4:J5"/>
    <mergeCell ref="G6:I6"/>
    <mergeCell ref="B7:B8"/>
    <mergeCell ref="C7:C8"/>
    <mergeCell ref="D7:D8"/>
    <mergeCell ref="E7:E8"/>
    <mergeCell ref="F7:F8"/>
    <mergeCell ref="A9:A10"/>
    <mergeCell ref="B9:B10"/>
    <mergeCell ref="C9:C10"/>
    <mergeCell ref="D9:D10"/>
    <mergeCell ref="E9:E10"/>
    <mergeCell ref="F9:F10"/>
    <mergeCell ref="A11:A12"/>
    <mergeCell ref="B11:B12"/>
    <mergeCell ref="C11:C12"/>
    <mergeCell ref="D11:D12"/>
    <mergeCell ref="E11:E12"/>
    <mergeCell ref="F11:F12"/>
    <mergeCell ref="A13:A14"/>
    <mergeCell ref="B13:B14"/>
    <mergeCell ref="C13:C14"/>
    <mergeCell ref="D13:D14"/>
    <mergeCell ref="E13:E14"/>
    <mergeCell ref="F13:F14"/>
    <mergeCell ref="A15:A16"/>
    <mergeCell ref="B15:B16"/>
    <mergeCell ref="C15:C16"/>
    <mergeCell ref="D15:D16"/>
    <mergeCell ref="E15:E16"/>
    <mergeCell ref="F15:F16"/>
    <mergeCell ref="A17:A18"/>
    <mergeCell ref="B17:B18"/>
    <mergeCell ref="C17:C18"/>
    <mergeCell ref="D17:D18"/>
    <mergeCell ref="E17:E18"/>
    <mergeCell ref="F17:F18"/>
    <mergeCell ref="A19:A20"/>
    <mergeCell ref="B19:B20"/>
    <mergeCell ref="C19:C20"/>
    <mergeCell ref="D19:D20"/>
    <mergeCell ref="E19:E20"/>
    <mergeCell ref="F19:F20"/>
    <mergeCell ref="A23:A24"/>
    <mergeCell ref="B23:B24"/>
    <mergeCell ref="C23:C24"/>
    <mergeCell ref="D23:D24"/>
    <mergeCell ref="E23:E24"/>
    <mergeCell ref="F23:F24"/>
    <mergeCell ref="A25:A26"/>
    <mergeCell ref="B25:B26"/>
    <mergeCell ref="C25:C26"/>
    <mergeCell ref="D25:D26"/>
    <mergeCell ref="E25:E26"/>
    <mergeCell ref="F25:F26"/>
    <mergeCell ref="A27:A28"/>
    <mergeCell ref="B27:B28"/>
    <mergeCell ref="C27:C28"/>
    <mergeCell ref="D27:D28"/>
    <mergeCell ref="E27:E28"/>
    <mergeCell ref="F27:F28"/>
    <mergeCell ref="A29:A30"/>
    <mergeCell ref="B29:B30"/>
    <mergeCell ref="C29:C30"/>
    <mergeCell ref="D29:D30"/>
    <mergeCell ref="E29:E30"/>
    <mergeCell ref="F29:F30"/>
    <mergeCell ref="A31:A32"/>
    <mergeCell ref="B31:B32"/>
    <mergeCell ref="C31:C32"/>
    <mergeCell ref="D31:D32"/>
    <mergeCell ref="E31:E32"/>
    <mergeCell ref="F31:F32"/>
    <mergeCell ref="A33:A34"/>
    <mergeCell ref="B33:B34"/>
    <mergeCell ref="C33:C34"/>
    <mergeCell ref="D33:D34"/>
    <mergeCell ref="E33:E34"/>
    <mergeCell ref="F33:F34"/>
    <mergeCell ref="A35:A36"/>
    <mergeCell ref="B35:B36"/>
    <mergeCell ref="C35:C36"/>
    <mergeCell ref="D35:D36"/>
    <mergeCell ref="E35:E36"/>
    <mergeCell ref="F35:F36"/>
    <mergeCell ref="A37:A38"/>
    <mergeCell ref="B37:B38"/>
    <mergeCell ref="C37:C38"/>
    <mergeCell ref="D37:D38"/>
    <mergeCell ref="E37:E38"/>
    <mergeCell ref="F37:F38"/>
    <mergeCell ref="F43:F44"/>
    <mergeCell ref="A45:A46"/>
    <mergeCell ref="B45:B46"/>
    <mergeCell ref="C45:C46"/>
    <mergeCell ref="D45:D46"/>
    <mergeCell ref="E45:E46"/>
    <mergeCell ref="F45:F46"/>
    <mergeCell ref="A39:A40"/>
    <mergeCell ref="B39:B40"/>
    <mergeCell ref="C39:C40"/>
    <mergeCell ref="D39:D40"/>
    <mergeCell ref="E39:E40"/>
    <mergeCell ref="F39:F40"/>
    <mergeCell ref="A41:A42"/>
    <mergeCell ref="B41:B42"/>
    <mergeCell ref="C41:C42"/>
    <mergeCell ref="D41:D42"/>
    <mergeCell ref="E41:E42"/>
    <mergeCell ref="F41:F42"/>
    <mergeCell ref="A69:A70"/>
    <mergeCell ref="B69:B70"/>
    <mergeCell ref="C69:C70"/>
    <mergeCell ref="D69:D70"/>
    <mergeCell ref="A43:A44"/>
    <mergeCell ref="B43:B44"/>
    <mergeCell ref="C43:C44"/>
    <mergeCell ref="D43:D44"/>
    <mergeCell ref="E43:E44"/>
    <mergeCell ref="A87:B95"/>
    <mergeCell ref="A81:A82"/>
    <mergeCell ref="B81:B82"/>
    <mergeCell ref="C81:C82"/>
    <mergeCell ref="D81:D82"/>
    <mergeCell ref="E81:E82"/>
    <mergeCell ref="F81:F82"/>
    <mergeCell ref="A85:A86"/>
    <mergeCell ref="B85:B86"/>
    <mergeCell ref="C85:C86"/>
    <mergeCell ref="D85:D86"/>
    <mergeCell ref="E85:E86"/>
    <mergeCell ref="F85:F86"/>
    <mergeCell ref="A83:A84"/>
    <mergeCell ref="B83:B84"/>
    <mergeCell ref="C83:C84"/>
    <mergeCell ref="D83:D84"/>
    <mergeCell ref="E83:E84"/>
    <mergeCell ref="A79:A80"/>
    <mergeCell ref="B79:B80"/>
    <mergeCell ref="A21:A22"/>
    <mergeCell ref="B21:B22"/>
    <mergeCell ref="C21:C22"/>
    <mergeCell ref="D21:D22"/>
    <mergeCell ref="E21:E22"/>
    <mergeCell ref="F21:F22"/>
    <mergeCell ref="A55:A56"/>
    <mergeCell ref="B55:B56"/>
    <mergeCell ref="C55:C56"/>
    <mergeCell ref="D55:D56"/>
    <mergeCell ref="E55:E56"/>
    <mergeCell ref="F55:F56"/>
    <mergeCell ref="A51:A52"/>
    <mergeCell ref="B51:B52"/>
    <mergeCell ref="C51:C52"/>
    <mergeCell ref="D51:D52"/>
    <mergeCell ref="E51:E52"/>
    <mergeCell ref="F51:F52"/>
    <mergeCell ref="A53:A54"/>
    <mergeCell ref="B53:B54"/>
    <mergeCell ref="E67:E68"/>
    <mergeCell ref="F67:F68"/>
    <mergeCell ref="A77:A78"/>
    <mergeCell ref="B77:B78"/>
    <mergeCell ref="C77:C78"/>
    <mergeCell ref="D77:D78"/>
    <mergeCell ref="E77:E78"/>
    <mergeCell ref="F77:F78"/>
    <mergeCell ref="A75:A76"/>
    <mergeCell ref="B75:B76"/>
    <mergeCell ref="C75:C76"/>
    <mergeCell ref="D75:D76"/>
    <mergeCell ref="C79:C80"/>
    <mergeCell ref="D79:D80"/>
    <mergeCell ref="E79:E80"/>
    <mergeCell ref="F79:F80"/>
    <mergeCell ref="F83:F84"/>
    <mergeCell ref="C53:C54"/>
    <mergeCell ref="D53:D54"/>
    <mergeCell ref="E53:E54"/>
    <mergeCell ref="F53:F54"/>
    <mergeCell ref="E75:E76"/>
    <mergeCell ref="F75:F76"/>
    <mergeCell ref="E69:E70"/>
    <mergeCell ref="F69:F70"/>
  </mergeCells>
  <conditionalFormatting sqref="C7:D7">
    <cfRule type="cellIs" dxfId="95" priority="308" operator="equal">
      <formula>"Поиск участка"</formula>
    </cfRule>
    <cfRule type="cellIs" dxfId="94" priority="309" operator="equal">
      <formula>"Подготовка"</formula>
    </cfRule>
    <cfRule type="cellIs" dxfId="93" priority="310" operator="equal">
      <formula>"Строительство"</formula>
    </cfRule>
  </conditionalFormatting>
  <conditionalFormatting sqref="C9:D9">
    <cfRule type="cellIs" dxfId="92" priority="55" operator="equal">
      <formula>"Поиск участка"</formula>
    </cfRule>
    <cfRule type="cellIs" dxfId="91" priority="57" operator="equal">
      <formula>"Строительство"</formula>
    </cfRule>
    <cfRule type="cellIs" dxfId="90" priority="56" operator="equal">
      <formula>"Подготовка"</formula>
    </cfRule>
  </conditionalFormatting>
  <conditionalFormatting sqref="C11:D11">
    <cfRule type="cellIs" dxfId="89" priority="52" operator="equal">
      <formula>"Поиск участка"</formula>
    </cfRule>
    <cfRule type="cellIs" dxfId="88" priority="53" operator="equal">
      <formula>"Подготовка"</formula>
    </cfRule>
    <cfRule type="cellIs" dxfId="87" priority="54" operator="equal">
      <formula>"Строительство"</formula>
    </cfRule>
  </conditionalFormatting>
  <conditionalFormatting sqref="C13:D13">
    <cfRule type="cellIs" dxfId="86" priority="50" operator="equal">
      <formula>"Подготовка"</formula>
    </cfRule>
    <cfRule type="cellIs" dxfId="85" priority="51" operator="equal">
      <formula>"Строительство"</formula>
    </cfRule>
    <cfRule type="cellIs" dxfId="84" priority="49" operator="equal">
      <formula>"Поиск участка"</formula>
    </cfRule>
  </conditionalFormatting>
  <conditionalFormatting sqref="C15:D15">
    <cfRule type="cellIs" dxfId="83" priority="271" operator="equal">
      <formula>"Поиск участка"</formula>
    </cfRule>
    <cfRule type="cellIs" dxfId="82" priority="272" operator="equal">
      <formula>"Подготовка"</formula>
    </cfRule>
    <cfRule type="cellIs" dxfId="81" priority="273" operator="equal">
      <formula>"Строительство"</formula>
    </cfRule>
  </conditionalFormatting>
  <conditionalFormatting sqref="C17:D17">
    <cfRule type="cellIs" dxfId="80" priority="42" operator="equal">
      <formula>"Строительство"</formula>
    </cfRule>
    <cfRule type="cellIs" dxfId="79" priority="41" operator="equal">
      <formula>"Подготовка"</formula>
    </cfRule>
    <cfRule type="cellIs" dxfId="78" priority="40" operator="equal">
      <formula>"Поиск участка"</formula>
    </cfRule>
  </conditionalFormatting>
  <conditionalFormatting sqref="C19:D19 C21:D21">
    <cfRule type="cellIs" dxfId="77" priority="38" operator="equal">
      <formula>"Подготовка"</formula>
    </cfRule>
    <cfRule type="cellIs" dxfId="76" priority="39" operator="equal">
      <formula>"Строительство"</formula>
    </cfRule>
    <cfRule type="cellIs" dxfId="75" priority="37" operator="equal">
      <formula>"Поиск участка"</formula>
    </cfRule>
  </conditionalFormatting>
  <conditionalFormatting sqref="C23:D23">
    <cfRule type="cellIs" dxfId="74" priority="254" operator="equal">
      <formula>"Подготовка"</formula>
    </cfRule>
    <cfRule type="cellIs" dxfId="73" priority="253" operator="equal">
      <formula>"Поиск участка"</formula>
    </cfRule>
    <cfRule type="cellIs" dxfId="72" priority="255" operator="equal">
      <formula>"Строительство"</formula>
    </cfRule>
  </conditionalFormatting>
  <conditionalFormatting sqref="C25:D25">
    <cfRule type="cellIs" dxfId="71" priority="36" operator="equal">
      <formula>"Строительство"</formula>
    </cfRule>
    <cfRule type="cellIs" dxfId="70" priority="35" operator="equal">
      <formula>"Подготовка"</formula>
    </cfRule>
    <cfRule type="cellIs" dxfId="69" priority="34" operator="equal">
      <formula>"Поиск участка"</formula>
    </cfRule>
  </conditionalFormatting>
  <conditionalFormatting sqref="C27:D27">
    <cfRule type="cellIs" dxfId="68" priority="251" operator="equal">
      <formula>"Подготовка"</formula>
    </cfRule>
    <cfRule type="cellIs" dxfId="67" priority="252" operator="equal">
      <formula>"Строительство"</formula>
    </cfRule>
    <cfRule type="cellIs" dxfId="66" priority="250" operator="equal">
      <formula>"Поиск участка"</formula>
    </cfRule>
  </conditionalFormatting>
  <conditionalFormatting sqref="C29:D29 C35:D35">
    <cfRule type="cellIs" dxfId="65" priority="259" operator="equal">
      <formula>"Поиск участка"</formula>
    </cfRule>
    <cfRule type="cellIs" dxfId="64" priority="260" operator="equal">
      <formula>"Подготовка"</formula>
    </cfRule>
    <cfRule type="cellIs" dxfId="63" priority="261" operator="equal">
      <formula>"Строительство"</formula>
    </cfRule>
  </conditionalFormatting>
  <conditionalFormatting sqref="C31:D31 C33:D33">
    <cfRule type="cellIs" dxfId="62" priority="31" operator="equal">
      <formula>"Поиск участка"</formula>
    </cfRule>
    <cfRule type="cellIs" dxfId="61" priority="33" operator="equal">
      <formula>"Строительство"</formula>
    </cfRule>
    <cfRule type="cellIs" dxfId="60" priority="32" operator="equal">
      <formula>"Подготовка"</formula>
    </cfRule>
  </conditionalFormatting>
  <conditionalFormatting sqref="C37:D37 C39:D39 C41:D41 C43:D43">
    <cfRule type="cellIs" dxfId="59" priority="28" operator="equal">
      <formula>"Поиск участка"</formula>
    </cfRule>
    <cfRule type="cellIs" dxfId="58" priority="29" operator="equal">
      <formula>"Подготовка"</formula>
    </cfRule>
    <cfRule type="cellIs" dxfId="57" priority="30" operator="equal">
      <formula>"Строительство"</formula>
    </cfRule>
  </conditionalFormatting>
  <conditionalFormatting sqref="C45:D45">
    <cfRule type="cellIs" dxfId="56" priority="248" operator="equal">
      <formula>"Подготовка"</formula>
    </cfRule>
    <cfRule type="cellIs" dxfId="55" priority="249" operator="equal">
      <formula>"Строительство"</formula>
    </cfRule>
    <cfRule type="cellIs" dxfId="54" priority="247" operator="equal">
      <formula>"Поиск участка"</formula>
    </cfRule>
  </conditionalFormatting>
  <conditionalFormatting sqref="C47:D47">
    <cfRule type="cellIs" dxfId="53" priority="9" operator="equal">
      <formula>"Строительство"</formula>
    </cfRule>
    <cfRule type="cellIs" dxfId="52" priority="7" operator="equal">
      <formula>"Поиск участка"</formula>
    </cfRule>
    <cfRule type="cellIs" dxfId="51" priority="8" operator="equal">
      <formula>"Подготовка"</formula>
    </cfRule>
  </conditionalFormatting>
  <conditionalFormatting sqref="C49:D49 C51:D51">
    <cfRule type="cellIs" dxfId="50" priority="27" operator="equal">
      <formula>"Строительство"</formula>
    </cfRule>
    <cfRule type="cellIs" dxfId="49" priority="26" operator="equal">
      <formula>"Подготовка"</formula>
    </cfRule>
    <cfRule type="cellIs" dxfId="48" priority="25" operator="equal">
      <formula>"Поиск участка"</formula>
    </cfRule>
  </conditionalFormatting>
  <conditionalFormatting sqref="C53:D53">
    <cfRule type="cellIs" dxfId="47" priority="241" operator="equal">
      <formula>"Поиск участка"</formula>
    </cfRule>
    <cfRule type="cellIs" dxfId="46" priority="243" operator="equal">
      <formula>"Строительство"</formula>
    </cfRule>
    <cfRule type="cellIs" dxfId="45" priority="242" operator="equal">
      <formula>"Подготовка"</formula>
    </cfRule>
  </conditionalFormatting>
  <conditionalFormatting sqref="C55:D55">
    <cfRule type="cellIs" dxfId="44" priority="240" operator="equal">
      <formula>"Строительство"</formula>
    </cfRule>
    <cfRule type="cellIs" dxfId="43" priority="238" operator="equal">
      <formula>"Поиск участка"</formula>
    </cfRule>
    <cfRule type="cellIs" dxfId="42" priority="239" operator="equal">
      <formula>"Подготовка"</formula>
    </cfRule>
  </conditionalFormatting>
  <conditionalFormatting sqref="C57:D57">
    <cfRule type="cellIs" dxfId="41" priority="235" operator="equal">
      <formula>"Поиск участка"</formula>
    </cfRule>
    <cfRule type="cellIs" dxfId="40" priority="236" operator="equal">
      <formula>"Подготовка"</formula>
    </cfRule>
    <cfRule type="cellIs" dxfId="39" priority="237" operator="equal">
      <formula>"Строительство"</formula>
    </cfRule>
  </conditionalFormatting>
  <conditionalFormatting sqref="C59:D59 C61:D61 C63:D63 C65:D65">
    <cfRule type="cellIs" dxfId="38" priority="18" operator="equal">
      <formula>"Строительство"</formula>
    </cfRule>
    <cfRule type="cellIs" dxfId="37" priority="17" operator="equal">
      <formula>"Подготовка"</formula>
    </cfRule>
    <cfRule type="cellIs" dxfId="36" priority="16" operator="equal">
      <formula>"Поиск участка"</formula>
    </cfRule>
  </conditionalFormatting>
  <conditionalFormatting sqref="C67:D67">
    <cfRule type="cellIs" dxfId="35" priority="22" operator="equal">
      <formula>"Поиск участка"</formula>
    </cfRule>
    <cfRule type="cellIs" dxfId="34" priority="24" operator="equal">
      <formula>"Строительство"</formula>
    </cfRule>
    <cfRule type="cellIs" dxfId="33" priority="23" operator="equal">
      <formula>"Подготовка"</formula>
    </cfRule>
  </conditionalFormatting>
  <conditionalFormatting sqref="C69:D69">
    <cfRule type="cellIs" dxfId="32" priority="11" operator="equal">
      <formula>"Подготовка"</formula>
    </cfRule>
    <cfRule type="cellIs" dxfId="31" priority="10" operator="equal">
      <formula>"Поиск участка"</formula>
    </cfRule>
    <cfRule type="cellIs" dxfId="30" priority="12" operator="equal">
      <formula>"Строительство"</formula>
    </cfRule>
  </conditionalFormatting>
  <conditionalFormatting sqref="C71:D71">
    <cfRule type="cellIs" dxfId="29" priority="87" operator="equal">
      <formula>"Строительство"</formula>
    </cfRule>
    <cfRule type="cellIs" dxfId="28" priority="85" operator="equal">
      <formula>"Поиск участка"</formula>
    </cfRule>
    <cfRule type="cellIs" dxfId="27" priority="86" operator="equal">
      <formula>"Подготовка"</formula>
    </cfRule>
  </conditionalFormatting>
  <conditionalFormatting sqref="C73:D73">
    <cfRule type="cellIs" dxfId="26" priority="82" operator="equal">
      <formula>"Поиск участка"</formula>
    </cfRule>
    <cfRule type="cellIs" dxfId="25" priority="83" operator="equal">
      <formula>"Подготовка"</formula>
    </cfRule>
    <cfRule type="cellIs" dxfId="24" priority="84" operator="equal">
      <formula>"Строительство"</formula>
    </cfRule>
  </conditionalFormatting>
  <conditionalFormatting sqref="C75:D75">
    <cfRule type="cellIs" dxfId="23" priority="19" operator="equal">
      <formula>"Поиск участка"</formula>
    </cfRule>
    <cfRule type="cellIs" dxfId="22" priority="21" operator="equal">
      <formula>"Строительство"</formula>
    </cfRule>
    <cfRule type="cellIs" dxfId="21" priority="20" operator="equal">
      <formula>"Подготовка"</formula>
    </cfRule>
  </conditionalFormatting>
  <conditionalFormatting sqref="C77:D77">
    <cfRule type="cellIs" dxfId="20" priority="15" operator="equal">
      <formula>"Строительство"</formula>
    </cfRule>
    <cfRule type="cellIs" dxfId="19" priority="14" operator="equal">
      <formula>"Подготовка"</formula>
    </cfRule>
    <cfRule type="cellIs" dxfId="18" priority="13" operator="equal">
      <formula>"Поиск участка"</formula>
    </cfRule>
  </conditionalFormatting>
  <conditionalFormatting sqref="C79:D79 C81:D81">
    <cfRule type="cellIs" dxfId="17" priority="77" operator="equal">
      <formula>"Подготовка"</formula>
    </cfRule>
    <cfRule type="cellIs" dxfId="16" priority="76" operator="equal">
      <formula>"Поиск участка"</formula>
    </cfRule>
    <cfRule type="cellIs" dxfId="15" priority="78" operator="equal">
      <formula>"Строительство"</formula>
    </cfRule>
  </conditionalFormatting>
  <conditionalFormatting sqref="C83:D83">
    <cfRule type="cellIs" dxfId="14" priority="75" operator="equal">
      <formula>"Строительство"</formula>
    </cfRule>
    <cfRule type="cellIs" dxfId="13" priority="74" operator="equal">
      <formula>"Подготовка"</formula>
    </cfRule>
    <cfRule type="cellIs" dxfId="12" priority="73" operator="equal">
      <formula>"Поиск участка"</formula>
    </cfRule>
  </conditionalFormatting>
  <conditionalFormatting sqref="C85:D85">
    <cfRule type="cellIs" dxfId="11" priority="304" operator="equal">
      <formula>"Поиск участка"</formula>
    </cfRule>
    <cfRule type="cellIs" dxfId="10" priority="305" operator="equal">
      <formula>"Подготовка"</formula>
    </cfRule>
    <cfRule type="cellIs" dxfId="9" priority="306" operator="equal">
      <formula>"Строительство"</formula>
    </cfRule>
  </conditionalFormatting>
  <conditionalFormatting sqref="C90:E90 C91:D91 C92:E93 C94:D94">
    <cfRule type="cellIs" dxfId="8" priority="60" operator="equal">
      <formula>"Строительство"</formula>
    </cfRule>
    <cfRule type="cellIs" dxfId="7" priority="59" operator="equal">
      <formula>"Подготовка"</formula>
    </cfRule>
    <cfRule type="cellIs" dxfId="6" priority="58" operator="equal">
      <formula>"Поиск участка"</formula>
    </cfRule>
  </conditionalFormatting>
  <conditionalFormatting sqref="K7:CI8 CJ7:CJ94 M9:CI9">
    <cfRule type="cellIs" dxfId="5" priority="68" operator="equal">
      <formula>1</formula>
    </cfRule>
    <cfRule type="cellIs" dxfId="4" priority="67" operator="equal">
      <formula>"РНВ"</formula>
    </cfRule>
  </conditionalFormatting>
  <conditionalFormatting sqref="K10:CI95">
    <cfRule type="cellIs" dxfId="3" priority="2" operator="equal">
      <formula>1</formula>
    </cfRule>
    <cfRule type="cellIs" dxfId="2" priority="1" operator="equal">
      <formula>"РНВ"</formula>
    </cfRule>
  </conditionalFormatting>
  <pageMargins left="0.11811023622047245" right="0.11811023622047245" top="0.90551181102362177" bottom="0.90551181102362177" header="0.31496062992125984" footer="0.31496062992125984"/>
  <pageSetup paperSize="8" scale="23" fitToWidth="4" orientation="landscape" useFirstPageNumber="1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0000000}">
          <x14:formula1>
            <xm:f>#REF!</xm:f>
          </x14:formula1>
          <xm:sqref>C7:C92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ED2119"/>
  <sheetViews>
    <sheetView zoomScale="62" workbookViewId="0">
      <pane xSplit="1" ySplit="3" topLeftCell="B4" activePane="bottomRight" state="frozen"/>
      <selection activeCell="B4" sqref="B4"/>
      <selection pane="topRight"/>
      <selection pane="bottomLeft"/>
      <selection pane="bottomRight" activeCell="B4" sqref="B4"/>
    </sheetView>
  </sheetViews>
  <sheetFormatPr defaultColWidth="9.140625" defaultRowHeight="15" outlineLevelRow="1"/>
  <cols>
    <col min="1" max="1" width="35.7109375" style="1" customWidth="1"/>
    <col min="2" max="3" width="14.28515625" style="1" customWidth="1"/>
    <col min="4" max="4" width="10" style="1" customWidth="1"/>
    <col min="5" max="5" width="12.5703125" style="1" customWidth="1"/>
    <col min="6" max="6" width="18.7109375" style="1" customWidth="1"/>
    <col min="7" max="12" width="23.42578125" style="1" customWidth="1"/>
    <col min="13" max="13" width="22.140625" style="1" customWidth="1"/>
    <col min="14" max="45" width="23.42578125" style="1" customWidth="1"/>
    <col min="46" max="16384" width="9.140625" style="1"/>
  </cols>
  <sheetData>
    <row r="1" spans="1:971 1036:2006 2071:3041 3106:4076 4141:5111 5176:7112 7177:8147 8212:9182 9247:10217 10282:11252 11317:12287 12352:13253 13318:14288 14353:15323 15388:16358" s="2" customFormat="1">
      <c r="A1" s="276" t="s">
        <v>0</v>
      </c>
      <c r="B1" s="277" t="s">
        <v>1</v>
      </c>
      <c r="C1" s="277"/>
      <c r="D1" s="277" t="s">
        <v>2</v>
      </c>
      <c r="E1" s="277" t="s">
        <v>3</v>
      </c>
      <c r="F1" s="4" t="s">
        <v>4</v>
      </c>
      <c r="G1" s="272" t="s">
        <v>5</v>
      </c>
      <c r="H1" s="272"/>
      <c r="I1" s="272"/>
      <c r="J1" s="275" t="s">
        <v>6</v>
      </c>
      <c r="K1" s="275"/>
      <c r="L1" s="275"/>
      <c r="M1" s="275" t="s">
        <v>7</v>
      </c>
      <c r="N1" s="275"/>
      <c r="O1" s="275"/>
      <c r="P1" s="275" t="s">
        <v>8</v>
      </c>
      <c r="Q1" s="275"/>
      <c r="R1" s="275"/>
      <c r="S1" s="275" t="s">
        <v>9</v>
      </c>
      <c r="T1" s="275"/>
      <c r="U1" s="275"/>
      <c r="V1" s="274" t="s">
        <v>10</v>
      </c>
      <c r="W1" s="274"/>
      <c r="X1" s="274"/>
      <c r="Y1" s="274" t="s">
        <v>11</v>
      </c>
      <c r="Z1" s="274"/>
      <c r="AA1" s="274"/>
      <c r="AB1" s="274" t="s">
        <v>12</v>
      </c>
      <c r="AC1" s="274"/>
      <c r="AD1" s="274"/>
      <c r="AE1" s="274" t="s">
        <v>13</v>
      </c>
      <c r="AF1" s="274"/>
      <c r="AG1" s="274"/>
      <c r="AH1" s="273" t="s">
        <v>14</v>
      </c>
      <c r="AI1" s="273"/>
      <c r="AJ1" s="273"/>
      <c r="AK1" s="273" t="s">
        <v>15</v>
      </c>
      <c r="AL1" s="273"/>
      <c r="AM1" s="273"/>
      <c r="AN1" s="273" t="s">
        <v>16</v>
      </c>
      <c r="AO1" s="273"/>
      <c r="AP1" s="273"/>
      <c r="AQ1" s="273" t="s">
        <v>17</v>
      </c>
      <c r="AR1" s="273"/>
      <c r="AS1" s="273"/>
      <c r="AT1" s="272" t="s">
        <v>18</v>
      </c>
      <c r="AU1" s="272"/>
      <c r="AV1" s="272"/>
      <c r="AW1" s="272" t="s">
        <v>19</v>
      </c>
      <c r="AX1" s="272"/>
      <c r="AY1" s="272"/>
      <c r="AZ1" s="272" t="s">
        <v>20</v>
      </c>
      <c r="BA1" s="272"/>
      <c r="BB1" s="272"/>
      <c r="BC1" s="272" t="s">
        <v>21</v>
      </c>
      <c r="BD1" s="272"/>
      <c r="BE1" s="272"/>
      <c r="BF1" s="272" t="s">
        <v>22</v>
      </c>
      <c r="BG1" s="272"/>
      <c r="BH1" s="272"/>
      <c r="BI1" s="272" t="s">
        <v>23</v>
      </c>
      <c r="BJ1" s="272"/>
      <c r="BK1" s="272"/>
      <c r="BL1" s="272" t="s">
        <v>24</v>
      </c>
      <c r="BM1" s="272"/>
      <c r="BN1" s="272"/>
      <c r="BO1" s="272" t="s">
        <v>25</v>
      </c>
      <c r="BP1" s="272"/>
      <c r="BQ1" s="272"/>
    </row>
    <row r="2" spans="1:971 1036:2006 2071:3041 3106:4076 4141:5111 5176:7112 7177:8147 8212:9182 9247:10217 10282:11252 11317:12287 12352:13253 13318:14288 14353:15323 15388:16358" s="5" customFormat="1" ht="20.25" customHeight="1">
      <c r="A2" s="276"/>
      <c r="B2" s="277"/>
      <c r="C2" s="277"/>
      <c r="D2" s="277"/>
      <c r="E2" s="277"/>
      <c r="F2" s="6">
        <v>44805</v>
      </c>
      <c r="G2" s="6">
        <v>44835</v>
      </c>
      <c r="H2" s="6">
        <v>44866</v>
      </c>
      <c r="I2" s="6">
        <v>44896</v>
      </c>
      <c r="J2" s="6">
        <v>44927</v>
      </c>
      <c r="K2" s="6">
        <v>44958</v>
      </c>
      <c r="L2" s="6">
        <v>44986</v>
      </c>
      <c r="M2" s="6">
        <v>45017</v>
      </c>
      <c r="N2" s="6">
        <v>45047</v>
      </c>
      <c r="O2" s="6">
        <v>45078</v>
      </c>
      <c r="P2" s="6">
        <v>45108</v>
      </c>
      <c r="Q2" s="6">
        <v>45139</v>
      </c>
      <c r="R2" s="6">
        <v>45170</v>
      </c>
      <c r="S2" s="6">
        <v>45200</v>
      </c>
      <c r="T2" s="6">
        <v>45231</v>
      </c>
      <c r="U2" s="6">
        <v>45261</v>
      </c>
      <c r="V2" s="6">
        <v>45292</v>
      </c>
      <c r="W2" s="6">
        <v>45323</v>
      </c>
      <c r="X2" s="6">
        <v>45352</v>
      </c>
      <c r="Y2" s="6">
        <v>45383</v>
      </c>
      <c r="Z2" s="6">
        <v>45413</v>
      </c>
      <c r="AA2" s="6">
        <v>45444</v>
      </c>
      <c r="AB2" s="6">
        <v>45474</v>
      </c>
      <c r="AC2" s="6">
        <v>45505</v>
      </c>
      <c r="AD2" s="6">
        <v>45536</v>
      </c>
      <c r="AE2" s="6">
        <v>45566</v>
      </c>
      <c r="AF2" s="6">
        <v>45597</v>
      </c>
      <c r="AG2" s="6">
        <v>45627</v>
      </c>
      <c r="AH2" s="6">
        <v>45658</v>
      </c>
      <c r="AI2" s="6">
        <v>45689</v>
      </c>
      <c r="AJ2" s="6">
        <v>45717</v>
      </c>
      <c r="AK2" s="6">
        <v>45748</v>
      </c>
      <c r="AL2" s="6">
        <v>45778</v>
      </c>
      <c r="AM2" s="6">
        <v>45809</v>
      </c>
      <c r="AN2" s="6">
        <v>45839</v>
      </c>
      <c r="AO2" s="6">
        <v>45870</v>
      </c>
      <c r="AP2" s="6">
        <v>45901</v>
      </c>
      <c r="AQ2" s="6">
        <v>45931</v>
      </c>
      <c r="AR2" s="6">
        <v>45962</v>
      </c>
      <c r="AS2" s="6">
        <v>45992</v>
      </c>
      <c r="AT2" s="6">
        <v>46023</v>
      </c>
      <c r="AU2" s="6">
        <v>46054</v>
      </c>
      <c r="AV2" s="6">
        <v>46082</v>
      </c>
      <c r="AW2" s="6">
        <v>46113</v>
      </c>
      <c r="AX2" s="6">
        <v>46143</v>
      </c>
      <c r="AY2" s="6">
        <v>46174</v>
      </c>
      <c r="AZ2" s="6">
        <v>46204</v>
      </c>
      <c r="BA2" s="6">
        <v>46235</v>
      </c>
      <c r="BB2" s="6">
        <v>46266</v>
      </c>
      <c r="BC2" s="6">
        <v>46296</v>
      </c>
      <c r="BD2" s="6">
        <v>46327</v>
      </c>
      <c r="BE2" s="6">
        <v>46357</v>
      </c>
      <c r="BF2" s="6">
        <v>46388</v>
      </c>
      <c r="BG2" s="6">
        <v>46419</v>
      </c>
      <c r="BH2" s="6">
        <v>46447</v>
      </c>
      <c r="BI2" s="6">
        <v>46478</v>
      </c>
      <c r="BJ2" s="6">
        <v>46508</v>
      </c>
      <c r="BK2" s="6">
        <v>46539</v>
      </c>
      <c r="BL2" s="6">
        <v>46569</v>
      </c>
      <c r="BM2" s="6">
        <v>46600</v>
      </c>
      <c r="BN2" s="6">
        <v>46631</v>
      </c>
      <c r="BO2" s="6">
        <v>46661</v>
      </c>
      <c r="BP2" s="6">
        <v>46692</v>
      </c>
      <c r="BQ2" s="6">
        <v>46722</v>
      </c>
    </row>
    <row r="3" spans="1:971 1036:2006 2071:3041 3106:4076 4141:5111 5176:7112 7177:8147 8212:9182 9247:10217 10282:11252 11317:12287 12352:13253 13318:14288 14353:15323 15388:16358" s="3" customFormat="1" ht="30" customHeight="1">
      <c r="A3" s="276"/>
      <c r="B3" s="3" t="s">
        <v>26</v>
      </c>
      <c r="C3" s="3" t="s">
        <v>27</v>
      </c>
      <c r="D3" s="277"/>
      <c r="E3" s="277"/>
      <c r="F3" s="7">
        <v>1</v>
      </c>
      <c r="G3" s="7">
        <v>2</v>
      </c>
      <c r="H3" s="7">
        <v>3</v>
      </c>
      <c r="I3" s="7">
        <v>4</v>
      </c>
      <c r="J3" s="7">
        <v>5</v>
      </c>
      <c r="K3" s="7">
        <v>6</v>
      </c>
      <c r="L3" s="7">
        <v>7</v>
      </c>
      <c r="M3" s="7">
        <v>8</v>
      </c>
      <c r="N3" s="7">
        <v>9</v>
      </c>
      <c r="O3" s="7">
        <v>10</v>
      </c>
      <c r="P3" s="7">
        <v>11</v>
      </c>
      <c r="Q3" s="7">
        <v>12</v>
      </c>
      <c r="R3" s="7">
        <v>13</v>
      </c>
      <c r="S3" s="7">
        <v>14</v>
      </c>
      <c r="T3" s="7">
        <v>15</v>
      </c>
      <c r="U3" s="7">
        <v>16</v>
      </c>
      <c r="V3" s="7">
        <v>17</v>
      </c>
      <c r="W3" s="7">
        <v>18</v>
      </c>
      <c r="X3" s="7">
        <v>19</v>
      </c>
      <c r="Y3" s="7">
        <v>20</v>
      </c>
      <c r="Z3" s="7">
        <v>21</v>
      </c>
      <c r="AA3" s="7">
        <v>22</v>
      </c>
      <c r="AB3" s="7">
        <v>23</v>
      </c>
      <c r="AC3" s="7">
        <v>24</v>
      </c>
      <c r="AD3" s="7">
        <v>25</v>
      </c>
      <c r="AE3" s="7">
        <v>26</v>
      </c>
      <c r="AF3" s="7">
        <v>27</v>
      </c>
      <c r="AG3" s="7">
        <v>28</v>
      </c>
      <c r="AH3" s="7">
        <v>29</v>
      </c>
      <c r="AI3" s="7">
        <v>30</v>
      </c>
      <c r="AJ3" s="7">
        <v>31</v>
      </c>
      <c r="AK3" s="7">
        <v>32</v>
      </c>
      <c r="AL3" s="7">
        <v>33</v>
      </c>
      <c r="AM3" s="7">
        <v>34</v>
      </c>
      <c r="AN3" s="7">
        <v>35</v>
      </c>
      <c r="AO3" s="7">
        <v>36</v>
      </c>
      <c r="AP3" s="7">
        <v>37</v>
      </c>
      <c r="AQ3" s="7">
        <v>38</v>
      </c>
      <c r="AR3" s="7">
        <v>39</v>
      </c>
      <c r="AS3" s="7">
        <v>40</v>
      </c>
      <c r="AT3" s="7">
        <v>41</v>
      </c>
      <c r="AU3" s="7">
        <v>42</v>
      </c>
      <c r="AV3" s="7">
        <v>43</v>
      </c>
      <c r="AW3" s="7">
        <v>44</v>
      </c>
      <c r="AX3" s="7">
        <v>45</v>
      </c>
      <c r="AY3" s="7">
        <v>46</v>
      </c>
      <c r="AZ3" s="7">
        <v>47</v>
      </c>
      <c r="BA3" s="7">
        <v>48</v>
      </c>
      <c r="BB3" s="7">
        <v>49</v>
      </c>
      <c r="BC3" s="7">
        <v>50</v>
      </c>
      <c r="BD3" s="7">
        <v>51</v>
      </c>
      <c r="BE3" s="7">
        <v>52</v>
      </c>
      <c r="BF3" s="7">
        <v>53</v>
      </c>
      <c r="BG3" s="7">
        <v>54</v>
      </c>
      <c r="BH3" s="7">
        <v>55</v>
      </c>
      <c r="BI3" s="7">
        <v>53</v>
      </c>
      <c r="BJ3" s="7">
        <v>54</v>
      </c>
      <c r="BK3" s="7">
        <v>55</v>
      </c>
      <c r="BL3" s="7">
        <v>53</v>
      </c>
      <c r="BM3" s="7">
        <v>54</v>
      </c>
      <c r="BN3" s="7">
        <v>55</v>
      </c>
      <c r="BO3" s="7">
        <v>53</v>
      </c>
      <c r="BP3" s="7">
        <v>54</v>
      </c>
      <c r="BQ3" s="7">
        <v>55</v>
      </c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</row>
    <row r="4" spans="1:971 1036:2006 2071:3041 3106:4076 4141:5111 5176:7112 7177:8147 8212:9182 9247:10217 10282:11252 11317:12287 12352:13253 13318:14288 14353:15323 15388:16358" s="3" customFormat="1" ht="32.25" customHeight="1">
      <c r="A4" s="8" t="s">
        <v>28</v>
      </c>
      <c r="B4" s="9"/>
      <c r="C4" s="9"/>
      <c r="D4" s="9"/>
      <c r="E4" s="9"/>
      <c r="F4" s="10"/>
      <c r="G4" s="10"/>
      <c r="H4" s="10"/>
      <c r="I4" s="10">
        <f>I5*I6</f>
        <v>20466.707000000013</v>
      </c>
      <c r="J4" s="10">
        <f>J5*J6</f>
        <v>17790.156999999999</v>
      </c>
      <c r="K4" s="10">
        <f>K5*K6</f>
        <v>7738.5429999999997</v>
      </c>
      <c r="L4" s="10">
        <f>L5*L6</f>
        <v>20996.774999999998</v>
      </c>
      <c r="M4" s="10">
        <f>M5*M6</f>
        <v>19538.495999999999</v>
      </c>
      <c r="N4" s="10">
        <f t="shared" ref="N4:R4" si="0">N21</f>
        <v>0</v>
      </c>
      <c r="O4" s="10">
        <f t="shared" si="0"/>
        <v>0</v>
      </c>
      <c r="P4" s="10">
        <f t="shared" si="0"/>
        <v>0</v>
      </c>
      <c r="Q4" s="10">
        <f t="shared" si="0"/>
        <v>0</v>
      </c>
      <c r="R4" s="10">
        <f t="shared" si="0"/>
        <v>0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</row>
    <row r="5" spans="1:971 1036:2006 2071:3041 3106:4076 4141:5111 5176:7112 7177:8147 8212:9182 9247:10217 10282:11252 11317:12287 12352:13253 13318:14288 14353:15323 15388:16358" s="3" customFormat="1" ht="32.25" customHeight="1">
      <c r="A5" s="11" t="s">
        <v>29</v>
      </c>
      <c r="F5" s="12"/>
      <c r="G5" s="12"/>
      <c r="H5" s="12"/>
      <c r="I5" s="13">
        <v>309.60000000000002</v>
      </c>
      <c r="J5" s="13">
        <v>288.50755988023951</v>
      </c>
      <c r="K5" s="13">
        <v>117.09</v>
      </c>
      <c r="L5" s="13">
        <v>321.40000000000003</v>
      </c>
      <c r="M5" s="13">
        <v>301.52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</row>
    <row r="6" spans="1:971 1036:2006 2071:3041 3106:4076 4141:5111 5176:7112 7177:8147 8212:9182 9247:10217 10282:11252 11317:12287 12352:13253 13318:14288 14353:15323 15388:16358" s="3" customFormat="1" ht="32.25" customHeight="1">
      <c r="A6" s="11" t="s">
        <v>30</v>
      </c>
      <c r="F6" s="12"/>
      <c r="G6" s="12"/>
      <c r="H6" s="12"/>
      <c r="I6" s="14">
        <v>66.106934754522001</v>
      </c>
      <c r="J6" s="14">
        <v>61.662706541848522</v>
      </c>
      <c r="K6" s="14">
        <v>66.090554274489705</v>
      </c>
      <c r="L6" s="14">
        <v>65.329107031736143</v>
      </c>
      <c r="M6" s="14">
        <v>64.8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</row>
    <row r="7" spans="1:971 1036:2006 2071:3041 3106:4076 4141:5111 5176:7112 7177:8147 8212:9182 9247:10217 10282:11252 11317:12287 12352:13253 13318:14288 14353:15323 15388:16358" s="10" customFormat="1" ht="18" customHeight="1">
      <c r="A7" s="8" t="s">
        <v>31</v>
      </c>
      <c r="B7" s="9"/>
      <c r="C7" s="9"/>
      <c r="D7" s="9"/>
      <c r="E7" s="9"/>
      <c r="I7" s="10">
        <f>I8*I9</f>
        <v>26815.699999999997</v>
      </c>
      <c r="J7" s="10">
        <f t="shared" ref="J7:R7" si="1">J8*J9</f>
        <v>20402.754827844314</v>
      </c>
      <c r="K7" s="10">
        <f t="shared" si="1"/>
        <v>42045.104999999996</v>
      </c>
      <c r="L7" s="10">
        <f t="shared" si="1"/>
        <v>39113.359999999993</v>
      </c>
      <c r="M7" s="10">
        <f t="shared" si="1"/>
        <v>30993.248</v>
      </c>
      <c r="N7" s="10">
        <f t="shared" si="1"/>
        <v>46900</v>
      </c>
      <c r="O7" s="10">
        <f t="shared" si="1"/>
        <v>50625</v>
      </c>
      <c r="P7" s="10">
        <f t="shared" si="1"/>
        <v>53430</v>
      </c>
      <c r="Q7" s="10">
        <f t="shared" si="1"/>
        <v>64635</v>
      </c>
      <c r="R7" s="10">
        <f t="shared" si="1"/>
        <v>72280</v>
      </c>
      <c r="BR7" s="8"/>
      <c r="BS7" s="9"/>
      <c r="BT7" s="9"/>
      <c r="BU7" s="9"/>
      <c r="BV7" s="9"/>
      <c r="EI7" s="8"/>
      <c r="EJ7" s="9"/>
      <c r="EK7" s="9"/>
      <c r="EL7" s="9"/>
      <c r="EM7" s="9"/>
      <c r="GZ7" s="8"/>
      <c r="HA7" s="9"/>
      <c r="HB7" s="9"/>
      <c r="HC7" s="9"/>
      <c r="HD7" s="9"/>
      <c r="JQ7" s="8"/>
      <c r="JR7" s="9"/>
      <c r="JS7" s="9"/>
      <c r="JT7" s="9"/>
      <c r="JU7" s="9"/>
      <c r="MH7" s="8"/>
      <c r="MI7" s="9"/>
      <c r="MJ7" s="9"/>
      <c r="MK7" s="9"/>
      <c r="ML7" s="9"/>
      <c r="OY7" s="8"/>
      <c r="OZ7" s="9"/>
      <c r="PA7" s="9"/>
      <c r="PB7" s="9"/>
      <c r="PC7" s="9"/>
      <c r="RP7" s="8"/>
      <c r="RQ7" s="9"/>
      <c r="RR7" s="9"/>
      <c r="RS7" s="9"/>
      <c r="RT7" s="9"/>
      <c r="UG7" s="8"/>
      <c r="UH7" s="9"/>
      <c r="UI7" s="9"/>
      <c r="UJ7" s="9"/>
      <c r="UK7" s="9"/>
      <c r="WX7" s="8"/>
      <c r="WY7" s="9"/>
      <c r="WZ7" s="9"/>
      <c r="XA7" s="9"/>
      <c r="XB7" s="9"/>
      <c r="ZO7" s="8"/>
      <c r="ZP7" s="9"/>
      <c r="ZQ7" s="9"/>
      <c r="ZR7" s="9"/>
      <c r="ZS7" s="9"/>
      <c r="ACF7" s="8"/>
      <c r="ACG7" s="9"/>
      <c r="ACH7" s="9"/>
      <c r="ACI7" s="9"/>
      <c r="ACJ7" s="9"/>
      <c r="AEW7" s="8"/>
      <c r="AEX7" s="9"/>
      <c r="AEY7" s="9"/>
      <c r="AEZ7" s="9"/>
      <c r="AFA7" s="9"/>
      <c r="AHN7" s="8"/>
      <c r="AHO7" s="9"/>
      <c r="AHP7" s="9"/>
      <c r="AHQ7" s="9"/>
      <c r="AHR7" s="9"/>
      <c r="AKE7" s="8"/>
      <c r="AKF7" s="9"/>
      <c r="AKG7" s="9"/>
      <c r="AKH7" s="9"/>
      <c r="AKI7" s="9"/>
      <c r="AMV7" s="8"/>
      <c r="AMW7" s="9"/>
      <c r="AMX7" s="9"/>
      <c r="AMY7" s="9"/>
      <c r="AMZ7" s="9"/>
      <c r="APM7" s="8"/>
      <c r="APN7" s="9"/>
      <c r="APO7" s="9"/>
      <c r="APP7" s="9"/>
      <c r="APQ7" s="9"/>
      <c r="ASD7" s="8"/>
      <c r="ASE7" s="9"/>
      <c r="ASF7" s="9"/>
      <c r="ASG7" s="9"/>
      <c r="ASH7" s="9"/>
      <c r="AUU7" s="8"/>
      <c r="AUV7" s="9"/>
      <c r="AUW7" s="9"/>
      <c r="AUX7" s="9"/>
      <c r="AUY7" s="9"/>
      <c r="AXL7" s="8"/>
      <c r="AXM7" s="9"/>
      <c r="AXN7" s="9"/>
      <c r="AXO7" s="9"/>
      <c r="AXP7" s="9"/>
      <c r="BAC7" s="8"/>
      <c r="BAD7" s="9"/>
      <c r="BAE7" s="9"/>
      <c r="BAF7" s="9"/>
      <c r="BAG7" s="9"/>
      <c r="BCT7" s="8"/>
      <c r="BCU7" s="9"/>
      <c r="BCV7" s="9"/>
      <c r="BCW7" s="9"/>
      <c r="BCX7" s="9"/>
      <c r="BFK7" s="8"/>
      <c r="BFL7" s="9"/>
      <c r="BFM7" s="9"/>
      <c r="BFN7" s="9"/>
      <c r="BFO7" s="9"/>
      <c r="BIB7" s="8"/>
      <c r="BIC7" s="9"/>
      <c r="BID7" s="9"/>
      <c r="BIE7" s="9"/>
      <c r="BIF7" s="9"/>
      <c r="BKS7" s="8"/>
      <c r="BKT7" s="9"/>
      <c r="BKU7" s="9"/>
      <c r="BKV7" s="9"/>
      <c r="BKW7" s="9"/>
      <c r="BNJ7" s="8"/>
      <c r="BNK7" s="9"/>
      <c r="BNL7" s="9"/>
      <c r="BNM7" s="9"/>
      <c r="BNN7" s="9"/>
      <c r="BQA7" s="8"/>
      <c r="BQB7" s="9"/>
      <c r="BQC7" s="9"/>
      <c r="BQD7" s="9"/>
      <c r="BQE7" s="9"/>
      <c r="BSR7" s="8"/>
      <c r="BSS7" s="9"/>
      <c r="BST7" s="9"/>
      <c r="BSU7" s="9"/>
      <c r="BSV7" s="9"/>
      <c r="BVI7" s="8"/>
      <c r="BVJ7" s="9"/>
      <c r="BVK7" s="9"/>
      <c r="BVL7" s="9"/>
      <c r="BVM7" s="9"/>
      <c r="BXZ7" s="8"/>
      <c r="BYA7" s="9"/>
      <c r="BYB7" s="9"/>
      <c r="BYC7" s="9"/>
      <c r="BYD7" s="9"/>
      <c r="CAQ7" s="8"/>
      <c r="CAR7" s="9"/>
      <c r="CAS7" s="9"/>
      <c r="CAT7" s="9"/>
      <c r="CAU7" s="9"/>
      <c r="CDH7" s="8"/>
      <c r="CDI7" s="9"/>
      <c r="CDJ7" s="9"/>
      <c r="CDK7" s="9"/>
      <c r="CDL7" s="9"/>
      <c r="CFY7" s="8"/>
      <c r="CFZ7" s="9"/>
      <c r="CGA7" s="9"/>
      <c r="CGB7" s="9"/>
      <c r="CGC7" s="9"/>
      <c r="CIP7" s="8"/>
      <c r="CIQ7" s="9"/>
      <c r="CIR7" s="9"/>
      <c r="CIS7" s="9"/>
      <c r="CIT7" s="9"/>
      <c r="CLG7" s="8"/>
      <c r="CLH7" s="9"/>
      <c r="CLI7" s="9"/>
      <c r="CLJ7" s="9"/>
      <c r="CLK7" s="9"/>
      <c r="CNX7" s="8"/>
      <c r="CNY7" s="9"/>
      <c r="CNZ7" s="9"/>
      <c r="COA7" s="9"/>
      <c r="COB7" s="9"/>
      <c r="CQO7" s="8"/>
      <c r="CQP7" s="9"/>
      <c r="CQQ7" s="9"/>
      <c r="CQR7" s="9"/>
      <c r="CQS7" s="9"/>
      <c r="CTF7" s="8"/>
      <c r="CTG7" s="9"/>
      <c r="CTH7" s="9"/>
      <c r="CTI7" s="9"/>
      <c r="CTJ7" s="9"/>
      <c r="CVW7" s="8"/>
      <c r="CVX7" s="9"/>
      <c r="CVY7" s="9"/>
      <c r="CVZ7" s="9"/>
      <c r="CWA7" s="9"/>
      <c r="CYN7" s="8"/>
      <c r="CYO7" s="9"/>
      <c r="CYP7" s="9"/>
      <c r="CYQ7" s="9"/>
      <c r="CYR7" s="9"/>
      <c r="DBE7" s="8"/>
      <c r="DBF7" s="9"/>
      <c r="DBG7" s="9"/>
      <c r="DBH7" s="9"/>
      <c r="DBI7" s="9"/>
      <c r="DDV7" s="8"/>
      <c r="DDW7" s="9"/>
      <c r="DDX7" s="9"/>
      <c r="DDY7" s="9"/>
      <c r="DDZ7" s="9"/>
      <c r="DGM7" s="8"/>
      <c r="DGN7" s="9"/>
      <c r="DGO7" s="9"/>
      <c r="DGP7" s="9"/>
      <c r="DGQ7" s="9"/>
      <c r="DJD7" s="8"/>
      <c r="DJE7" s="9"/>
      <c r="DJF7" s="9"/>
      <c r="DJG7" s="9"/>
      <c r="DJH7" s="9"/>
      <c r="DLU7" s="8"/>
      <c r="DLV7" s="9"/>
      <c r="DLW7" s="9"/>
      <c r="DLX7" s="9"/>
      <c r="DLY7" s="9"/>
      <c r="DOL7" s="8"/>
      <c r="DOM7" s="9"/>
      <c r="DON7" s="9"/>
      <c r="DOO7" s="9"/>
      <c r="DOP7" s="9"/>
      <c r="DRC7" s="8"/>
      <c r="DRD7" s="9"/>
      <c r="DRE7" s="9"/>
      <c r="DRF7" s="9"/>
      <c r="DRG7" s="9"/>
      <c r="DTT7" s="8"/>
      <c r="DTU7" s="9"/>
      <c r="DTV7" s="9"/>
      <c r="DTW7" s="9"/>
      <c r="DTX7" s="9"/>
      <c r="DWK7" s="8"/>
      <c r="DWL7" s="9"/>
      <c r="DWM7" s="9"/>
      <c r="DWN7" s="9"/>
      <c r="DWO7" s="9"/>
      <c r="DZB7" s="8"/>
      <c r="DZC7" s="9"/>
      <c r="DZD7" s="9"/>
      <c r="DZE7" s="9"/>
      <c r="DZF7" s="9"/>
      <c r="EBS7" s="8"/>
      <c r="EBT7" s="9"/>
      <c r="EBU7" s="9"/>
      <c r="EBV7" s="9"/>
      <c r="EBW7" s="9"/>
      <c r="EEJ7" s="8"/>
      <c r="EEK7" s="9"/>
      <c r="EEL7" s="9"/>
      <c r="EEM7" s="9"/>
      <c r="EEN7" s="9"/>
      <c r="EHA7" s="8"/>
      <c r="EHB7" s="9"/>
      <c r="EHC7" s="9"/>
      <c r="EHD7" s="9"/>
      <c r="EHE7" s="9"/>
      <c r="EJR7" s="8"/>
      <c r="EJS7" s="9"/>
      <c r="EJT7" s="9"/>
      <c r="EJU7" s="9"/>
      <c r="EJV7" s="9"/>
      <c r="EMI7" s="8"/>
      <c r="EMJ7" s="9"/>
      <c r="EMK7" s="9"/>
      <c r="EML7" s="9"/>
      <c r="EMM7" s="9"/>
      <c r="EOZ7" s="8"/>
      <c r="EPA7" s="9"/>
      <c r="EPB7" s="9"/>
      <c r="EPC7" s="9"/>
      <c r="EPD7" s="9"/>
      <c r="ERQ7" s="8"/>
      <c r="ERR7" s="9"/>
      <c r="ERS7" s="9"/>
      <c r="ERT7" s="9"/>
      <c r="ERU7" s="9"/>
      <c r="EUH7" s="8"/>
      <c r="EUI7" s="9"/>
      <c r="EUJ7" s="9"/>
      <c r="EUK7" s="9"/>
      <c r="EUL7" s="9"/>
      <c r="EWY7" s="8"/>
      <c r="EWZ7" s="9"/>
      <c r="EXA7" s="9"/>
      <c r="EXB7" s="9"/>
      <c r="EXC7" s="9"/>
      <c r="EZP7" s="8"/>
      <c r="EZQ7" s="9"/>
      <c r="EZR7" s="9"/>
      <c r="EZS7" s="9"/>
      <c r="EZT7" s="9"/>
      <c r="FCG7" s="8"/>
      <c r="FCH7" s="9"/>
      <c r="FCI7" s="9"/>
      <c r="FCJ7" s="9"/>
      <c r="FCK7" s="9"/>
      <c r="FEX7" s="8"/>
      <c r="FEY7" s="9"/>
      <c r="FEZ7" s="9"/>
      <c r="FFA7" s="9"/>
      <c r="FFB7" s="9"/>
      <c r="FHO7" s="8"/>
      <c r="FHP7" s="9"/>
      <c r="FHQ7" s="9"/>
      <c r="FHR7" s="9"/>
      <c r="FHS7" s="9"/>
      <c r="FKF7" s="8"/>
      <c r="FKG7" s="9"/>
      <c r="FKH7" s="9"/>
      <c r="FKI7" s="9"/>
      <c r="FKJ7" s="9"/>
      <c r="FMW7" s="8"/>
      <c r="FMX7" s="9"/>
      <c r="FMY7" s="9"/>
      <c r="FMZ7" s="9"/>
      <c r="FNA7" s="9"/>
      <c r="FPN7" s="8"/>
      <c r="FPO7" s="9"/>
      <c r="FPP7" s="9"/>
      <c r="FPQ7" s="9"/>
      <c r="FPR7" s="9"/>
      <c r="FSE7" s="8"/>
      <c r="FSF7" s="9"/>
      <c r="FSG7" s="9"/>
      <c r="FSH7" s="9"/>
      <c r="FSI7" s="9"/>
      <c r="FUV7" s="8"/>
      <c r="FUW7" s="9"/>
      <c r="FUX7" s="9"/>
      <c r="FUY7" s="9"/>
      <c r="FUZ7" s="9"/>
      <c r="FXM7" s="8"/>
      <c r="FXN7" s="9"/>
      <c r="FXO7" s="9"/>
      <c r="FXP7" s="9"/>
      <c r="FXQ7" s="9"/>
      <c r="GAD7" s="8"/>
      <c r="GAE7" s="9"/>
      <c r="GAF7" s="9"/>
      <c r="GAG7" s="9"/>
      <c r="GAH7" s="9"/>
      <c r="GCU7" s="8"/>
      <c r="GCV7" s="9"/>
      <c r="GCW7" s="9"/>
      <c r="GCX7" s="9"/>
      <c r="GCY7" s="9"/>
      <c r="GFL7" s="8"/>
      <c r="GFM7" s="9"/>
      <c r="GFN7" s="9"/>
      <c r="GFO7" s="9"/>
      <c r="GFP7" s="9"/>
      <c r="GIC7" s="8"/>
      <c r="GID7" s="9"/>
      <c r="GIE7" s="9"/>
      <c r="GIF7" s="9"/>
      <c r="GIG7" s="9"/>
      <c r="GKT7" s="8"/>
      <c r="GKU7" s="9"/>
      <c r="GKV7" s="9"/>
      <c r="GKW7" s="9"/>
      <c r="GKX7" s="9"/>
      <c r="GNK7" s="8"/>
      <c r="GNL7" s="9"/>
      <c r="GNM7" s="9"/>
      <c r="GNN7" s="9"/>
      <c r="GNO7" s="9"/>
      <c r="GQB7" s="8"/>
      <c r="GQC7" s="9"/>
      <c r="GQD7" s="9"/>
      <c r="GQE7" s="9"/>
      <c r="GQF7" s="9"/>
      <c r="GSS7" s="8"/>
      <c r="GST7" s="9"/>
      <c r="GSU7" s="9"/>
      <c r="GSV7" s="9"/>
      <c r="GSW7" s="9"/>
      <c r="GVJ7" s="8"/>
      <c r="GVK7" s="9"/>
      <c r="GVL7" s="9"/>
      <c r="GVM7" s="9"/>
      <c r="GVN7" s="9"/>
      <c r="GYA7" s="8"/>
      <c r="GYB7" s="9"/>
      <c r="GYC7" s="9"/>
      <c r="GYD7" s="9"/>
      <c r="GYE7" s="9"/>
      <c r="HAR7" s="8"/>
      <c r="HAS7" s="9"/>
      <c r="HAT7" s="9"/>
      <c r="HAU7" s="9"/>
      <c r="HAV7" s="9"/>
      <c r="HDI7" s="8"/>
      <c r="HDJ7" s="9"/>
      <c r="HDK7" s="9"/>
      <c r="HDL7" s="9"/>
      <c r="HDM7" s="9"/>
      <c r="HFZ7" s="8"/>
      <c r="HGA7" s="9"/>
      <c r="HGB7" s="9"/>
      <c r="HGC7" s="9"/>
      <c r="HGD7" s="9"/>
      <c r="HIQ7" s="8"/>
      <c r="HIR7" s="9"/>
      <c r="HIS7" s="9"/>
      <c r="HIT7" s="9"/>
      <c r="HIU7" s="9"/>
      <c r="HLH7" s="8"/>
      <c r="HLI7" s="9"/>
      <c r="HLJ7" s="9"/>
      <c r="HLK7" s="9"/>
      <c r="HLL7" s="9"/>
      <c r="HNY7" s="8"/>
      <c r="HNZ7" s="9"/>
      <c r="HOA7" s="9"/>
      <c r="HOB7" s="9"/>
      <c r="HOC7" s="9"/>
      <c r="HQP7" s="8"/>
      <c r="HQQ7" s="9"/>
      <c r="HQR7" s="9"/>
      <c r="HQS7" s="9"/>
      <c r="HQT7" s="9"/>
      <c r="HTG7" s="8"/>
      <c r="HTH7" s="9"/>
      <c r="HTI7" s="9"/>
      <c r="HTJ7" s="9"/>
      <c r="HTK7" s="9"/>
      <c r="HVX7" s="8"/>
      <c r="HVY7" s="9"/>
      <c r="HVZ7" s="9"/>
      <c r="HWA7" s="9"/>
      <c r="HWB7" s="9"/>
      <c r="HYO7" s="8"/>
      <c r="HYP7" s="9"/>
      <c r="HYQ7" s="9"/>
      <c r="HYR7" s="9"/>
      <c r="HYS7" s="9"/>
      <c r="IBF7" s="8"/>
      <c r="IBG7" s="9"/>
      <c r="IBH7" s="9"/>
      <c r="IBI7" s="9"/>
      <c r="IBJ7" s="9"/>
      <c r="IDW7" s="8"/>
      <c r="IDX7" s="9"/>
      <c r="IDY7" s="9"/>
      <c r="IDZ7" s="9"/>
      <c r="IEA7" s="9"/>
      <c r="IGN7" s="8"/>
      <c r="IGO7" s="9"/>
      <c r="IGP7" s="9"/>
      <c r="IGQ7" s="9"/>
      <c r="IGR7" s="9"/>
      <c r="IJE7" s="8"/>
      <c r="IJF7" s="9"/>
      <c r="IJG7" s="9"/>
      <c r="IJH7" s="9"/>
      <c r="IJI7" s="9"/>
      <c r="ILV7" s="8"/>
      <c r="ILW7" s="9"/>
      <c r="ILX7" s="9"/>
      <c r="ILY7" s="9"/>
      <c r="ILZ7" s="9"/>
      <c r="IOM7" s="8"/>
      <c r="ION7" s="9"/>
      <c r="IOO7" s="9"/>
      <c r="IOP7" s="9"/>
      <c r="IOQ7" s="9"/>
      <c r="IRD7" s="8"/>
      <c r="IRE7" s="9"/>
      <c r="IRF7" s="9"/>
      <c r="IRG7" s="9"/>
      <c r="IRH7" s="9"/>
      <c r="ITU7" s="8"/>
      <c r="ITV7" s="9"/>
      <c r="ITW7" s="9"/>
      <c r="ITX7" s="9"/>
      <c r="ITY7" s="9"/>
      <c r="IWL7" s="8"/>
      <c r="IWM7" s="9"/>
      <c r="IWN7" s="9"/>
      <c r="IWO7" s="9"/>
      <c r="IWP7" s="9"/>
      <c r="IZC7" s="8"/>
      <c r="IZD7" s="9"/>
      <c r="IZE7" s="9"/>
      <c r="IZF7" s="9"/>
      <c r="IZG7" s="9"/>
      <c r="JBT7" s="8"/>
      <c r="JBU7" s="9"/>
      <c r="JBV7" s="9"/>
      <c r="JBW7" s="9"/>
      <c r="JBX7" s="9"/>
      <c r="JEK7" s="8"/>
      <c r="JEL7" s="9"/>
      <c r="JEM7" s="9"/>
      <c r="JEN7" s="9"/>
      <c r="JEO7" s="9"/>
      <c r="JHB7" s="8"/>
      <c r="JHC7" s="9"/>
      <c r="JHD7" s="9"/>
      <c r="JHE7" s="9"/>
      <c r="JHF7" s="9"/>
      <c r="JJS7" s="8"/>
      <c r="JJT7" s="9"/>
      <c r="JJU7" s="9"/>
      <c r="JJV7" s="9"/>
      <c r="JJW7" s="9"/>
      <c r="JMJ7" s="8"/>
      <c r="JMK7" s="9"/>
      <c r="JML7" s="9"/>
      <c r="JMM7" s="9"/>
      <c r="JMN7" s="9"/>
      <c r="JPA7" s="8"/>
      <c r="JPB7" s="9"/>
      <c r="JPC7" s="9"/>
      <c r="JPD7" s="9"/>
      <c r="JPE7" s="9"/>
      <c r="JRR7" s="8"/>
      <c r="JRS7" s="9"/>
      <c r="JRT7" s="9"/>
      <c r="JRU7" s="9"/>
      <c r="JRV7" s="9"/>
      <c r="JUI7" s="8"/>
      <c r="JUJ7" s="9"/>
      <c r="JUK7" s="9"/>
      <c r="JUL7" s="9"/>
      <c r="JUM7" s="9"/>
      <c r="JWZ7" s="8"/>
      <c r="JXA7" s="9"/>
      <c r="JXB7" s="9"/>
      <c r="JXC7" s="9"/>
      <c r="JXD7" s="9"/>
      <c r="JZQ7" s="8"/>
      <c r="JZR7" s="9"/>
      <c r="JZS7" s="9"/>
      <c r="JZT7" s="9"/>
      <c r="JZU7" s="9"/>
      <c r="KCH7" s="8"/>
      <c r="KCI7" s="9"/>
      <c r="KCJ7" s="9"/>
      <c r="KCK7" s="9"/>
      <c r="KCL7" s="9"/>
      <c r="KEY7" s="8"/>
      <c r="KEZ7" s="9"/>
      <c r="KFA7" s="9"/>
      <c r="KFB7" s="9"/>
      <c r="KFC7" s="9"/>
      <c r="KHP7" s="8"/>
      <c r="KHQ7" s="9"/>
      <c r="KHR7" s="9"/>
      <c r="KHS7" s="9"/>
      <c r="KHT7" s="9"/>
      <c r="KKG7" s="8"/>
      <c r="KKH7" s="9"/>
      <c r="KKI7" s="9"/>
      <c r="KKJ7" s="9"/>
      <c r="KKK7" s="9"/>
      <c r="KMX7" s="8"/>
      <c r="KMY7" s="9"/>
      <c r="KMZ7" s="9"/>
      <c r="KNA7" s="9"/>
      <c r="KNB7" s="9"/>
      <c r="KPO7" s="8"/>
      <c r="KPP7" s="9"/>
      <c r="KPQ7" s="9"/>
      <c r="KPR7" s="9"/>
      <c r="KPS7" s="9"/>
      <c r="KSF7" s="8"/>
      <c r="KSG7" s="9"/>
      <c r="KSH7" s="9"/>
      <c r="KSI7" s="9"/>
      <c r="KSJ7" s="9"/>
      <c r="KUW7" s="8"/>
      <c r="KUX7" s="9"/>
      <c r="KUY7" s="9"/>
      <c r="KUZ7" s="9"/>
      <c r="KVA7" s="9"/>
      <c r="KXN7" s="8"/>
      <c r="KXO7" s="9"/>
      <c r="KXP7" s="9"/>
      <c r="KXQ7" s="9"/>
      <c r="KXR7" s="9"/>
      <c r="LAE7" s="8"/>
      <c r="LAF7" s="9"/>
      <c r="LAG7" s="9"/>
      <c r="LAH7" s="9"/>
      <c r="LAI7" s="9"/>
      <c r="LCV7" s="8"/>
      <c r="LCW7" s="9"/>
      <c r="LCX7" s="9"/>
      <c r="LCY7" s="9"/>
      <c r="LCZ7" s="9"/>
      <c r="LFM7" s="8"/>
      <c r="LFN7" s="9"/>
      <c r="LFO7" s="9"/>
      <c r="LFP7" s="9"/>
      <c r="LFQ7" s="9"/>
      <c r="LID7" s="8"/>
      <c r="LIE7" s="9"/>
      <c r="LIF7" s="9"/>
      <c r="LIG7" s="9"/>
      <c r="LIH7" s="9"/>
      <c r="LKU7" s="8"/>
      <c r="LKV7" s="9"/>
      <c r="LKW7" s="9"/>
      <c r="LKX7" s="9"/>
      <c r="LKY7" s="9"/>
      <c r="LNL7" s="8"/>
      <c r="LNM7" s="9"/>
      <c r="LNN7" s="9"/>
      <c r="LNO7" s="9"/>
      <c r="LNP7" s="9"/>
      <c r="LQC7" s="8"/>
      <c r="LQD7" s="9"/>
      <c r="LQE7" s="9"/>
      <c r="LQF7" s="9"/>
      <c r="LQG7" s="9"/>
      <c r="LST7" s="8"/>
      <c r="LSU7" s="9"/>
      <c r="LSV7" s="9"/>
      <c r="LSW7" s="9"/>
      <c r="LSX7" s="9"/>
      <c r="LVK7" s="8"/>
      <c r="LVL7" s="9"/>
      <c r="LVM7" s="9"/>
      <c r="LVN7" s="9"/>
      <c r="LVO7" s="9"/>
      <c r="LYB7" s="8"/>
      <c r="LYC7" s="9"/>
      <c r="LYD7" s="9"/>
      <c r="LYE7" s="9"/>
      <c r="LYF7" s="9"/>
      <c r="MAS7" s="8"/>
      <c r="MAT7" s="9"/>
      <c r="MAU7" s="9"/>
      <c r="MAV7" s="9"/>
      <c r="MAW7" s="9"/>
      <c r="MDJ7" s="8"/>
      <c r="MDK7" s="9"/>
      <c r="MDL7" s="9"/>
      <c r="MDM7" s="9"/>
      <c r="MDN7" s="9"/>
      <c r="MGA7" s="8"/>
      <c r="MGB7" s="9"/>
      <c r="MGC7" s="9"/>
      <c r="MGD7" s="9"/>
      <c r="MGE7" s="9"/>
      <c r="MIR7" s="8"/>
      <c r="MIS7" s="9"/>
      <c r="MIT7" s="9"/>
      <c r="MIU7" s="9"/>
      <c r="MIV7" s="9"/>
      <c r="MLI7" s="8"/>
      <c r="MLJ7" s="9"/>
      <c r="MLK7" s="9"/>
      <c r="MLL7" s="9"/>
      <c r="MLM7" s="9"/>
      <c r="MNZ7" s="8"/>
      <c r="MOA7" s="9"/>
      <c r="MOB7" s="9"/>
      <c r="MOC7" s="9"/>
      <c r="MOD7" s="9"/>
      <c r="MQQ7" s="8"/>
      <c r="MQR7" s="9"/>
      <c r="MQS7" s="9"/>
      <c r="MQT7" s="9"/>
      <c r="MQU7" s="9"/>
      <c r="MTH7" s="8"/>
      <c r="MTI7" s="9"/>
      <c r="MTJ7" s="9"/>
      <c r="MTK7" s="9"/>
      <c r="MTL7" s="9"/>
      <c r="MVY7" s="8"/>
      <c r="MVZ7" s="9"/>
      <c r="MWA7" s="9"/>
      <c r="MWB7" s="9"/>
      <c r="MWC7" s="9"/>
      <c r="MYP7" s="8"/>
      <c r="MYQ7" s="9"/>
      <c r="MYR7" s="9"/>
      <c r="MYS7" s="9"/>
      <c r="MYT7" s="9"/>
      <c r="NBG7" s="8"/>
      <c r="NBH7" s="9"/>
      <c r="NBI7" s="9"/>
      <c r="NBJ7" s="9"/>
      <c r="NBK7" s="9"/>
      <c r="NDX7" s="8"/>
      <c r="NDY7" s="9"/>
      <c r="NDZ7" s="9"/>
      <c r="NEA7" s="9"/>
      <c r="NEB7" s="9"/>
      <c r="NGO7" s="8"/>
      <c r="NGP7" s="9"/>
      <c r="NGQ7" s="9"/>
      <c r="NGR7" s="9"/>
      <c r="NGS7" s="9"/>
      <c r="NJF7" s="8"/>
      <c r="NJG7" s="9"/>
      <c r="NJH7" s="9"/>
      <c r="NJI7" s="9"/>
      <c r="NJJ7" s="9"/>
      <c r="NLW7" s="8"/>
      <c r="NLX7" s="9"/>
      <c r="NLY7" s="9"/>
      <c r="NLZ7" s="9"/>
      <c r="NMA7" s="9"/>
      <c r="NON7" s="8"/>
      <c r="NOO7" s="9"/>
      <c r="NOP7" s="9"/>
      <c r="NOQ7" s="9"/>
      <c r="NOR7" s="9"/>
      <c r="NRE7" s="8"/>
      <c r="NRF7" s="9"/>
      <c r="NRG7" s="9"/>
      <c r="NRH7" s="9"/>
      <c r="NRI7" s="9"/>
      <c r="NTV7" s="8"/>
      <c r="NTW7" s="9"/>
      <c r="NTX7" s="9"/>
      <c r="NTY7" s="9"/>
      <c r="NTZ7" s="9"/>
      <c r="NWM7" s="8"/>
      <c r="NWN7" s="9"/>
      <c r="NWO7" s="9"/>
      <c r="NWP7" s="9"/>
      <c r="NWQ7" s="9"/>
      <c r="NZD7" s="8"/>
      <c r="NZE7" s="9"/>
      <c r="NZF7" s="9"/>
      <c r="NZG7" s="9"/>
      <c r="NZH7" s="9"/>
      <c r="OBU7" s="8"/>
      <c r="OBV7" s="9"/>
      <c r="OBW7" s="9"/>
      <c r="OBX7" s="9"/>
      <c r="OBY7" s="9"/>
      <c r="OEL7" s="8"/>
      <c r="OEM7" s="9"/>
      <c r="OEN7" s="9"/>
      <c r="OEO7" s="9"/>
      <c r="OEP7" s="9"/>
      <c r="OHC7" s="8"/>
      <c r="OHD7" s="9"/>
      <c r="OHE7" s="9"/>
      <c r="OHF7" s="9"/>
      <c r="OHG7" s="9"/>
      <c r="OJT7" s="8"/>
      <c r="OJU7" s="9"/>
      <c r="OJV7" s="9"/>
      <c r="OJW7" s="9"/>
      <c r="OJX7" s="9"/>
      <c r="OMK7" s="8"/>
      <c r="OML7" s="9"/>
      <c r="OMM7" s="9"/>
      <c r="OMN7" s="9"/>
      <c r="OMO7" s="9"/>
      <c r="OPB7" s="8"/>
      <c r="OPC7" s="9"/>
      <c r="OPD7" s="9"/>
      <c r="OPE7" s="9"/>
      <c r="OPF7" s="9"/>
      <c r="ORS7" s="8"/>
      <c r="ORT7" s="9"/>
      <c r="ORU7" s="9"/>
      <c r="ORV7" s="9"/>
      <c r="ORW7" s="9"/>
      <c r="OUJ7" s="8"/>
      <c r="OUK7" s="9"/>
      <c r="OUL7" s="9"/>
      <c r="OUM7" s="9"/>
      <c r="OUN7" s="9"/>
      <c r="OXA7" s="8"/>
      <c r="OXB7" s="9"/>
      <c r="OXC7" s="9"/>
      <c r="OXD7" s="9"/>
      <c r="OXE7" s="9"/>
      <c r="OZR7" s="8"/>
      <c r="OZS7" s="9"/>
      <c r="OZT7" s="9"/>
      <c r="OZU7" s="9"/>
      <c r="OZV7" s="9"/>
      <c r="PCI7" s="8"/>
      <c r="PCJ7" s="9"/>
      <c r="PCK7" s="9"/>
      <c r="PCL7" s="9"/>
      <c r="PCM7" s="9"/>
      <c r="PEZ7" s="8"/>
      <c r="PFA7" s="9"/>
      <c r="PFB7" s="9"/>
      <c r="PFC7" s="9"/>
      <c r="PFD7" s="9"/>
      <c r="PHQ7" s="8"/>
      <c r="PHR7" s="9"/>
      <c r="PHS7" s="9"/>
      <c r="PHT7" s="9"/>
      <c r="PHU7" s="9"/>
      <c r="PKH7" s="8"/>
      <c r="PKI7" s="9"/>
      <c r="PKJ7" s="9"/>
      <c r="PKK7" s="9"/>
      <c r="PKL7" s="9"/>
      <c r="PMY7" s="8"/>
      <c r="PMZ7" s="9"/>
      <c r="PNA7" s="9"/>
      <c r="PNB7" s="9"/>
      <c r="PNC7" s="9"/>
      <c r="PPP7" s="8"/>
      <c r="PPQ7" s="9"/>
      <c r="PPR7" s="9"/>
      <c r="PPS7" s="9"/>
      <c r="PPT7" s="9"/>
      <c r="PSG7" s="8"/>
      <c r="PSH7" s="9"/>
      <c r="PSI7" s="9"/>
      <c r="PSJ7" s="9"/>
      <c r="PSK7" s="9"/>
      <c r="PUX7" s="8"/>
      <c r="PUY7" s="9"/>
      <c r="PUZ7" s="9"/>
      <c r="PVA7" s="9"/>
      <c r="PVB7" s="9"/>
      <c r="PXO7" s="8"/>
      <c r="PXP7" s="9"/>
      <c r="PXQ7" s="9"/>
      <c r="PXR7" s="9"/>
      <c r="PXS7" s="9"/>
      <c r="QAF7" s="8"/>
      <c r="QAG7" s="9"/>
      <c r="QAH7" s="9"/>
      <c r="QAI7" s="9"/>
      <c r="QAJ7" s="9"/>
      <c r="QCW7" s="8"/>
      <c r="QCX7" s="9"/>
      <c r="QCY7" s="9"/>
      <c r="QCZ7" s="9"/>
      <c r="QDA7" s="9"/>
      <c r="QFN7" s="8"/>
      <c r="QFO7" s="9"/>
      <c r="QFP7" s="9"/>
      <c r="QFQ7" s="9"/>
      <c r="QFR7" s="9"/>
      <c r="QIE7" s="8"/>
      <c r="QIF7" s="9"/>
      <c r="QIG7" s="9"/>
      <c r="QIH7" s="9"/>
      <c r="QII7" s="9"/>
      <c r="QKV7" s="8"/>
      <c r="QKW7" s="9"/>
      <c r="QKX7" s="9"/>
      <c r="QKY7" s="9"/>
      <c r="QKZ7" s="9"/>
      <c r="QNM7" s="8"/>
      <c r="QNN7" s="9"/>
      <c r="QNO7" s="9"/>
      <c r="QNP7" s="9"/>
      <c r="QNQ7" s="9"/>
      <c r="QQD7" s="8"/>
      <c r="QQE7" s="9"/>
      <c r="QQF7" s="9"/>
      <c r="QQG7" s="9"/>
      <c r="QQH7" s="9"/>
      <c r="QSU7" s="8"/>
      <c r="QSV7" s="9"/>
      <c r="QSW7" s="9"/>
      <c r="QSX7" s="9"/>
      <c r="QSY7" s="9"/>
      <c r="QVL7" s="8"/>
      <c r="QVM7" s="9"/>
      <c r="QVN7" s="9"/>
      <c r="QVO7" s="9"/>
      <c r="QVP7" s="9"/>
      <c r="QYC7" s="8"/>
      <c r="QYD7" s="9"/>
      <c r="QYE7" s="9"/>
      <c r="QYF7" s="9"/>
      <c r="QYG7" s="9"/>
      <c r="RAT7" s="8"/>
      <c r="RAU7" s="9"/>
      <c r="RAV7" s="9"/>
      <c r="RAW7" s="9"/>
      <c r="RAX7" s="9"/>
      <c r="RDK7" s="8"/>
      <c r="RDL7" s="9"/>
      <c r="RDM7" s="9"/>
      <c r="RDN7" s="9"/>
      <c r="RDO7" s="9"/>
      <c r="RGB7" s="8"/>
      <c r="RGC7" s="9"/>
      <c r="RGD7" s="9"/>
      <c r="RGE7" s="9"/>
      <c r="RGF7" s="9"/>
      <c r="RIS7" s="8"/>
      <c r="RIT7" s="9"/>
      <c r="RIU7" s="9"/>
      <c r="RIV7" s="9"/>
      <c r="RIW7" s="9"/>
      <c r="RLJ7" s="8"/>
      <c r="RLK7" s="9"/>
      <c r="RLL7" s="9"/>
      <c r="RLM7" s="9"/>
      <c r="RLN7" s="9"/>
      <c r="ROA7" s="8"/>
      <c r="ROB7" s="9"/>
      <c r="ROC7" s="9"/>
      <c r="ROD7" s="9"/>
      <c r="ROE7" s="9"/>
      <c r="RQR7" s="8"/>
      <c r="RQS7" s="9"/>
      <c r="RQT7" s="9"/>
      <c r="RQU7" s="9"/>
      <c r="RQV7" s="9"/>
      <c r="RTI7" s="8"/>
      <c r="RTJ7" s="9"/>
      <c r="RTK7" s="9"/>
      <c r="RTL7" s="9"/>
      <c r="RTM7" s="9"/>
      <c r="RVZ7" s="8"/>
      <c r="RWA7" s="9"/>
      <c r="RWB7" s="9"/>
      <c r="RWC7" s="9"/>
      <c r="RWD7" s="9"/>
      <c r="RYQ7" s="8"/>
      <c r="RYR7" s="9"/>
      <c r="RYS7" s="9"/>
      <c r="RYT7" s="9"/>
      <c r="RYU7" s="9"/>
      <c r="SBH7" s="8"/>
      <c r="SBI7" s="9"/>
      <c r="SBJ7" s="9"/>
      <c r="SBK7" s="9"/>
      <c r="SBL7" s="9"/>
      <c r="SDY7" s="8"/>
      <c r="SDZ7" s="9"/>
      <c r="SEA7" s="9"/>
      <c r="SEB7" s="9"/>
      <c r="SEC7" s="9"/>
      <c r="SGP7" s="8"/>
      <c r="SGQ7" s="9"/>
      <c r="SGR7" s="9"/>
      <c r="SGS7" s="9"/>
      <c r="SGT7" s="9"/>
      <c r="SJG7" s="8"/>
      <c r="SJH7" s="9"/>
      <c r="SJI7" s="9"/>
      <c r="SJJ7" s="9"/>
      <c r="SJK7" s="9"/>
      <c r="SLX7" s="8"/>
      <c r="SLY7" s="9"/>
      <c r="SLZ7" s="9"/>
      <c r="SMA7" s="9"/>
      <c r="SMB7" s="9"/>
      <c r="SOO7" s="8"/>
      <c r="SOP7" s="9"/>
      <c r="SOQ7" s="9"/>
      <c r="SOR7" s="9"/>
      <c r="SOS7" s="9"/>
      <c r="SRF7" s="8"/>
      <c r="SRG7" s="9"/>
      <c r="SRH7" s="9"/>
      <c r="SRI7" s="9"/>
      <c r="SRJ7" s="9"/>
      <c r="STW7" s="8"/>
      <c r="STX7" s="9"/>
      <c r="STY7" s="9"/>
      <c r="STZ7" s="9"/>
      <c r="SUA7" s="9"/>
      <c r="SWN7" s="8"/>
      <c r="SWO7" s="9"/>
      <c r="SWP7" s="9"/>
      <c r="SWQ7" s="9"/>
      <c r="SWR7" s="9"/>
      <c r="SZE7" s="8"/>
      <c r="SZF7" s="9"/>
      <c r="SZG7" s="9"/>
      <c r="SZH7" s="9"/>
      <c r="SZI7" s="9"/>
      <c r="TBV7" s="8"/>
      <c r="TBW7" s="9"/>
      <c r="TBX7" s="9"/>
      <c r="TBY7" s="9"/>
      <c r="TBZ7" s="9"/>
      <c r="TEM7" s="8"/>
      <c r="TEN7" s="9"/>
      <c r="TEO7" s="9"/>
      <c r="TEP7" s="9"/>
      <c r="TEQ7" s="9"/>
      <c r="THD7" s="8"/>
      <c r="THE7" s="9"/>
      <c r="THF7" s="9"/>
      <c r="THG7" s="9"/>
      <c r="THH7" s="9"/>
      <c r="TJU7" s="8"/>
      <c r="TJV7" s="9"/>
      <c r="TJW7" s="9"/>
      <c r="TJX7" s="9"/>
      <c r="TJY7" s="9"/>
      <c r="TML7" s="8"/>
      <c r="TMM7" s="9"/>
      <c r="TMN7" s="9"/>
      <c r="TMO7" s="9"/>
      <c r="TMP7" s="9"/>
      <c r="TPC7" s="8"/>
      <c r="TPD7" s="9"/>
      <c r="TPE7" s="9"/>
      <c r="TPF7" s="9"/>
      <c r="TPG7" s="9"/>
      <c r="TRT7" s="8"/>
      <c r="TRU7" s="9"/>
      <c r="TRV7" s="9"/>
      <c r="TRW7" s="9"/>
      <c r="TRX7" s="9"/>
      <c r="TUK7" s="8"/>
      <c r="TUL7" s="9"/>
      <c r="TUM7" s="9"/>
      <c r="TUN7" s="9"/>
      <c r="TUO7" s="9"/>
      <c r="TXB7" s="8"/>
      <c r="TXC7" s="9"/>
      <c r="TXD7" s="9"/>
      <c r="TXE7" s="9"/>
      <c r="TXF7" s="9"/>
      <c r="TZS7" s="8"/>
      <c r="TZT7" s="9"/>
      <c r="TZU7" s="9"/>
      <c r="TZV7" s="9"/>
      <c r="TZW7" s="9"/>
      <c r="UCJ7" s="8"/>
      <c r="UCK7" s="9"/>
      <c r="UCL7" s="9"/>
      <c r="UCM7" s="9"/>
      <c r="UCN7" s="9"/>
      <c r="UFA7" s="8"/>
      <c r="UFB7" s="9"/>
      <c r="UFC7" s="9"/>
      <c r="UFD7" s="9"/>
      <c r="UFE7" s="9"/>
      <c r="UHR7" s="8"/>
      <c r="UHS7" s="9"/>
      <c r="UHT7" s="9"/>
      <c r="UHU7" s="9"/>
      <c r="UHV7" s="9"/>
      <c r="UKI7" s="8"/>
      <c r="UKJ7" s="9"/>
      <c r="UKK7" s="9"/>
      <c r="UKL7" s="9"/>
      <c r="UKM7" s="9"/>
      <c r="UMZ7" s="8"/>
      <c r="UNA7" s="9"/>
      <c r="UNB7" s="9"/>
      <c r="UNC7" s="9"/>
      <c r="UND7" s="9"/>
      <c r="UPQ7" s="8"/>
      <c r="UPR7" s="9"/>
      <c r="UPS7" s="9"/>
      <c r="UPT7" s="9"/>
      <c r="UPU7" s="9"/>
      <c r="USH7" s="8"/>
      <c r="USI7" s="9"/>
      <c r="USJ7" s="9"/>
      <c r="USK7" s="9"/>
      <c r="USL7" s="9"/>
      <c r="UUY7" s="8"/>
      <c r="UUZ7" s="9"/>
      <c r="UVA7" s="9"/>
      <c r="UVB7" s="9"/>
      <c r="UVC7" s="9"/>
      <c r="UXP7" s="8"/>
      <c r="UXQ7" s="9"/>
      <c r="UXR7" s="9"/>
      <c r="UXS7" s="9"/>
      <c r="UXT7" s="9"/>
      <c r="VAG7" s="8"/>
      <c r="VAH7" s="9"/>
      <c r="VAI7" s="9"/>
      <c r="VAJ7" s="9"/>
      <c r="VAK7" s="9"/>
      <c r="VCX7" s="8"/>
      <c r="VCY7" s="9"/>
      <c r="VCZ7" s="9"/>
      <c r="VDA7" s="9"/>
      <c r="VDB7" s="9"/>
      <c r="VFO7" s="8"/>
      <c r="VFP7" s="9"/>
      <c r="VFQ7" s="9"/>
      <c r="VFR7" s="9"/>
      <c r="VFS7" s="9"/>
      <c r="VIF7" s="8"/>
      <c r="VIG7" s="9"/>
      <c r="VIH7" s="9"/>
      <c r="VII7" s="9"/>
      <c r="VIJ7" s="9"/>
      <c r="VKW7" s="8"/>
      <c r="VKX7" s="9"/>
      <c r="VKY7" s="9"/>
      <c r="VKZ7" s="9"/>
      <c r="VLA7" s="9"/>
      <c r="VNN7" s="8"/>
      <c r="VNO7" s="9"/>
      <c r="VNP7" s="9"/>
      <c r="VNQ7" s="9"/>
      <c r="VNR7" s="9"/>
      <c r="VQE7" s="8"/>
      <c r="VQF7" s="9"/>
      <c r="VQG7" s="9"/>
      <c r="VQH7" s="9"/>
      <c r="VQI7" s="9"/>
      <c r="VSV7" s="8"/>
      <c r="VSW7" s="9"/>
      <c r="VSX7" s="9"/>
      <c r="VSY7" s="9"/>
      <c r="VSZ7" s="9"/>
      <c r="VVM7" s="8"/>
      <c r="VVN7" s="9"/>
      <c r="VVO7" s="9"/>
      <c r="VVP7" s="9"/>
      <c r="VVQ7" s="9"/>
      <c r="VYD7" s="8"/>
      <c r="VYE7" s="9"/>
      <c r="VYF7" s="9"/>
      <c r="VYG7" s="9"/>
      <c r="VYH7" s="9"/>
      <c r="WAU7" s="8"/>
      <c r="WAV7" s="9"/>
      <c r="WAW7" s="9"/>
      <c r="WAX7" s="9"/>
      <c r="WAY7" s="9"/>
      <c r="WDL7" s="8"/>
      <c r="WDM7" s="9"/>
      <c r="WDN7" s="9"/>
      <c r="WDO7" s="9"/>
      <c r="WDP7" s="9"/>
      <c r="WGC7" s="8"/>
      <c r="WGD7" s="9"/>
      <c r="WGE7" s="9"/>
      <c r="WGF7" s="9"/>
      <c r="WGG7" s="9"/>
      <c r="WIT7" s="8"/>
      <c r="WIU7" s="9"/>
      <c r="WIV7" s="9"/>
      <c r="WIW7" s="9"/>
      <c r="WIX7" s="9"/>
      <c r="WLK7" s="8"/>
      <c r="WLL7" s="9"/>
      <c r="WLM7" s="9"/>
      <c r="WLN7" s="9"/>
      <c r="WLO7" s="9"/>
      <c r="WOB7" s="8"/>
      <c r="WOC7" s="9"/>
      <c r="WOD7" s="9"/>
      <c r="WOE7" s="9"/>
      <c r="WOF7" s="9"/>
      <c r="WQS7" s="8"/>
      <c r="WQT7" s="9"/>
      <c r="WQU7" s="9"/>
      <c r="WQV7" s="9"/>
      <c r="WQW7" s="9"/>
      <c r="WTJ7" s="8"/>
      <c r="WTK7" s="9"/>
      <c r="WTL7" s="9"/>
      <c r="WTM7" s="9"/>
      <c r="WTN7" s="9"/>
      <c r="WWA7" s="8"/>
      <c r="WWB7" s="9"/>
      <c r="WWC7" s="9"/>
      <c r="WWD7" s="9"/>
      <c r="WWE7" s="9"/>
      <c r="WYR7" s="8"/>
      <c r="WYS7" s="9"/>
      <c r="WYT7" s="9"/>
      <c r="WYU7" s="9"/>
      <c r="WYV7" s="9"/>
      <c r="XBI7" s="8"/>
      <c r="XBJ7" s="9"/>
      <c r="XBK7" s="9"/>
      <c r="XBL7" s="9"/>
      <c r="XBM7" s="9"/>
      <c r="XDZ7" s="8"/>
      <c r="XEA7" s="9"/>
      <c r="XEB7" s="9"/>
      <c r="XEC7" s="9"/>
      <c r="XED7" s="9"/>
    </row>
    <row r="8" spans="1:971 1036:2006 2071:3041 3106:4076 4141:5111 5176:7112 7177:8147 8212:9182 9247:10217 10282:11252 11317:12287 12352:13253 13318:14288 14353:15323 15388:16358" s="3" customFormat="1" ht="32.25" customHeight="1">
      <c r="A8" s="11" t="s">
        <v>29</v>
      </c>
      <c r="F8" s="14">
        <f>F10/F12</f>
        <v>1.1373576738965596</v>
      </c>
      <c r="G8" s="12"/>
      <c r="H8" s="12"/>
      <c r="I8" s="15">
        <f>719-I5</f>
        <v>409.4</v>
      </c>
      <c r="J8" s="15">
        <f>600-J5</f>
        <v>311.49244011976049</v>
      </c>
      <c r="K8" s="15">
        <f>759-K5</f>
        <v>641.91</v>
      </c>
      <c r="L8" s="15">
        <f>900-L5</f>
        <v>578.59999999999991</v>
      </c>
      <c r="M8" s="15">
        <f>760-M5</f>
        <v>458.48</v>
      </c>
      <c r="N8" s="16">
        <v>700</v>
      </c>
      <c r="O8" s="16">
        <v>750</v>
      </c>
      <c r="P8" s="16">
        <v>780</v>
      </c>
      <c r="Q8" s="16">
        <v>930</v>
      </c>
      <c r="R8" s="16">
        <v>1040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</row>
    <row r="9" spans="1:971 1036:2006 2071:3041 3106:4076 4141:5111 5176:7112 7177:8147 8212:9182 9247:10217 10282:11252 11317:12287 12352:13253 13318:14288 14353:15323 15388:16358" s="3" customFormat="1" ht="32.25" customHeight="1">
      <c r="A9" s="11" t="s">
        <v>30</v>
      </c>
      <c r="F9" s="12"/>
      <c r="G9" s="12"/>
      <c r="H9" s="12"/>
      <c r="I9" s="16">
        <v>65.5</v>
      </c>
      <c r="J9" s="16">
        <v>65.5</v>
      </c>
      <c r="K9" s="16">
        <v>65.5</v>
      </c>
      <c r="L9" s="16">
        <v>67.599999999999994</v>
      </c>
      <c r="M9" s="16">
        <v>67.599999999999994</v>
      </c>
      <c r="N9" s="16">
        <v>67</v>
      </c>
      <c r="O9" s="16">
        <v>67.5</v>
      </c>
      <c r="P9" s="16">
        <v>68.5</v>
      </c>
      <c r="Q9" s="16">
        <v>69.5</v>
      </c>
      <c r="R9" s="16">
        <v>69.5</v>
      </c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</row>
    <row r="10" spans="1:971 1036:2006 2071:3041 3106:4076 4141:5111 5176:7112 7177:8147 8212:9182 9247:10217 10282:11252 11317:12287 12352:13253 13318:14288 14353:15323 15388:16358" s="3" customFormat="1" ht="32.25" customHeight="1">
      <c r="A10" s="17" t="s">
        <v>32</v>
      </c>
      <c r="F10" s="12">
        <v>265886.41618999996</v>
      </c>
      <c r="G10" s="12">
        <v>296491.57402999996</v>
      </c>
      <c r="H10" s="12">
        <v>318795.86195999995</v>
      </c>
      <c r="I10" s="12">
        <f>H10+I7</f>
        <v>345611.56195999996</v>
      </c>
      <c r="J10" s="12">
        <f t="shared" ref="J10:R10" si="2">I10+J7</f>
        <v>366014.31678784429</v>
      </c>
      <c r="K10" s="12">
        <f t="shared" si="2"/>
        <v>408059.42178784427</v>
      </c>
      <c r="L10" s="12">
        <f t="shared" si="2"/>
        <v>447172.78178784426</v>
      </c>
      <c r="M10" s="12">
        <f t="shared" si="2"/>
        <v>478166.02978784428</v>
      </c>
      <c r="N10" s="12">
        <f t="shared" si="2"/>
        <v>525066.02978784428</v>
      </c>
      <c r="O10" s="12">
        <f t="shared" si="2"/>
        <v>575691.02978784428</v>
      </c>
      <c r="P10" s="12">
        <f t="shared" si="2"/>
        <v>629121.02978784428</v>
      </c>
      <c r="Q10" s="12">
        <f t="shared" si="2"/>
        <v>693756.02978784428</v>
      </c>
      <c r="R10" s="12">
        <f t="shared" si="2"/>
        <v>766036.02978784428</v>
      </c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</row>
    <row r="11" spans="1:971 1036:2006 2071:3041 3106:4076 4141:5111 5176:7112 7177:8147 8212:9182 9247:10217 10282:11252 11317:12287 12352:13253 13318:14288 14353:15323 15388:16358" s="3" customFormat="1" ht="32.25" customHeight="1">
      <c r="A11" s="18" t="s">
        <v>33</v>
      </c>
      <c r="B11" s="19"/>
      <c r="C11" s="19"/>
      <c r="D11" s="19"/>
      <c r="E11" s="19"/>
      <c r="F11" s="22">
        <v>36485.232130000004</v>
      </c>
      <c r="G11" s="22">
        <v>31537.208070000001</v>
      </c>
      <c r="H11" s="22">
        <v>27893.470519999999</v>
      </c>
      <c r="I11" s="22">
        <v>32000</v>
      </c>
      <c r="J11" s="22">
        <v>32000</v>
      </c>
      <c r="K11" s="22">
        <v>32000</v>
      </c>
      <c r="L11" s="22">
        <v>45000</v>
      </c>
      <c r="M11" s="22">
        <v>50000</v>
      </c>
      <c r="N11" s="22">
        <v>50000</v>
      </c>
      <c r="O11" s="22">
        <v>50000</v>
      </c>
      <c r="P11" s="22">
        <v>50000</v>
      </c>
      <c r="Q11" s="22">
        <v>61135.155516795814</v>
      </c>
      <c r="R11" s="22">
        <v>61135.155516795814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</row>
    <row r="12" spans="1:971 1036:2006 2071:3041 3106:4076 4141:5111 5176:7112 7177:8147 8212:9182 9247:10217 10282:11252 11317:12287 12352:13253 13318:14288 14353:15323 15388:16358" s="3" customFormat="1" ht="21.75" customHeight="1">
      <c r="A12" s="23" t="s">
        <v>34</v>
      </c>
      <c r="B12" s="24"/>
      <c r="C12" s="24"/>
      <c r="D12" s="24"/>
      <c r="E12" s="24"/>
      <c r="F12" s="25">
        <v>233775.5503764085</v>
      </c>
      <c r="G12" s="25">
        <v>265312.75844640849</v>
      </c>
      <c r="H12" s="25">
        <v>293206.22896640847</v>
      </c>
      <c r="I12" s="25">
        <f>H12+I11</f>
        <v>325206.22896640847</v>
      </c>
      <c r="J12" s="25">
        <f t="shared" ref="J12:R12" si="3">I12+J11</f>
        <v>357206.22896640847</v>
      </c>
      <c r="K12" s="25">
        <f t="shared" si="3"/>
        <v>389206.22896640847</v>
      </c>
      <c r="L12" s="25">
        <f t="shared" si="3"/>
        <v>434206.22896640847</v>
      </c>
      <c r="M12" s="25">
        <f t="shared" si="3"/>
        <v>484206.22896640847</v>
      </c>
      <c r="N12" s="25">
        <f t="shared" si="3"/>
        <v>534206.22896640841</v>
      </c>
      <c r="O12" s="25">
        <f t="shared" si="3"/>
        <v>584206.22896640841</v>
      </c>
      <c r="P12" s="25">
        <f t="shared" si="3"/>
        <v>634206.22896640841</v>
      </c>
      <c r="Q12" s="25">
        <f t="shared" si="3"/>
        <v>695341.38448320422</v>
      </c>
      <c r="R12" s="25">
        <f t="shared" si="3"/>
        <v>756476.54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</row>
    <row r="13" spans="1:971 1036:2006 2071:3041 3106:4076 4141:5111 5176:7112 7177:8147 8212:9182 9247:10217 10282:11252 11317:12287 12352:13253 13318:14288 14353:15323 15388:16358" s="3" customFormat="1" ht="32.25" customHeight="1">
      <c r="A13" s="26" t="s">
        <v>35</v>
      </c>
      <c r="B13" s="19"/>
      <c r="C13" s="19"/>
      <c r="D13" s="19"/>
      <c r="E13" s="19"/>
      <c r="F13" s="27" t="e">
        <f>IF(F10/F12&gt;1.5,#REF!,IF(F10/F12&gt;1.4,#REF!,IF(F10/F12&gt;1.3,#REF!,IF(F10/F12&gt;1.2,#REF!,IF(F10/F12&gt;1.1,#REF!,IF(F10/F12&gt;1,#REF!,IF(F10/F12&lt;1,17.73)))))))</f>
        <v>#REF!</v>
      </c>
      <c r="G13" s="27" t="e">
        <f>IF(G10/G12&gt;1.5,#REF!,IF(G10/G12&gt;1.4,#REF!,IF(G10/G12&gt;1.3,#REF!,IF(G10/G12&gt;1.2,#REF!,IF(G10/G12&gt;1.1,#REF!,IF(G10/G12&gt;1,#REF!,IF(G10/G12&lt;1,17.73)))))))</f>
        <v>#REF!</v>
      </c>
      <c r="H13" s="27" t="e">
        <f>IF(H10/H12&gt;1.5,#REF!,IF(H10/H12&gt;1.4,#REF!,IF(H10/H12&gt;1.3,#REF!,IF(H10/H12&gt;1.2,#REF!,IF(H10/H12&gt;1.1,#REF!,IF(H10/H12&gt;1,#REF!,IF(H10/H12&lt;1,17.73)))))))</f>
        <v>#REF!</v>
      </c>
      <c r="I13" s="27" t="e">
        <f>IF(I10/I12&gt;1.5,#REF!,IF(I10/I12&gt;1.4,#REF!,IF(I10/I12&gt;1.3,#REF!,IF(I10/I12&gt;1.2,#REF!,IF(I10/I12&gt;1.1,#REF!,IF(I10/I12&gt;1,#REF!,IF(I10/I12&lt;1,17.73)))))))</f>
        <v>#REF!</v>
      </c>
      <c r="J13" s="27" t="e">
        <f>IF(J10/J12&gt;1.5,#REF!,IF(J10/J12&gt;1.4,#REF!,IF(J10/J12&gt;1.3,#REF!,IF(J10/J12&gt;1.2,#REF!,IF(J10/J12&gt;1.1,#REF!,IF(J10/J12&gt;1,#REF!,IF(J10/J12&lt;1,17.73)))))))</f>
        <v>#REF!</v>
      </c>
      <c r="K13" s="27" t="e">
        <f>IF(K10/K12&gt;1.5,#REF!,IF(K10/K12&gt;1.4,#REF!,IF(K10/K12&gt;1.3,#REF!,IF(K10/K12&gt;1.2,#REF!,IF(K10/K12&gt;1.1,#REF!,IF(K10/K12&gt;1,#REF!,IF(K10/K12&lt;1,17.73)))))))</f>
        <v>#REF!</v>
      </c>
      <c r="L13" s="27" t="e">
        <f>IF(L10/L12&gt;1.5,#REF!,IF(L10/L12&gt;1.4,#REF!,IF(L10/L12&gt;1.3,#REF!,IF(L10/L12&gt;1.2,#REF!,IF(L10/L12&gt;1.1,#REF!,IF(L10/L12&gt;1,#REF!,IF(L10/L12&lt;1,17.73)))))))</f>
        <v>#REF!</v>
      </c>
      <c r="M13" s="27">
        <f>IF(M10/M12&gt;1.5,#REF!,IF(M10/M12&gt;1.4,#REF!,IF(M10/M12&gt;1.3,#REF!,IF(M10/M12&gt;1.2,#REF!,IF(M10/M12&gt;1.1,#REF!,IF(M10/M12&gt;1,#REF!,IF(M10/M12&lt;1,17.73)))))))</f>
        <v>17.73</v>
      </c>
      <c r="N13" s="27">
        <f>IF(N10/N12&gt;1.5,#REF!,IF(N10/N12&gt;1.4,#REF!,IF(N10/N12&gt;1.3,#REF!,IF(N10/N12&gt;1.2,#REF!,IF(N10/N12&gt;1.1,#REF!,IF(N10/N12&gt;1,#REF!,IF(N10/N12&lt;1,17.73)))))))</f>
        <v>17.73</v>
      </c>
      <c r="O13" s="27">
        <f>IF(O10/O12&gt;1.5,#REF!,IF(O10/O12&gt;1.4,#REF!,IF(O10/O12&gt;1.3,#REF!,IF(O10/O12&gt;1.2,#REF!,IF(O10/O12&gt;1.1,#REF!,IF(O10/O12&gt;1,#REF!,IF(O10/O12&lt;1,17.73)))))))</f>
        <v>17.73</v>
      </c>
      <c r="P13" s="27">
        <f>IF(P10/P12&gt;1.5,#REF!,IF(P10/P12&gt;1.4,#REF!,IF(P10/P12&gt;1.3,#REF!,IF(P10/P12&gt;1.2,#REF!,IF(P10/P12&gt;1.1,#REF!,IF(P10/P12&gt;1,#REF!,IF(P10/P12&lt;1,17.73)))))))</f>
        <v>17.73</v>
      </c>
      <c r="Q13" s="27">
        <f>IF(Q10/Q12&gt;1.5,#REF!,IF(Q10/Q12&gt;1.4,#REF!,IF(Q10/Q12&gt;1.3,#REF!,IF(Q10/Q12&gt;1.2,#REF!,IF(Q10/Q12&gt;1.1,#REF!,IF(Q10/Q12&gt;1,#REF!,IF(Q10/Q12&lt;1,17.73)))))))</f>
        <v>17.73</v>
      </c>
      <c r="R13" s="27" t="e">
        <f>IF(R10/R12&gt;1.5,#REF!,IF(R10/R12&gt;1.4,#REF!,IF(R10/R12&gt;1.3,#REF!,IF(R10/R12&gt;1.2,#REF!,IF(R10/R12&gt;1.1,#REF!,IF(R10/R12&gt;1,#REF!,IF(R10/R12&lt;1,17.73)))))))</f>
        <v>#REF!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</row>
    <row r="14" spans="1:971 1036:2006 2071:3041 3106:4076 4141:5111 5176:7112 7177:8147 8212:9182 9247:10217 10282:11252 11317:12287 12352:13253 13318:14288 14353:15323 15388:16358" ht="82.5" customHeight="1">
      <c r="A14" s="28" t="s">
        <v>36</v>
      </c>
      <c r="B14" s="29">
        <v>14439.4</v>
      </c>
      <c r="C14" s="30"/>
      <c r="F14" s="31" t="s">
        <v>37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</row>
    <row r="15" spans="1:971 1036:2006 2071:3041 3106:4076 4141:5111 5176:7112 7177:8147 8212:9182 9247:10217 10282:11252 11317:12287 12352:13253 13318:14288 14353:15323 15388:16358" ht="82.5" customHeight="1">
      <c r="A15" s="28" t="s">
        <v>38</v>
      </c>
      <c r="B15" s="30">
        <v>18331.740000000002</v>
      </c>
      <c r="C15" s="30">
        <v>27707.46</v>
      </c>
      <c r="D15" s="1">
        <v>9</v>
      </c>
      <c r="E15" s="1">
        <v>26</v>
      </c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1" t="s">
        <v>37</v>
      </c>
      <c r="U15" s="30"/>
      <c r="V15" s="29" t="s">
        <v>39</v>
      </c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</row>
    <row r="16" spans="1:971 1036:2006 2071:3041 3106:4076 4141:5111 5176:7112 7177:8147 8212:9182 9247:10217 10282:11252 11317:12287 12352:13253 13318:14288 14353:15323 15388:16358" ht="82.5" customHeight="1">
      <c r="A16" s="28" t="s">
        <v>40</v>
      </c>
      <c r="B16" s="30">
        <v>10065.540000000001</v>
      </c>
      <c r="C16" s="30">
        <v>13453.37</v>
      </c>
      <c r="D16" s="1">
        <v>9</v>
      </c>
      <c r="E16" s="1">
        <v>24</v>
      </c>
      <c r="F16" s="33" t="s">
        <v>41</v>
      </c>
      <c r="G16" s="32"/>
      <c r="H16" s="32"/>
      <c r="I16" s="32"/>
      <c r="J16" s="32"/>
      <c r="K16" s="32"/>
      <c r="L16" s="34">
        <v>18000</v>
      </c>
      <c r="M16" s="32"/>
      <c r="N16" s="32"/>
      <c r="O16" s="32"/>
      <c r="P16" s="32"/>
      <c r="Q16" s="32"/>
      <c r="R16" s="32"/>
      <c r="S16" s="32"/>
      <c r="T16" s="32"/>
      <c r="U16" s="31" t="s">
        <v>37</v>
      </c>
      <c r="V16" s="29" t="s">
        <v>42</v>
      </c>
      <c r="W16" s="29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</row>
    <row r="17" spans="1:101" ht="82.5" customHeight="1">
      <c r="A17" s="35" t="s">
        <v>43</v>
      </c>
      <c r="B17" s="30">
        <v>10000</v>
      </c>
      <c r="C17" s="30">
        <v>13365.770738579351</v>
      </c>
      <c r="D17" s="1">
        <v>9</v>
      </c>
      <c r="E17" s="1">
        <v>18</v>
      </c>
      <c r="F17" s="36" t="s">
        <v>44</v>
      </c>
      <c r="G17" s="30"/>
      <c r="H17" s="30"/>
      <c r="I17" s="30"/>
      <c r="J17" s="30">
        <v>19000</v>
      </c>
      <c r="K17" s="37" t="s">
        <v>45</v>
      </c>
      <c r="L17" s="38" t="s">
        <v>46</v>
      </c>
      <c r="M17" s="32"/>
      <c r="N17" s="32"/>
      <c r="O17" s="33" t="s">
        <v>41</v>
      </c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1" t="s">
        <v>37</v>
      </c>
      <c r="AD17" s="29" t="s">
        <v>47</v>
      </c>
      <c r="AE17" s="29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</row>
    <row r="18" spans="1:101" ht="82.5" customHeight="1">
      <c r="A18" s="35" t="s">
        <v>48</v>
      </c>
      <c r="B18" s="30">
        <v>25000</v>
      </c>
      <c r="C18" s="30">
        <f t="shared" ref="C18:C20" si="4">B18*1.33</f>
        <v>33250</v>
      </c>
      <c r="D18" s="1">
        <v>9</v>
      </c>
      <c r="E18" s="1">
        <v>18</v>
      </c>
      <c r="F18" s="29"/>
      <c r="G18" s="30"/>
      <c r="H18" s="30"/>
      <c r="I18" s="30"/>
      <c r="J18" s="36">
        <f>15000+2500</f>
        <v>17500</v>
      </c>
      <c r="K18" s="30"/>
      <c r="L18" s="30">
        <v>22000</v>
      </c>
      <c r="M18" s="37" t="s">
        <v>45</v>
      </c>
      <c r="N18" s="39" t="s">
        <v>49</v>
      </c>
      <c r="O18" s="38" t="s">
        <v>46</v>
      </c>
      <c r="P18" s="32"/>
      <c r="Q18" s="32"/>
      <c r="R18" s="33" t="s">
        <v>41</v>
      </c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1" t="s">
        <v>37</v>
      </c>
      <c r="AG18" s="29" t="s">
        <v>50</v>
      </c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</row>
    <row r="19" spans="1:101" ht="82.5" customHeight="1">
      <c r="A19" s="40" t="s">
        <v>51</v>
      </c>
      <c r="B19" s="30">
        <v>14000</v>
      </c>
      <c r="C19" s="30">
        <f t="shared" si="4"/>
        <v>18620</v>
      </c>
      <c r="D19" s="1">
        <v>9</v>
      </c>
      <c r="E19" s="1">
        <v>18</v>
      </c>
      <c r="F19" s="30"/>
      <c r="G19" s="29"/>
      <c r="I19" s="36">
        <v>5000</v>
      </c>
      <c r="J19" s="29">
        <v>3000</v>
      </c>
      <c r="K19" s="30"/>
      <c r="L19" s="30"/>
      <c r="M19" s="30">
        <v>20000</v>
      </c>
      <c r="N19" s="37" t="s">
        <v>45</v>
      </c>
      <c r="O19" s="39" t="s">
        <v>49</v>
      </c>
      <c r="P19" s="38" t="s">
        <v>46</v>
      </c>
      <c r="Q19" s="32"/>
      <c r="R19" s="32"/>
      <c r="S19" s="33" t="s">
        <v>41</v>
      </c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1" t="s">
        <v>37</v>
      </c>
      <c r="AH19" s="29" t="s">
        <v>52</v>
      </c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</row>
    <row r="20" spans="1:101" ht="82.5" customHeight="1">
      <c r="A20" s="41" t="s">
        <v>53</v>
      </c>
      <c r="B20" s="30">
        <v>18534.63</v>
      </c>
      <c r="C20" s="30">
        <f t="shared" si="4"/>
        <v>24651.057900000003</v>
      </c>
      <c r="D20" s="1">
        <v>9</v>
      </c>
      <c r="E20" s="1">
        <v>18</v>
      </c>
      <c r="F20" s="36" t="s">
        <v>44</v>
      </c>
      <c r="G20" s="30" t="s">
        <v>54</v>
      </c>
      <c r="H20" s="37" t="s">
        <v>45</v>
      </c>
      <c r="I20" s="29" t="s">
        <v>55</v>
      </c>
      <c r="J20" s="39" t="s">
        <v>49</v>
      </c>
      <c r="K20" s="29"/>
      <c r="L20" s="30"/>
      <c r="M20" s="30"/>
      <c r="N20" s="30"/>
      <c r="O20" s="30"/>
      <c r="P20" s="38" t="s">
        <v>46</v>
      </c>
      <c r="Q20" s="32"/>
      <c r="R20" s="32"/>
      <c r="S20" s="33" t="s">
        <v>41</v>
      </c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1" t="s">
        <v>37</v>
      </c>
      <c r="AH20" s="29" t="s">
        <v>56</v>
      </c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</row>
    <row r="21" spans="1:101" s="2" customFormat="1" ht="39" customHeight="1">
      <c r="A21" s="42" t="s">
        <v>57</v>
      </c>
      <c r="B21" s="43"/>
      <c r="C21" s="43"/>
      <c r="D21" s="44"/>
      <c r="E21" s="44"/>
      <c r="F21" s="43"/>
      <c r="G21" s="43"/>
      <c r="H21" s="45"/>
      <c r="I21" s="45">
        <f>I19</f>
        <v>5000</v>
      </c>
      <c r="J21" s="45">
        <f>J19+J18+J17</f>
        <v>39500</v>
      </c>
      <c r="K21" s="45"/>
      <c r="L21" s="45">
        <f>L18</f>
        <v>22000</v>
      </c>
      <c r="M21" s="45">
        <f>M19</f>
        <v>20000</v>
      </c>
      <c r="N21" s="43"/>
      <c r="O21" s="43"/>
      <c r="P21" s="45"/>
      <c r="Q21" s="43"/>
      <c r="R21" s="43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7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</row>
    <row r="22" spans="1:101" s="48" customFormat="1" ht="21.75" customHeight="1">
      <c r="A22" s="49" t="s">
        <v>58</v>
      </c>
      <c r="B22" s="33">
        <f>SUM(B14:B20)</f>
        <v>110371.31</v>
      </c>
      <c r="C22" s="33"/>
      <c r="D22" s="33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</row>
    <row r="23" spans="1:101" ht="82.5" hidden="1" customHeight="1" outlineLevel="1">
      <c r="A23" s="35" t="s">
        <v>59</v>
      </c>
      <c r="B23" s="30">
        <v>10000</v>
      </c>
      <c r="C23" s="30">
        <v>13365.770738579351</v>
      </c>
      <c r="D23" s="1">
        <v>9</v>
      </c>
      <c r="E23" s="1">
        <v>18</v>
      </c>
      <c r="F23" s="50" t="s">
        <v>60</v>
      </c>
      <c r="G23" s="1" t="s">
        <v>61</v>
      </c>
      <c r="H23" s="51" t="s">
        <v>45</v>
      </c>
      <c r="I23" s="52" t="s">
        <v>55</v>
      </c>
      <c r="J23" s="53" t="s">
        <v>49</v>
      </c>
      <c r="K23" s="52"/>
      <c r="O23" s="52"/>
      <c r="P23" s="52"/>
      <c r="T23" s="52"/>
      <c r="X23" s="54" t="s">
        <v>46</v>
      </c>
      <c r="Y23" s="55"/>
      <c r="Z23" s="55"/>
      <c r="AA23" s="48" t="s">
        <v>41</v>
      </c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6" t="s">
        <v>37</v>
      </c>
      <c r="AP23" s="52" t="s">
        <v>47</v>
      </c>
    </row>
    <row r="24" spans="1:101" ht="74.45" hidden="1" customHeight="1" outlineLevel="1">
      <c r="A24" s="57" t="s">
        <v>62</v>
      </c>
      <c r="B24" s="58">
        <v>25000</v>
      </c>
      <c r="C24" s="30">
        <f>C18</f>
        <v>33250</v>
      </c>
      <c r="D24" s="1">
        <v>10</v>
      </c>
      <c r="E24" s="1">
        <v>18</v>
      </c>
      <c r="I24" s="50" t="s">
        <v>44</v>
      </c>
      <c r="M24" s="51" t="s">
        <v>45</v>
      </c>
      <c r="N24" s="53" t="s">
        <v>49</v>
      </c>
      <c r="Z24" s="54" t="s">
        <v>46</v>
      </c>
      <c r="AA24" s="55"/>
      <c r="AB24" s="55"/>
      <c r="AC24" s="48" t="s">
        <v>41</v>
      </c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6" t="s">
        <v>37</v>
      </c>
      <c r="AR24" s="52" t="s">
        <v>50</v>
      </c>
    </row>
    <row r="25" spans="1:101" ht="82.5" hidden="1" customHeight="1" outlineLevel="1">
      <c r="A25" s="40" t="s">
        <v>51</v>
      </c>
      <c r="B25" s="30">
        <v>6000</v>
      </c>
      <c r="C25" s="30">
        <f>B25*1.33</f>
        <v>7980</v>
      </c>
      <c r="D25" s="1">
        <v>9</v>
      </c>
      <c r="E25" s="1">
        <v>18</v>
      </c>
      <c r="G25" s="52"/>
      <c r="H25" s="50" t="s">
        <v>44</v>
      </c>
      <c r="I25" s="52"/>
      <c r="N25" s="51" t="s">
        <v>45</v>
      </c>
      <c r="O25" s="53" t="s">
        <v>49</v>
      </c>
      <c r="P25" s="54" t="s">
        <v>46</v>
      </c>
      <c r="Q25" s="55"/>
      <c r="R25" s="55"/>
      <c r="S25" s="48" t="s">
        <v>41</v>
      </c>
      <c r="AC25" s="54" t="s">
        <v>46</v>
      </c>
      <c r="AD25" s="55"/>
      <c r="AE25" s="55"/>
      <c r="AF25" s="48" t="s">
        <v>41</v>
      </c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6" t="s">
        <v>37</v>
      </c>
      <c r="AU25" s="52" t="s">
        <v>52</v>
      </c>
    </row>
    <row r="26" spans="1:101" ht="40.5" hidden="1" customHeight="1" outlineLevel="1">
      <c r="A26" s="57" t="s">
        <v>63</v>
      </c>
      <c r="B26" s="30">
        <f>B25+B23+B24</f>
        <v>41000</v>
      </c>
      <c r="C26" s="30">
        <f>C25+C23+C24</f>
        <v>54595.770738579347</v>
      </c>
    </row>
    <row r="27" spans="1:101" ht="82.5" hidden="1" customHeight="1" outlineLevel="1"/>
    <row r="28" spans="1:101" ht="82.5" hidden="1" customHeight="1" outlineLevel="1"/>
    <row r="29" spans="1:101" hidden="1" outlineLevel="1">
      <c r="A29" s="35"/>
      <c r="AG29" s="59"/>
    </row>
    <row r="30" spans="1:101" hidden="1" outlineLevel="1">
      <c r="A30" s="35"/>
      <c r="AG30" s="59"/>
    </row>
    <row r="31" spans="1:101" hidden="1" outlineLevel="1">
      <c r="J31" s="268">
        <f>B15+B16+B14</f>
        <v>42836.68</v>
      </c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70" t="e">
        <f>B17+B18+B20+B19+#REF!</f>
        <v>#REF!</v>
      </c>
      <c r="W31" s="271"/>
      <c r="X31" s="271"/>
      <c r="Y31" s="271"/>
      <c r="Z31" s="271"/>
      <c r="AA31" s="271"/>
      <c r="AB31" s="271"/>
      <c r="AC31" s="271"/>
      <c r="AD31" s="271"/>
      <c r="AE31" s="271"/>
      <c r="AF31" s="271"/>
      <c r="AG31" s="271"/>
      <c r="AH31" s="268" t="e">
        <f>#REF!+B22+#REF!+B23</f>
        <v>#REF!</v>
      </c>
      <c r="AI31" s="269"/>
      <c r="AJ31" s="269"/>
      <c r="AK31" s="269"/>
      <c r="AL31" s="269"/>
      <c r="AM31" s="269"/>
      <c r="AN31" s="269"/>
      <c r="AO31" s="269"/>
      <c r="AP31" s="269"/>
      <c r="AQ31" s="269"/>
      <c r="AR31" s="269"/>
      <c r="AS31" s="269"/>
      <c r="AT31" s="268" t="e">
        <f>#REF!++B22+#REF!</f>
        <v>#REF!</v>
      </c>
      <c r="AU31" s="269"/>
      <c r="AV31" s="269"/>
      <c r="AW31" s="269"/>
      <c r="AX31" s="269"/>
      <c r="AY31" s="269"/>
      <c r="AZ31" s="269"/>
      <c r="BA31" s="269"/>
      <c r="BB31" s="269"/>
      <c r="BC31" s="269"/>
      <c r="BD31" s="269"/>
      <c r="BE31" s="269"/>
      <c r="BF31" s="269"/>
      <c r="BG31" s="269"/>
      <c r="BH31" s="269"/>
      <c r="BI31" s="269"/>
      <c r="BJ31" s="269"/>
      <c r="BK31" s="269"/>
      <c r="BL31" s="269"/>
      <c r="BM31" s="269"/>
      <c r="BN31" s="269"/>
      <c r="BO31" s="269"/>
      <c r="BP31" s="269"/>
      <c r="BQ31" s="269"/>
    </row>
    <row r="32" spans="1:101" ht="26.25" hidden="1" outlineLevel="1">
      <c r="A32" s="35"/>
      <c r="V32" s="266" t="e">
        <f>V31+J31</f>
        <v>#REF!</v>
      </c>
      <c r="W32" s="267"/>
      <c r="X32" s="267"/>
      <c r="Y32" s="267"/>
      <c r="Z32" s="267"/>
      <c r="AA32" s="267"/>
      <c r="AB32" s="267"/>
      <c r="AC32" s="267"/>
      <c r="AD32" s="267"/>
      <c r="AE32" s="267"/>
      <c r="AF32" s="267"/>
      <c r="AG32" s="267"/>
      <c r="AH32" s="268" t="e">
        <f>AH31+V32</f>
        <v>#REF!</v>
      </c>
      <c r="AI32" s="269"/>
      <c r="AJ32" s="269"/>
      <c r="AK32" s="269"/>
      <c r="AL32" s="269"/>
      <c r="AM32" s="269"/>
      <c r="AN32" s="269"/>
      <c r="AO32" s="269"/>
      <c r="AP32" s="269"/>
      <c r="AQ32" s="269"/>
      <c r="AR32" s="269"/>
      <c r="AS32" s="269"/>
    </row>
    <row r="33" spans="1:39" hidden="1" outlineLevel="1">
      <c r="A33" s="35"/>
    </row>
    <row r="34" spans="1:39" ht="26.25" hidden="1" outlineLevel="1">
      <c r="AL34" s="1" t="s">
        <v>64</v>
      </c>
      <c r="AM34" s="60" t="e">
        <f>AH31-100000</f>
        <v>#REF!</v>
      </c>
    </row>
    <row r="35" spans="1:39" hidden="1" outlineLevel="1"/>
    <row r="36" spans="1:39" hidden="1" outlineLevel="1"/>
    <row r="37" spans="1:39" hidden="1" outlineLevel="1"/>
    <row r="38" spans="1:39" hidden="1" outlineLevel="1"/>
    <row r="39" spans="1:39" hidden="1" outlineLevel="1"/>
    <row r="40" spans="1:39" hidden="1" outlineLevel="1"/>
    <row r="41" spans="1:39" hidden="1" outlineLevel="1"/>
    <row r="42" spans="1:39" hidden="1" outlineLevel="1"/>
    <row r="43" spans="1:39" hidden="1" outlineLevel="1"/>
    <row r="44" spans="1:39" hidden="1" outlineLevel="1"/>
    <row r="45" spans="1:39" hidden="1" outlineLevel="1"/>
    <row r="46" spans="1:39" hidden="1" outlineLevel="1"/>
    <row r="47" spans="1:39" hidden="1" outlineLevel="1"/>
    <row r="48" spans="1:39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hidden="1" outlineLevel="1"/>
    <row r="66" hidden="1" outlineLevel="1"/>
    <row r="67" hidden="1" outlineLevel="1"/>
    <row r="68" hidden="1" outlineLevel="1"/>
    <row r="69" hidden="1" outlineLevel="1"/>
    <row r="70" hidden="1" outlineLevel="1"/>
    <row r="71" hidden="1" outlineLevel="1"/>
    <row r="72" hidden="1" outlineLevel="1"/>
    <row r="73" hidden="1" outlineLevel="1"/>
    <row r="74" hidden="1" outlineLevel="1"/>
    <row r="75" hidden="1" outlineLevel="1"/>
    <row r="76" hidden="1" outlineLevel="1"/>
    <row r="77" hidden="1" outlineLevel="1"/>
    <row r="78" hidden="1" outlineLevel="1"/>
    <row r="79" hidden="1" outlineLevel="1"/>
    <row r="80" hidden="1" outlineLevel="1"/>
    <row r="81" hidden="1" outlineLevel="1"/>
    <row r="82" hidden="1" outlineLevel="1"/>
    <row r="83" hidden="1" outlineLevel="1"/>
    <row r="84" hidden="1" outlineLevel="1"/>
    <row r="85" hidden="1" outlineLevel="1"/>
    <row r="86" hidden="1" outlineLevel="1"/>
    <row r="87" hidden="1" outlineLevel="1"/>
    <row r="88" hidden="1" outlineLevel="1"/>
    <row r="89" hidden="1" outlineLevel="1"/>
    <row r="90" hidden="1" outlineLevel="1"/>
    <row r="91" hidden="1" outlineLevel="1"/>
    <row r="92" hidden="1" outlineLevel="1"/>
    <row r="93" hidden="1" outlineLevel="1"/>
    <row r="94" hidden="1" outlineLevel="1"/>
    <row r="95" hidden="1" outlineLevel="1"/>
    <row r="96" hidden="1" outlineLevel="1"/>
    <row r="97" hidden="1" outlineLevel="1"/>
    <row r="98" hidden="1" outlineLevel="1"/>
    <row r="99" hidden="1" outlineLevel="1"/>
    <row r="100" hidden="1" outlineLevel="1"/>
    <row r="101" hidden="1" outlineLevel="1"/>
    <row r="102" hidden="1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hidden="1" outlineLevel="1"/>
    <row r="132" hidden="1" outlineLevel="1"/>
    <row r="133" hidden="1" outlineLevel="1"/>
    <row r="134" hidden="1" outlineLevel="1"/>
    <row r="135" hidden="1" outlineLevel="1"/>
    <row r="136" hidden="1" outlineLevel="1"/>
    <row r="137" hidden="1" outlineLevel="1"/>
    <row r="138" hidden="1" outlineLevel="1"/>
    <row r="139" hidden="1" outlineLevel="1"/>
    <row r="140" hidden="1" outlineLevel="1"/>
    <row r="141" hidden="1" outlineLevel="1"/>
    <row r="142" hidden="1" outlineLevel="1"/>
    <row r="143" hidden="1" outlineLevel="1"/>
    <row r="144" hidden="1" outlineLevel="1"/>
    <row r="145" hidden="1" outlineLevel="1"/>
    <row r="146" hidden="1" outlineLevel="1"/>
    <row r="147" hidden="1" outlineLevel="1"/>
    <row r="148" hidden="1" outlineLevel="1"/>
    <row r="149" hidden="1" outlineLevel="1"/>
    <row r="150" hidden="1" outlineLevel="1"/>
    <row r="151" hidden="1" outlineLevel="1"/>
    <row r="152" hidden="1" outlineLevel="1"/>
    <row r="153" hidden="1" outlineLevel="1"/>
    <row r="154" hidden="1" outlineLevel="1"/>
    <row r="155" hidden="1" outlineLevel="1"/>
    <row r="156" hidden="1" outlineLevel="1"/>
    <row r="157" hidden="1" outlineLevel="1"/>
    <row r="158" hidden="1" outlineLevel="1"/>
    <row r="159" hidden="1" outlineLevel="1"/>
    <row r="160" hidden="1" outlineLevel="1"/>
    <row r="161" hidden="1" outlineLevel="1"/>
    <row r="162" hidden="1" outlineLevel="1"/>
    <row r="163" hidden="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hidden="1" outlineLevel="1"/>
    <row r="194" hidden="1" outlineLevel="1"/>
    <row r="195" hidden="1" outlineLevel="1"/>
    <row r="196" hidden="1" outlineLevel="1"/>
    <row r="197" hidden="1" outlineLevel="1"/>
    <row r="198" hidden="1" outlineLevel="1"/>
    <row r="199" hidden="1" outlineLevel="1"/>
    <row r="200" hidden="1" outlineLevel="1"/>
    <row r="201" hidden="1" outlineLevel="1"/>
    <row r="202" hidden="1" outlineLevel="1"/>
    <row r="203" hidden="1" outlineLevel="1"/>
    <row r="204" hidden="1" outlineLevel="1"/>
    <row r="205" hidden="1" outlineLevel="1"/>
    <row r="206" hidden="1" outlineLevel="1"/>
    <row r="207" hidden="1" outlineLevel="1"/>
    <row r="208" hidden="1" outlineLevel="1"/>
    <row r="209" hidden="1" outlineLevel="1"/>
    <row r="210" hidden="1" outlineLevel="1"/>
    <row r="211" hidden="1" outlineLevel="1"/>
    <row r="212" hidden="1" outlineLevel="1"/>
    <row r="213" hidden="1" outlineLevel="1"/>
    <row r="214" hidden="1" outlineLevel="1"/>
    <row r="215" hidden="1" outlineLevel="1"/>
    <row r="216" hidden="1" outlineLevel="1"/>
    <row r="217" hidden="1" outlineLevel="1"/>
    <row r="218" hidden="1" outlineLevel="1"/>
    <row r="219" hidden="1" outlineLevel="1"/>
    <row r="220" hidden="1" outlineLevel="1"/>
    <row r="221" hidden="1" outlineLevel="1"/>
    <row r="222" hidden="1" outlineLevel="1"/>
    <row r="223" hidden="1" outlineLevel="1"/>
    <row r="224" hidden="1" outlineLevel="1"/>
    <row r="225" hidden="1" outlineLevel="1"/>
    <row r="226" hidden="1" outlineLevel="1"/>
    <row r="227" hidden="1" outlineLevel="1"/>
    <row r="228" hidden="1" outlineLevel="1"/>
    <row r="229" hidden="1" outlineLevel="1"/>
    <row r="230" hidden="1" outlineLevel="1"/>
    <row r="231" hidden="1" outlineLevel="1"/>
    <row r="232" hidden="1" outlineLevel="1"/>
    <row r="233" hidden="1" outlineLevel="1"/>
    <row r="234" hidden="1" outlineLevel="1"/>
    <row r="235" hidden="1" outlineLevel="1"/>
    <row r="236" hidden="1" outlineLevel="1"/>
    <row r="237" hidden="1" outlineLevel="1"/>
    <row r="238" hidden="1" outlineLevel="1"/>
    <row r="239" hidden="1" outlineLevel="1"/>
    <row r="240" hidden="1" outlineLevel="1"/>
    <row r="241" hidden="1" outlineLevel="1"/>
    <row r="242" hidden="1" outlineLevel="1"/>
    <row r="243" hidden="1" outlineLevel="1"/>
    <row r="244" hidden="1" outlineLevel="1"/>
    <row r="245" hidden="1" outlineLevel="1"/>
    <row r="246" hidden="1" outlineLevel="1"/>
    <row r="247" hidden="1" outlineLevel="1"/>
    <row r="248" hidden="1" outlineLevel="1"/>
    <row r="249" hidden="1" outlineLevel="1"/>
    <row r="250" hidden="1" outlineLevel="1"/>
    <row r="251" hidden="1" outlineLevel="1"/>
    <row r="252" hidden="1" outlineLevel="1"/>
    <row r="253" hidden="1" outlineLevel="1"/>
    <row r="254" hidden="1" outlineLevel="1"/>
    <row r="255" hidden="1" outlineLevel="1"/>
    <row r="256" hidden="1" outlineLevel="1"/>
    <row r="257" hidden="1" outlineLevel="1"/>
    <row r="258" hidden="1" outlineLevel="1"/>
    <row r="259" hidden="1" outlineLevel="1"/>
    <row r="260" hidden="1" outlineLevel="1"/>
    <row r="261" hidden="1" outlineLevel="1"/>
    <row r="262" hidden="1" outlineLevel="1"/>
    <row r="263" hidden="1" outlineLevel="1"/>
    <row r="264" hidden="1" outlineLevel="1"/>
    <row r="265" hidden="1" outlineLevel="1"/>
    <row r="266" hidden="1" outlineLevel="1"/>
    <row r="267" hidden="1" outlineLevel="1"/>
    <row r="268" hidden="1" outlineLevel="1"/>
    <row r="269" hidden="1" outlineLevel="1"/>
    <row r="270" hidden="1" outlineLevel="1"/>
    <row r="271" hidden="1" outlineLevel="1"/>
    <row r="272" hidden="1" outlineLevel="1"/>
    <row r="273" hidden="1" outlineLevel="1"/>
    <row r="274" hidden="1" outlineLevel="1"/>
    <row r="275" hidden="1" outlineLevel="1"/>
    <row r="276" hidden="1" outlineLevel="1"/>
    <row r="277" hidden="1" outlineLevel="1"/>
    <row r="278" hidden="1" outlineLevel="1"/>
    <row r="279" hidden="1" outlineLevel="1"/>
    <row r="280" hidden="1" outlineLevel="1"/>
    <row r="281" hidden="1" outlineLevel="1"/>
    <row r="282" hidden="1" outlineLevel="1"/>
    <row r="283" hidden="1" outlineLevel="1"/>
    <row r="284" hidden="1" outlineLevel="1"/>
    <row r="285" hidden="1" outlineLevel="1"/>
    <row r="286" hidden="1" outlineLevel="1"/>
    <row r="287" hidden="1" outlineLevel="1"/>
    <row r="288" hidden="1" outlineLevel="1"/>
    <row r="289" hidden="1" outlineLevel="1"/>
    <row r="290" hidden="1" outlineLevel="1"/>
    <row r="291" hidden="1" outlineLevel="1"/>
    <row r="292" hidden="1" outlineLevel="1"/>
    <row r="293" hidden="1" outlineLevel="1"/>
    <row r="294" hidden="1" outlineLevel="1"/>
    <row r="295" hidden="1" outlineLevel="1"/>
    <row r="296" hidden="1" outlineLevel="1"/>
    <row r="297" hidden="1" outlineLevel="1"/>
    <row r="298" hidden="1" outlineLevel="1"/>
    <row r="299" hidden="1" outlineLevel="1"/>
    <row r="300" hidden="1" outlineLevel="1"/>
    <row r="301" hidden="1" outlineLevel="1"/>
    <row r="302" hidden="1" outlineLevel="1"/>
    <row r="303" hidden="1" outlineLevel="1"/>
    <row r="304" hidden="1" outlineLevel="1"/>
    <row r="305" hidden="1" outlineLevel="1"/>
    <row r="306" hidden="1" outlineLevel="1"/>
    <row r="307" hidden="1" outlineLevel="1"/>
    <row r="308" hidden="1" outlineLevel="1"/>
    <row r="309" hidden="1" outlineLevel="1"/>
    <row r="310" hidden="1" outlineLevel="1"/>
    <row r="311" hidden="1" outlineLevel="1"/>
    <row r="312" hidden="1" outlineLevel="1"/>
    <row r="313" hidden="1" outlineLevel="1"/>
    <row r="314" hidden="1" outlineLevel="1"/>
    <row r="315" hidden="1" outlineLevel="1"/>
    <row r="316" hidden="1" outlineLevel="1"/>
    <row r="317" hidden="1" outlineLevel="1"/>
    <row r="318" hidden="1" outlineLevel="1"/>
    <row r="319" hidden="1" outlineLevel="1"/>
    <row r="320" hidden="1" outlineLevel="1"/>
    <row r="321" hidden="1" outlineLevel="1"/>
    <row r="322" hidden="1" outlineLevel="1"/>
    <row r="323" hidden="1" outlineLevel="1"/>
    <row r="324" hidden="1" outlineLevel="1"/>
    <row r="325" hidden="1" outlineLevel="1"/>
    <row r="326" hidden="1" outlineLevel="1"/>
    <row r="327" hidden="1" outlineLevel="1"/>
    <row r="328" hidden="1" outlineLevel="1"/>
    <row r="329" hidden="1" outlineLevel="1"/>
    <row r="330" hidden="1" outlineLevel="1"/>
    <row r="331" hidden="1" outlineLevel="1"/>
    <row r="332" hidden="1" outlineLevel="1"/>
    <row r="333" hidden="1" outlineLevel="1"/>
    <row r="334" hidden="1" outlineLevel="1"/>
    <row r="335" hidden="1" outlineLevel="1"/>
    <row r="336" hidden="1" outlineLevel="1"/>
    <row r="337" hidden="1" outlineLevel="1"/>
    <row r="338" hidden="1" outlineLevel="1"/>
    <row r="339" hidden="1" outlineLevel="1"/>
    <row r="340" hidden="1" outlineLevel="1"/>
    <row r="341" hidden="1" outlineLevel="1"/>
    <row r="342" hidden="1" outlineLevel="1"/>
    <row r="343" hidden="1" outlineLevel="1"/>
    <row r="344" hidden="1" outlineLevel="1"/>
    <row r="345" hidden="1" outlineLevel="1"/>
    <row r="346" hidden="1" outlineLevel="1"/>
    <row r="347" hidden="1" outlineLevel="1"/>
    <row r="348" hidden="1" outlineLevel="1"/>
    <row r="349" hidden="1" outlineLevel="1"/>
    <row r="350" hidden="1" outlineLevel="1"/>
    <row r="351" hidden="1" outlineLevel="1"/>
    <row r="352" hidden="1" outlineLevel="1"/>
    <row r="353" hidden="1" outlineLevel="1"/>
    <row r="354" hidden="1" outlineLevel="1"/>
    <row r="355" hidden="1" outlineLevel="1"/>
    <row r="356" hidden="1" outlineLevel="1"/>
    <row r="357" hidden="1" outlineLevel="1"/>
    <row r="358" hidden="1" outlineLevel="1"/>
    <row r="359" hidden="1" outlineLevel="1"/>
    <row r="360" hidden="1" outlineLevel="1"/>
    <row r="361" hidden="1" outlineLevel="1"/>
    <row r="362" hidden="1" outlineLevel="1"/>
    <row r="363" hidden="1" outlineLevel="1"/>
    <row r="364" hidden="1" outlineLevel="1"/>
    <row r="365" hidden="1" outlineLevel="1"/>
    <row r="366" hidden="1" outlineLevel="1"/>
    <row r="367" hidden="1" outlineLevel="1"/>
    <row r="368" hidden="1" outlineLevel="1"/>
    <row r="369" hidden="1" outlineLevel="1"/>
    <row r="370" hidden="1" outlineLevel="1"/>
    <row r="371" hidden="1" outlineLevel="1"/>
    <row r="372" hidden="1" outlineLevel="1"/>
    <row r="373" hidden="1" outlineLevel="1"/>
    <row r="374" hidden="1" outlineLevel="1"/>
    <row r="375" hidden="1" outlineLevel="1"/>
    <row r="376" hidden="1" outlineLevel="1"/>
    <row r="377" hidden="1" outlineLevel="1"/>
    <row r="378" hidden="1" outlineLevel="1"/>
    <row r="379" hidden="1" outlineLevel="1"/>
    <row r="380" hidden="1" outlineLevel="1"/>
    <row r="381" hidden="1" outlineLevel="1"/>
    <row r="382" hidden="1" outlineLevel="1"/>
    <row r="383" hidden="1" outlineLevel="1"/>
    <row r="384" hidden="1" outlineLevel="1"/>
    <row r="385" hidden="1" outlineLevel="1"/>
    <row r="386" hidden="1" outlineLevel="1"/>
    <row r="387" hidden="1" outlineLevel="1"/>
    <row r="388" hidden="1" outlineLevel="1"/>
    <row r="389" hidden="1" outlineLevel="1"/>
    <row r="390" hidden="1" outlineLevel="1"/>
    <row r="391" hidden="1" outlineLevel="1"/>
    <row r="392" hidden="1" outlineLevel="1"/>
    <row r="393" hidden="1" outlineLevel="1"/>
    <row r="394" hidden="1" outlineLevel="1"/>
    <row r="395" hidden="1" outlineLevel="1"/>
    <row r="396" hidden="1" outlineLevel="1"/>
    <row r="397" hidden="1" outlineLevel="1"/>
    <row r="398" hidden="1" outlineLevel="1"/>
    <row r="399" hidden="1" outlineLevel="1"/>
    <row r="400" hidden="1" outlineLevel="1"/>
    <row r="401" hidden="1" outlineLevel="1"/>
    <row r="402" hidden="1" outlineLevel="1"/>
    <row r="403" hidden="1" outlineLevel="1"/>
    <row r="404" hidden="1" outlineLevel="1"/>
    <row r="405" hidden="1" outlineLevel="1"/>
    <row r="406" hidden="1" outlineLevel="1"/>
    <row r="407" hidden="1" outlineLevel="1"/>
    <row r="408" hidden="1" outlineLevel="1"/>
    <row r="409" hidden="1" outlineLevel="1"/>
    <row r="410" hidden="1" outlineLevel="1"/>
    <row r="411" hidden="1" outlineLevel="1"/>
    <row r="412" hidden="1" outlineLevel="1"/>
    <row r="413" hidden="1" outlineLevel="1"/>
    <row r="414" hidden="1" outlineLevel="1"/>
    <row r="415" hidden="1" outlineLevel="1"/>
    <row r="416" hidden="1" outlineLevel="1"/>
    <row r="417" hidden="1" outlineLevel="1"/>
    <row r="418" hidden="1" outlineLevel="1"/>
    <row r="419" hidden="1" outlineLevel="1"/>
    <row r="420" hidden="1" outlineLevel="1"/>
    <row r="421" hidden="1" outlineLevel="1"/>
    <row r="422" hidden="1" outlineLevel="1"/>
    <row r="423" hidden="1" outlineLevel="1"/>
    <row r="424" hidden="1" outlineLevel="1"/>
    <row r="425" hidden="1" outlineLevel="1"/>
    <row r="426" hidden="1" outlineLevel="1"/>
    <row r="427" hidden="1" outlineLevel="1"/>
    <row r="428" hidden="1" outlineLevel="1"/>
    <row r="429" hidden="1" outlineLevel="1"/>
    <row r="430" hidden="1" outlineLevel="1"/>
    <row r="431" hidden="1" outlineLevel="1"/>
    <row r="432" hidden="1" outlineLevel="1"/>
    <row r="433" hidden="1" outlineLevel="1"/>
    <row r="434" hidden="1" outlineLevel="1"/>
    <row r="435" hidden="1" outlineLevel="1"/>
    <row r="436" hidden="1" outlineLevel="1"/>
    <row r="437" hidden="1" outlineLevel="1"/>
    <row r="438" hidden="1" outlineLevel="1"/>
    <row r="439" hidden="1" outlineLevel="1"/>
    <row r="440" hidden="1" outlineLevel="1"/>
    <row r="441" hidden="1" outlineLevel="1"/>
    <row r="442" hidden="1" outlineLevel="1"/>
    <row r="443" hidden="1" outlineLevel="1"/>
    <row r="444" hidden="1" outlineLevel="1"/>
    <row r="445" hidden="1" outlineLevel="1"/>
    <row r="446" hidden="1" outlineLevel="1"/>
    <row r="447" hidden="1" outlineLevel="1"/>
    <row r="448" hidden="1" outlineLevel="1"/>
    <row r="449" hidden="1" outlineLevel="1"/>
    <row r="450" hidden="1" outlineLevel="1"/>
    <row r="451" hidden="1" outlineLevel="1"/>
    <row r="452" hidden="1" outlineLevel="1"/>
    <row r="453" hidden="1" outlineLevel="1"/>
    <row r="454" hidden="1" outlineLevel="1"/>
    <row r="455" hidden="1" outlineLevel="1"/>
    <row r="456" hidden="1" outlineLevel="1"/>
    <row r="457" hidden="1" outlineLevel="1"/>
    <row r="458" hidden="1" outlineLevel="1"/>
    <row r="459" hidden="1" outlineLevel="1"/>
    <row r="460" hidden="1" outlineLevel="1"/>
    <row r="461" hidden="1" outlineLevel="1"/>
    <row r="462" hidden="1" outlineLevel="1"/>
    <row r="463" hidden="1" outlineLevel="1"/>
    <row r="464" hidden="1" outlineLevel="1"/>
    <row r="465" hidden="1" outlineLevel="1"/>
    <row r="466" hidden="1" outlineLevel="1"/>
    <row r="467" hidden="1" outlineLevel="1"/>
    <row r="468" hidden="1" outlineLevel="1"/>
    <row r="469" hidden="1" outlineLevel="1"/>
    <row r="470" hidden="1" outlineLevel="1"/>
    <row r="471" hidden="1" outlineLevel="1"/>
    <row r="472" hidden="1" outlineLevel="1"/>
    <row r="473" hidden="1" outlineLevel="1"/>
    <row r="474" hidden="1" outlineLevel="1"/>
    <row r="475" hidden="1" outlineLevel="1"/>
    <row r="476" hidden="1" outlineLevel="1"/>
    <row r="477" hidden="1" outlineLevel="1"/>
    <row r="478" hidden="1" outlineLevel="1"/>
    <row r="479" hidden="1" outlineLevel="1"/>
    <row r="480" hidden="1" outlineLevel="1"/>
    <row r="481" hidden="1" outlineLevel="1"/>
    <row r="482" hidden="1" outlineLevel="1"/>
    <row r="483" hidden="1" outlineLevel="1"/>
    <row r="484" hidden="1" outlineLevel="1"/>
    <row r="485" hidden="1" outlineLevel="1"/>
    <row r="486" hidden="1" outlineLevel="1"/>
    <row r="487" hidden="1" outlineLevel="1"/>
    <row r="488" hidden="1" outlineLevel="1"/>
    <row r="489" hidden="1" outlineLevel="1"/>
    <row r="490" hidden="1" outlineLevel="1"/>
    <row r="491" hidden="1" outlineLevel="1"/>
    <row r="492" hidden="1" outlineLevel="1"/>
    <row r="493" hidden="1" outlineLevel="1"/>
    <row r="494" hidden="1" outlineLevel="1"/>
    <row r="495" hidden="1" outlineLevel="1"/>
    <row r="496" hidden="1" outlineLevel="1"/>
    <row r="497" hidden="1" outlineLevel="1"/>
    <row r="498" hidden="1" outlineLevel="1"/>
    <row r="499" hidden="1" outlineLevel="1"/>
    <row r="500" hidden="1" outlineLevel="1"/>
    <row r="501" hidden="1" outlineLevel="1"/>
    <row r="502" hidden="1" outlineLevel="1"/>
    <row r="503" hidden="1" outlineLevel="1"/>
    <row r="504" hidden="1" outlineLevel="1"/>
    <row r="505" hidden="1" outlineLevel="1"/>
    <row r="506" hidden="1" outlineLevel="1"/>
    <row r="507" hidden="1" outlineLevel="1"/>
    <row r="508" hidden="1" outlineLevel="1"/>
    <row r="509" hidden="1" outlineLevel="1"/>
    <row r="510" hidden="1" outlineLevel="1"/>
    <row r="511" hidden="1" outlineLevel="1"/>
    <row r="512" hidden="1" outlineLevel="1"/>
    <row r="513" hidden="1" outlineLevel="1"/>
    <row r="514" hidden="1" outlineLevel="1"/>
    <row r="515" hidden="1" outlineLevel="1"/>
    <row r="516" hidden="1" outlineLevel="1"/>
    <row r="517" hidden="1" outlineLevel="1"/>
    <row r="518" hidden="1" outlineLevel="1"/>
    <row r="519" hidden="1" outlineLevel="1"/>
    <row r="520" hidden="1" outlineLevel="1"/>
    <row r="521" hidden="1" outlineLevel="1"/>
    <row r="522" hidden="1" outlineLevel="1"/>
    <row r="523" hidden="1" outlineLevel="1"/>
    <row r="524" hidden="1" outlineLevel="1"/>
    <row r="525" hidden="1" outlineLevel="1"/>
    <row r="526" hidden="1" outlineLevel="1"/>
    <row r="527" hidden="1" outlineLevel="1"/>
    <row r="528" hidden="1" outlineLevel="1"/>
    <row r="529" hidden="1" outlineLevel="1"/>
    <row r="530" hidden="1" outlineLevel="1"/>
    <row r="531" hidden="1" outlineLevel="1"/>
    <row r="532" hidden="1" outlineLevel="1"/>
    <row r="533" hidden="1" outlineLevel="1"/>
    <row r="534" hidden="1" outlineLevel="1"/>
    <row r="535" hidden="1" outlineLevel="1"/>
    <row r="536" hidden="1" outlineLevel="1"/>
    <row r="537" hidden="1" outlineLevel="1"/>
    <row r="538" hidden="1" outlineLevel="1"/>
    <row r="539" hidden="1" outlineLevel="1"/>
    <row r="540" hidden="1" outlineLevel="1"/>
    <row r="541" hidden="1" outlineLevel="1"/>
    <row r="542" hidden="1" outlineLevel="1"/>
    <row r="543" hidden="1" outlineLevel="1"/>
    <row r="544" hidden="1" outlineLevel="1"/>
    <row r="545" hidden="1" outlineLevel="1"/>
    <row r="546" hidden="1" outlineLevel="1"/>
    <row r="547" hidden="1" outlineLevel="1"/>
    <row r="548" hidden="1" outlineLevel="1"/>
    <row r="549" hidden="1" outlineLevel="1"/>
    <row r="550" hidden="1" outlineLevel="1"/>
    <row r="551" hidden="1" outlineLevel="1"/>
    <row r="552" hidden="1" outlineLevel="1"/>
    <row r="553" hidden="1" outlineLevel="1"/>
    <row r="554" hidden="1" outlineLevel="1"/>
    <row r="555" hidden="1" outlineLevel="1"/>
    <row r="556" hidden="1" outlineLevel="1"/>
    <row r="557" hidden="1" outlineLevel="1"/>
    <row r="558" hidden="1" outlineLevel="1"/>
    <row r="559" hidden="1" outlineLevel="1"/>
    <row r="560" hidden="1" outlineLevel="1"/>
    <row r="561" hidden="1" outlineLevel="1"/>
    <row r="562" hidden="1" outlineLevel="1"/>
    <row r="563" hidden="1" outlineLevel="1"/>
    <row r="564" hidden="1" outlineLevel="1"/>
    <row r="565" hidden="1" outlineLevel="1"/>
    <row r="566" hidden="1" outlineLevel="1"/>
    <row r="567" hidden="1" outlineLevel="1"/>
    <row r="568" hidden="1" outlineLevel="1"/>
    <row r="569" hidden="1" outlineLevel="1"/>
    <row r="570" hidden="1" outlineLevel="1"/>
    <row r="571" hidden="1" outlineLevel="1"/>
    <row r="572" hidden="1" outlineLevel="1"/>
    <row r="573" hidden="1" outlineLevel="1"/>
    <row r="574" hidden="1" outlineLevel="1"/>
    <row r="575" hidden="1" outlineLevel="1"/>
    <row r="576" hidden="1" outlineLevel="1"/>
    <row r="577" hidden="1" outlineLevel="1"/>
    <row r="578" hidden="1" outlineLevel="1"/>
    <row r="579" hidden="1" outlineLevel="1"/>
    <row r="580" hidden="1" outlineLevel="1"/>
    <row r="581" hidden="1" outlineLevel="1"/>
    <row r="582" hidden="1" outlineLevel="1"/>
    <row r="583" hidden="1" outlineLevel="1"/>
    <row r="584" hidden="1" outlineLevel="1"/>
    <row r="585" hidden="1" outlineLevel="1"/>
    <row r="586" hidden="1" outlineLevel="1"/>
    <row r="587" hidden="1" outlineLevel="1"/>
    <row r="588" hidden="1" outlineLevel="1"/>
    <row r="589" hidden="1" outlineLevel="1"/>
    <row r="590" hidden="1" outlineLevel="1"/>
    <row r="591" hidden="1" outlineLevel="1"/>
    <row r="592" hidden="1" outlineLevel="1"/>
    <row r="593" hidden="1" outlineLevel="1"/>
    <row r="594" hidden="1" outlineLevel="1"/>
    <row r="595" hidden="1" outlineLevel="1"/>
    <row r="596" hidden="1" outlineLevel="1"/>
    <row r="597" hidden="1" outlineLevel="1"/>
    <row r="598" hidden="1" outlineLevel="1"/>
    <row r="599" hidden="1" outlineLevel="1"/>
    <row r="600" hidden="1" outlineLevel="1"/>
    <row r="601" hidden="1" outlineLevel="1"/>
    <row r="602" hidden="1" outlineLevel="1"/>
    <row r="603" hidden="1" outlineLevel="1"/>
    <row r="604" hidden="1" outlineLevel="1"/>
    <row r="605" hidden="1" outlineLevel="1"/>
    <row r="606" hidden="1" outlineLevel="1"/>
    <row r="607" hidden="1" outlineLevel="1"/>
    <row r="608" hidden="1" outlineLevel="1"/>
    <row r="609" hidden="1" outlineLevel="1"/>
    <row r="610" hidden="1" outlineLevel="1"/>
    <row r="611" hidden="1" outlineLevel="1"/>
    <row r="612" hidden="1" outlineLevel="1"/>
    <row r="613" hidden="1" outlineLevel="1"/>
    <row r="614" hidden="1" outlineLevel="1"/>
    <row r="615" hidden="1" outlineLevel="1"/>
    <row r="616" hidden="1" outlineLevel="1"/>
    <row r="617" hidden="1" outlineLevel="1"/>
    <row r="618" hidden="1" outlineLevel="1"/>
    <row r="619" hidden="1" outlineLevel="1"/>
    <row r="620" hidden="1" outlineLevel="1"/>
    <row r="621" hidden="1" outlineLevel="1"/>
    <row r="622" hidden="1" outlineLevel="1"/>
    <row r="623" hidden="1" outlineLevel="1"/>
    <row r="624" hidden="1" outlineLevel="1"/>
    <row r="625" hidden="1" outlineLevel="1"/>
    <row r="626" hidden="1" outlineLevel="1"/>
    <row r="627" hidden="1" outlineLevel="1"/>
    <row r="628" hidden="1" outlineLevel="1"/>
    <row r="629" hidden="1" outlineLevel="1"/>
    <row r="630" hidden="1" outlineLevel="1"/>
    <row r="631" hidden="1" outlineLevel="1"/>
    <row r="632" hidden="1" outlineLevel="1"/>
    <row r="633" hidden="1" outlineLevel="1"/>
    <row r="634" hidden="1" outlineLevel="1"/>
    <row r="635" hidden="1" outlineLevel="1"/>
    <row r="636" hidden="1" outlineLevel="1"/>
    <row r="637" hidden="1" outlineLevel="1"/>
    <row r="638" hidden="1" outlineLevel="1"/>
    <row r="639" hidden="1" outlineLevel="1"/>
    <row r="640" hidden="1" outlineLevel="1"/>
    <row r="641" hidden="1" outlineLevel="1"/>
    <row r="642" hidden="1" outlineLevel="1"/>
    <row r="643" hidden="1" outlineLevel="1"/>
    <row r="644" hidden="1" outlineLevel="1"/>
    <row r="645" hidden="1" outlineLevel="1"/>
    <row r="646" hidden="1" outlineLevel="1"/>
    <row r="647" hidden="1" outlineLevel="1"/>
    <row r="648" hidden="1" outlineLevel="1"/>
    <row r="649" hidden="1" outlineLevel="1"/>
    <row r="650" hidden="1" outlineLevel="1"/>
    <row r="651" hidden="1" outlineLevel="1"/>
    <row r="652" hidden="1" outlineLevel="1"/>
    <row r="653" hidden="1" outlineLevel="1"/>
    <row r="654" hidden="1" outlineLevel="1"/>
    <row r="655" hidden="1" outlineLevel="1"/>
    <row r="656" hidden="1" outlineLevel="1"/>
    <row r="657" hidden="1" outlineLevel="1"/>
    <row r="658" hidden="1" outlineLevel="1"/>
    <row r="659" hidden="1" outlineLevel="1"/>
    <row r="660" hidden="1" outlineLevel="1"/>
    <row r="661" hidden="1" outlineLevel="1"/>
    <row r="662" hidden="1" outlineLevel="1"/>
    <row r="663" hidden="1" outlineLevel="1"/>
    <row r="664" hidden="1" outlineLevel="1"/>
    <row r="665" hidden="1" outlineLevel="1"/>
    <row r="666" hidden="1" outlineLevel="1"/>
    <row r="667" hidden="1" outlineLevel="1"/>
    <row r="668" hidden="1" outlineLevel="1"/>
    <row r="669" hidden="1" outlineLevel="1"/>
    <row r="670" hidden="1" outlineLevel="1"/>
    <row r="671" hidden="1" outlineLevel="1"/>
    <row r="672" hidden="1" outlineLevel="1"/>
    <row r="673" hidden="1" outlineLevel="1"/>
    <row r="674" hidden="1" outlineLevel="1"/>
    <row r="675" hidden="1" outlineLevel="1"/>
    <row r="676" hidden="1" outlineLevel="1"/>
    <row r="677" hidden="1" outlineLevel="1"/>
    <row r="678" hidden="1" outlineLevel="1"/>
    <row r="679" hidden="1" outlineLevel="1"/>
    <row r="680" hidden="1" outlineLevel="1"/>
    <row r="681" hidden="1" outlineLevel="1"/>
    <row r="682" hidden="1" outlineLevel="1"/>
    <row r="683" hidden="1" outlineLevel="1"/>
    <row r="684" hidden="1" outlineLevel="1"/>
    <row r="685" hidden="1" outlineLevel="1"/>
    <row r="686" hidden="1" outlineLevel="1"/>
    <row r="687" hidden="1" outlineLevel="1"/>
    <row r="688" hidden="1" outlineLevel="1"/>
    <row r="689" hidden="1" outlineLevel="1"/>
    <row r="690" hidden="1" outlineLevel="1"/>
    <row r="691" hidden="1" outlineLevel="1"/>
    <row r="692" hidden="1" outlineLevel="1"/>
    <row r="693" hidden="1" outlineLevel="1"/>
    <row r="694" hidden="1" outlineLevel="1"/>
    <row r="695" hidden="1" outlineLevel="1"/>
    <row r="696" hidden="1" outlineLevel="1"/>
    <row r="697" hidden="1" outlineLevel="1"/>
    <row r="698" hidden="1" outlineLevel="1"/>
    <row r="699" hidden="1" outlineLevel="1"/>
    <row r="700" hidden="1" outlineLevel="1"/>
    <row r="701" hidden="1" outlineLevel="1"/>
    <row r="702" hidden="1" outlineLevel="1"/>
    <row r="703" hidden="1" outlineLevel="1"/>
    <row r="704" hidden="1" outlineLevel="1"/>
    <row r="705" hidden="1" outlineLevel="1"/>
    <row r="706" hidden="1" outlineLevel="1"/>
    <row r="707" hidden="1" outlineLevel="1"/>
    <row r="708" hidden="1" outlineLevel="1"/>
    <row r="709" hidden="1" outlineLevel="1"/>
    <row r="710" hidden="1" outlineLevel="1"/>
    <row r="711" hidden="1" outlineLevel="1"/>
    <row r="712" hidden="1" outlineLevel="1"/>
    <row r="713" hidden="1" outlineLevel="1"/>
    <row r="714" hidden="1" outlineLevel="1"/>
    <row r="715" hidden="1" outlineLevel="1"/>
    <row r="716" hidden="1" outlineLevel="1"/>
    <row r="717" hidden="1" outlineLevel="1"/>
    <row r="718" hidden="1" outlineLevel="1"/>
    <row r="719" hidden="1" outlineLevel="1"/>
    <row r="720" hidden="1" outlineLevel="1"/>
    <row r="721" hidden="1" outlineLevel="1"/>
    <row r="722" hidden="1" outlineLevel="1"/>
    <row r="723" hidden="1" outlineLevel="1"/>
    <row r="724" hidden="1" outlineLevel="1"/>
    <row r="725" hidden="1" outlineLevel="1"/>
    <row r="726" hidden="1" outlineLevel="1"/>
    <row r="727" hidden="1" outlineLevel="1"/>
    <row r="728" hidden="1" outlineLevel="1"/>
    <row r="729" hidden="1" outlineLevel="1"/>
    <row r="730" hidden="1" outlineLevel="1"/>
    <row r="731" hidden="1" outlineLevel="1"/>
    <row r="732" hidden="1" outlineLevel="1"/>
    <row r="733" hidden="1" outlineLevel="1"/>
    <row r="734" hidden="1" outlineLevel="1"/>
    <row r="735" hidden="1" outlineLevel="1"/>
    <row r="736" hidden="1" outlineLevel="1"/>
    <row r="737" hidden="1" outlineLevel="1"/>
    <row r="738" hidden="1" outlineLevel="1"/>
    <row r="739" hidden="1" outlineLevel="1"/>
    <row r="740" hidden="1" outlineLevel="1"/>
    <row r="741" hidden="1" outlineLevel="1"/>
    <row r="742" hidden="1" outlineLevel="1"/>
    <row r="743" hidden="1" outlineLevel="1"/>
    <row r="744" hidden="1" outlineLevel="1"/>
    <row r="745" hidden="1" outlineLevel="1"/>
    <row r="746" hidden="1" outlineLevel="1"/>
    <row r="747" hidden="1" outlineLevel="1"/>
    <row r="748" hidden="1" outlineLevel="1"/>
    <row r="749" hidden="1" outlineLevel="1"/>
    <row r="750" hidden="1" outlineLevel="1"/>
    <row r="751" hidden="1" outlineLevel="1"/>
    <row r="752" hidden="1" outlineLevel="1"/>
    <row r="753" hidden="1" outlineLevel="1"/>
    <row r="754" hidden="1" outlineLevel="1"/>
    <row r="755" hidden="1" outlineLevel="1"/>
    <row r="756" hidden="1" outlineLevel="1"/>
    <row r="757" hidden="1" outlineLevel="1"/>
    <row r="758" hidden="1" outlineLevel="1"/>
    <row r="759" hidden="1" outlineLevel="1"/>
    <row r="760" hidden="1" outlineLevel="1"/>
    <row r="761" hidden="1" outlineLevel="1"/>
    <row r="762" hidden="1" outlineLevel="1"/>
    <row r="763" hidden="1" outlineLevel="1"/>
    <row r="764" hidden="1" outlineLevel="1"/>
    <row r="765" hidden="1" outlineLevel="1"/>
    <row r="766" hidden="1" outlineLevel="1"/>
    <row r="767" hidden="1" outlineLevel="1"/>
    <row r="768" hidden="1" outlineLevel="1"/>
    <row r="769" hidden="1" outlineLevel="1"/>
    <row r="770" hidden="1" outlineLevel="1"/>
    <row r="771" hidden="1" outlineLevel="1"/>
    <row r="772" hidden="1" outlineLevel="1"/>
    <row r="773" hidden="1" outlineLevel="1"/>
    <row r="774" hidden="1" outlineLevel="1"/>
    <row r="775" hidden="1" outlineLevel="1"/>
    <row r="776" hidden="1" outlineLevel="1"/>
    <row r="777" hidden="1" outlineLevel="1"/>
    <row r="778" hidden="1" outlineLevel="1"/>
    <row r="779" hidden="1" outlineLevel="1"/>
    <row r="780" hidden="1" outlineLevel="1"/>
    <row r="781" hidden="1" outlineLevel="1"/>
    <row r="782" hidden="1" outlineLevel="1"/>
    <row r="783" hidden="1" outlineLevel="1"/>
    <row r="784" hidden="1" outlineLevel="1"/>
    <row r="785" hidden="1" outlineLevel="1"/>
    <row r="786" hidden="1" outlineLevel="1"/>
    <row r="787" hidden="1" outlineLevel="1"/>
    <row r="788" hidden="1" outlineLevel="1"/>
    <row r="789" hidden="1" outlineLevel="1"/>
    <row r="790" hidden="1" outlineLevel="1"/>
    <row r="791" hidden="1" outlineLevel="1"/>
    <row r="792" hidden="1" outlineLevel="1"/>
    <row r="793" hidden="1" outlineLevel="1"/>
    <row r="794" hidden="1" outlineLevel="1"/>
    <row r="795" hidden="1" outlineLevel="1"/>
    <row r="796" hidden="1" outlineLevel="1"/>
    <row r="797" hidden="1" outlineLevel="1"/>
    <row r="798" hidden="1" outlineLevel="1"/>
    <row r="799" hidden="1" outlineLevel="1"/>
    <row r="800" hidden="1" outlineLevel="1"/>
    <row r="801" hidden="1" outlineLevel="1"/>
    <row r="802" hidden="1" outlineLevel="1"/>
    <row r="803" hidden="1" outlineLevel="1"/>
    <row r="804" hidden="1" outlineLevel="1"/>
    <row r="805" hidden="1" outlineLevel="1"/>
    <row r="806" hidden="1" outlineLevel="1"/>
    <row r="807" hidden="1" outlineLevel="1"/>
    <row r="808" hidden="1" outlineLevel="1"/>
    <row r="809" hidden="1" outlineLevel="1"/>
    <row r="810" hidden="1" outlineLevel="1"/>
    <row r="811" hidden="1" outlineLevel="1"/>
    <row r="812" hidden="1" outlineLevel="1"/>
    <row r="813" hidden="1" outlineLevel="1"/>
    <row r="814" hidden="1" outlineLevel="1"/>
    <row r="815" hidden="1" outlineLevel="1"/>
    <row r="816" hidden="1" outlineLevel="1"/>
    <row r="817" hidden="1" outlineLevel="1"/>
    <row r="818" hidden="1" outlineLevel="1"/>
    <row r="819" hidden="1" outlineLevel="1"/>
    <row r="820" hidden="1" outlineLevel="1"/>
    <row r="821" hidden="1" outlineLevel="1"/>
    <row r="822" hidden="1" outlineLevel="1"/>
    <row r="823" hidden="1" outlineLevel="1"/>
    <row r="824" hidden="1" outlineLevel="1"/>
    <row r="825" hidden="1" outlineLevel="1"/>
    <row r="826" hidden="1" outlineLevel="1"/>
    <row r="827" hidden="1" outlineLevel="1"/>
    <row r="828" hidden="1" outlineLevel="1"/>
    <row r="829" hidden="1" outlineLevel="1"/>
    <row r="830" hidden="1" outlineLevel="1"/>
    <row r="831" hidden="1" outlineLevel="1"/>
    <row r="832" hidden="1" outlineLevel="1"/>
    <row r="833" hidden="1" outlineLevel="1"/>
    <row r="834" hidden="1" outlineLevel="1"/>
    <row r="835" hidden="1" outlineLevel="1"/>
    <row r="836" hidden="1" outlineLevel="1"/>
    <row r="837" hidden="1" outlineLevel="1"/>
    <row r="838" hidden="1" outlineLevel="1"/>
    <row r="839" hidden="1" outlineLevel="1"/>
    <row r="840" hidden="1" outlineLevel="1"/>
    <row r="841" hidden="1" outlineLevel="1"/>
    <row r="842" hidden="1" outlineLevel="1"/>
    <row r="843" hidden="1" outlineLevel="1"/>
    <row r="844" hidden="1" outlineLevel="1"/>
    <row r="845" hidden="1" outlineLevel="1"/>
    <row r="846" hidden="1" outlineLevel="1"/>
    <row r="847" hidden="1" outlineLevel="1"/>
    <row r="848" hidden="1" outlineLevel="1"/>
    <row r="849" hidden="1" outlineLevel="1"/>
    <row r="850" hidden="1" outlineLevel="1"/>
    <row r="851" hidden="1" outlineLevel="1"/>
    <row r="852" hidden="1" outlineLevel="1"/>
    <row r="853" hidden="1" outlineLevel="1"/>
    <row r="854" hidden="1" outlineLevel="1"/>
    <row r="855" hidden="1" outlineLevel="1"/>
    <row r="856" hidden="1" outlineLevel="1"/>
    <row r="857" hidden="1" outlineLevel="1"/>
    <row r="858" hidden="1" outlineLevel="1"/>
    <row r="859" hidden="1" outlineLevel="1"/>
    <row r="860" hidden="1" outlineLevel="1"/>
    <row r="861" hidden="1" outlineLevel="1"/>
    <row r="862" hidden="1" outlineLevel="1"/>
    <row r="863" hidden="1" outlineLevel="1"/>
    <row r="864" hidden="1" outlineLevel="1"/>
    <row r="865" hidden="1" outlineLevel="1"/>
    <row r="866" hidden="1" outlineLevel="1"/>
    <row r="867" hidden="1" outlineLevel="1"/>
    <row r="868" hidden="1" outlineLevel="1"/>
    <row r="869" hidden="1" outlineLevel="1"/>
    <row r="870" hidden="1" outlineLevel="1"/>
    <row r="871" hidden="1" outlineLevel="1"/>
    <row r="872" hidden="1" outlineLevel="1"/>
    <row r="873" hidden="1" outlineLevel="1"/>
    <row r="874" hidden="1" outlineLevel="1"/>
    <row r="875" hidden="1" outlineLevel="1"/>
    <row r="876" hidden="1" outlineLevel="1"/>
    <row r="877" hidden="1" outlineLevel="1"/>
    <row r="878" hidden="1" outlineLevel="1"/>
    <row r="879" hidden="1" outlineLevel="1"/>
    <row r="880" hidden="1" outlineLevel="1"/>
    <row r="881" hidden="1" outlineLevel="1"/>
    <row r="882" hidden="1" outlineLevel="1"/>
    <row r="883" hidden="1" outlineLevel="1"/>
    <row r="884" hidden="1" outlineLevel="1"/>
    <row r="885" hidden="1" outlineLevel="1"/>
    <row r="886" hidden="1" outlineLevel="1"/>
    <row r="887" hidden="1" outlineLevel="1"/>
    <row r="888" hidden="1" outlineLevel="1"/>
    <row r="889" hidden="1" outlineLevel="1"/>
    <row r="890" hidden="1" outlineLevel="1"/>
    <row r="891" hidden="1" outlineLevel="1"/>
    <row r="892" hidden="1" outlineLevel="1"/>
    <row r="893" hidden="1" outlineLevel="1"/>
    <row r="894" hidden="1" outlineLevel="1"/>
    <row r="895" hidden="1" outlineLevel="1"/>
    <row r="896" hidden="1" outlineLevel="1"/>
    <row r="897" hidden="1" outlineLevel="1"/>
    <row r="898" hidden="1" outlineLevel="1"/>
    <row r="899" hidden="1" outlineLevel="1"/>
    <row r="900" hidden="1" outlineLevel="1"/>
    <row r="901" hidden="1" outlineLevel="1"/>
    <row r="902" hidden="1" outlineLevel="1"/>
    <row r="903" hidden="1" outlineLevel="1"/>
    <row r="904" hidden="1" outlineLevel="1"/>
    <row r="905" hidden="1" outlineLevel="1"/>
    <row r="906" hidden="1" outlineLevel="1"/>
    <row r="907" hidden="1" outlineLevel="1"/>
    <row r="908" hidden="1" outlineLevel="1"/>
    <row r="909" hidden="1" outlineLevel="1"/>
    <row r="910" hidden="1" outlineLevel="1"/>
    <row r="911" hidden="1" outlineLevel="1"/>
    <row r="912" hidden="1" outlineLevel="1"/>
    <row r="913" hidden="1" outlineLevel="1"/>
    <row r="914" hidden="1" outlineLevel="1"/>
    <row r="915" hidden="1" outlineLevel="1"/>
    <row r="916" hidden="1" outlineLevel="1"/>
    <row r="917" hidden="1" outlineLevel="1"/>
    <row r="918" hidden="1" outlineLevel="1"/>
    <row r="919" hidden="1" outlineLevel="1"/>
    <row r="920" hidden="1" outlineLevel="1"/>
    <row r="921" hidden="1" outlineLevel="1"/>
    <row r="922" hidden="1" outlineLevel="1"/>
    <row r="923" hidden="1" outlineLevel="1"/>
    <row r="924" hidden="1" outlineLevel="1"/>
    <row r="925" hidden="1" outlineLevel="1"/>
    <row r="926" hidden="1" outlineLevel="1"/>
    <row r="927" hidden="1" outlineLevel="1"/>
    <row r="928" hidden="1" outlineLevel="1"/>
    <row r="929" hidden="1" outlineLevel="1"/>
    <row r="930" hidden="1" outlineLevel="1"/>
    <row r="931" hidden="1" outlineLevel="1"/>
    <row r="932" hidden="1" outlineLevel="1"/>
    <row r="933" hidden="1" outlineLevel="1"/>
    <row r="934" hidden="1" outlineLevel="1"/>
    <row r="935" hidden="1" outlineLevel="1"/>
    <row r="936" hidden="1" outlineLevel="1"/>
    <row r="937" hidden="1" outlineLevel="1"/>
    <row r="938" hidden="1" outlineLevel="1"/>
    <row r="939" hidden="1" outlineLevel="1"/>
    <row r="940" hidden="1" outlineLevel="1"/>
    <row r="941" hidden="1" outlineLevel="1"/>
    <row r="942" hidden="1" outlineLevel="1"/>
    <row r="943" hidden="1" outlineLevel="1"/>
    <row r="944" hidden="1" outlineLevel="1"/>
    <row r="945" hidden="1" outlineLevel="1"/>
    <row r="946" hidden="1" outlineLevel="1"/>
    <row r="947" hidden="1" outlineLevel="1"/>
    <row r="948" hidden="1" outlineLevel="1"/>
    <row r="949" hidden="1" outlineLevel="1"/>
    <row r="950" hidden="1" outlineLevel="1"/>
    <row r="951" hidden="1" outlineLevel="1"/>
    <row r="952" hidden="1" outlineLevel="1"/>
    <row r="953" hidden="1" outlineLevel="1"/>
    <row r="954" hidden="1" outlineLevel="1"/>
    <row r="955" hidden="1" outlineLevel="1"/>
    <row r="956" hidden="1" outlineLevel="1"/>
    <row r="957" hidden="1" outlineLevel="1"/>
    <row r="958" hidden="1" outlineLevel="1"/>
    <row r="959" hidden="1" outlineLevel="1"/>
    <row r="960" hidden="1" outlineLevel="1"/>
    <row r="961" hidden="1" outlineLevel="1"/>
    <row r="962" hidden="1" outlineLevel="1"/>
    <row r="963" hidden="1" outlineLevel="1"/>
    <row r="964" hidden="1" outlineLevel="1"/>
    <row r="965" hidden="1" outlineLevel="1"/>
    <row r="966" hidden="1" outlineLevel="1"/>
    <row r="967" hidden="1" outlineLevel="1"/>
    <row r="968" hidden="1" outlineLevel="1"/>
    <row r="969" hidden="1" outlineLevel="1"/>
    <row r="970" hidden="1" outlineLevel="1"/>
    <row r="971" hidden="1" outlineLevel="1"/>
    <row r="972" hidden="1" outlineLevel="1"/>
    <row r="973" hidden="1" outlineLevel="1"/>
    <row r="974" hidden="1" outlineLevel="1"/>
    <row r="975" hidden="1" outlineLevel="1"/>
    <row r="976" hidden="1" outlineLevel="1"/>
    <row r="977" hidden="1" outlineLevel="1"/>
    <row r="978" hidden="1" outlineLevel="1"/>
    <row r="979" hidden="1" outlineLevel="1"/>
    <row r="980" hidden="1" outlineLevel="1"/>
    <row r="981" hidden="1" outlineLevel="1"/>
    <row r="982" hidden="1" outlineLevel="1"/>
    <row r="983" hidden="1" outlineLevel="1"/>
    <row r="984" hidden="1" outlineLevel="1"/>
    <row r="985" hidden="1" outlineLevel="1"/>
    <row r="986" hidden="1" outlineLevel="1"/>
    <row r="987" hidden="1" outlineLevel="1"/>
    <row r="988" hidden="1" outlineLevel="1"/>
    <row r="989" hidden="1" outlineLevel="1"/>
    <row r="990" hidden="1" outlineLevel="1"/>
    <row r="991" hidden="1" outlineLevel="1"/>
    <row r="992" hidden="1" outlineLevel="1"/>
    <row r="993" hidden="1" outlineLevel="1"/>
    <row r="994" hidden="1" outlineLevel="1"/>
    <row r="995" hidden="1" outlineLevel="1"/>
    <row r="996" hidden="1" outlineLevel="1"/>
    <row r="997" hidden="1" outlineLevel="1"/>
    <row r="998" hidden="1" outlineLevel="1"/>
    <row r="999" hidden="1" outlineLevel="1"/>
    <row r="1000" hidden="1" outlineLevel="1"/>
    <row r="1001" hidden="1" outlineLevel="1"/>
    <row r="1002" hidden="1" outlineLevel="1"/>
    <row r="1003" hidden="1" outlineLevel="1"/>
    <row r="1004" hidden="1" outlineLevel="1"/>
    <row r="1005" hidden="1" outlineLevel="1"/>
    <row r="1006" hidden="1" outlineLevel="1"/>
    <row r="1007" hidden="1" outlineLevel="1"/>
    <row r="1008" hidden="1" outlineLevel="1"/>
    <row r="1009" hidden="1" outlineLevel="1"/>
    <row r="1010" hidden="1" outlineLevel="1"/>
    <row r="1011" hidden="1" outlineLevel="1"/>
    <row r="1012" hidden="1" outlineLevel="1"/>
    <row r="1013" hidden="1" outlineLevel="1"/>
    <row r="1014" hidden="1" outlineLevel="1"/>
    <row r="1015" hidden="1" outlineLevel="1"/>
    <row r="1016" hidden="1" outlineLevel="1"/>
    <row r="1017" hidden="1" outlineLevel="1"/>
    <row r="1018" hidden="1" outlineLevel="1"/>
    <row r="1019" hidden="1" outlineLevel="1"/>
    <row r="1020" hidden="1" outlineLevel="1"/>
    <row r="1021" hidden="1" outlineLevel="1"/>
    <row r="1022" hidden="1" outlineLevel="1"/>
    <row r="1023" hidden="1" outlineLevel="1"/>
    <row r="1024" hidden="1" outlineLevel="1"/>
    <row r="1025" hidden="1" outlineLevel="1"/>
    <row r="1026" hidden="1" outlineLevel="1"/>
    <row r="1027" hidden="1" outlineLevel="1"/>
    <row r="1028" hidden="1" outlineLevel="1"/>
    <row r="1029" hidden="1" outlineLevel="1"/>
    <row r="1030" hidden="1" outlineLevel="1"/>
    <row r="1031" hidden="1" outlineLevel="1"/>
    <row r="1032" hidden="1" outlineLevel="1"/>
    <row r="1033" hidden="1" outlineLevel="1"/>
    <row r="1034" hidden="1" outlineLevel="1"/>
    <row r="1035" hidden="1" outlineLevel="1"/>
    <row r="1036" hidden="1" outlineLevel="1"/>
    <row r="1037" hidden="1" outlineLevel="1"/>
    <row r="1038" hidden="1" outlineLevel="1"/>
    <row r="1039" hidden="1" outlineLevel="1"/>
    <row r="1040" hidden="1" outlineLevel="1"/>
    <row r="1041" hidden="1" outlineLevel="1"/>
    <row r="1042" hidden="1" outlineLevel="1"/>
    <row r="1043" hidden="1" outlineLevel="1"/>
    <row r="1044" hidden="1" outlineLevel="1"/>
    <row r="1045" hidden="1" outlineLevel="1"/>
    <row r="1046" hidden="1" outlineLevel="1"/>
    <row r="1047" hidden="1" outlineLevel="1"/>
    <row r="1048" hidden="1" outlineLevel="1"/>
    <row r="1049" hidden="1" outlineLevel="1"/>
    <row r="1050" hidden="1" outlineLevel="1"/>
    <row r="1051" hidden="1" outlineLevel="1"/>
    <row r="1052" hidden="1" outlineLevel="1"/>
    <row r="1053" hidden="1" outlineLevel="1"/>
    <row r="1054" hidden="1" outlineLevel="1"/>
    <row r="1055" hidden="1" outlineLevel="1"/>
    <row r="1056" hidden="1" outlineLevel="1"/>
    <row r="1057" hidden="1" outlineLevel="1"/>
    <row r="1058" hidden="1" outlineLevel="1"/>
    <row r="1059" hidden="1" outlineLevel="1"/>
    <row r="1060" hidden="1" outlineLevel="1"/>
    <row r="1061" hidden="1" outlineLevel="1"/>
    <row r="1062" hidden="1" outlineLevel="1"/>
    <row r="1063" hidden="1" outlineLevel="1"/>
    <row r="1064" hidden="1" outlineLevel="1"/>
    <row r="1065" hidden="1" outlineLevel="1"/>
    <row r="1066" hidden="1" outlineLevel="1"/>
    <row r="1067" hidden="1" outlineLevel="1"/>
    <row r="1068" hidden="1" outlineLevel="1"/>
    <row r="1069" hidden="1" outlineLevel="1"/>
    <row r="1070" hidden="1" outlineLevel="1"/>
    <row r="1071" hidden="1" outlineLevel="1"/>
    <row r="1072" hidden="1" outlineLevel="1"/>
    <row r="1073" hidden="1" outlineLevel="1"/>
    <row r="1074" hidden="1" outlineLevel="1"/>
    <row r="1075" hidden="1" outlineLevel="1"/>
    <row r="1076" hidden="1" outlineLevel="1"/>
    <row r="1077" hidden="1" outlineLevel="1"/>
    <row r="1078" hidden="1" outlineLevel="1"/>
    <row r="1079" hidden="1" outlineLevel="1"/>
    <row r="1080" hidden="1" outlineLevel="1"/>
    <row r="1081" hidden="1" outlineLevel="1"/>
    <row r="1082" hidden="1" outlineLevel="1"/>
    <row r="1083" hidden="1" outlineLevel="1"/>
    <row r="1084" hidden="1" outlineLevel="1"/>
    <row r="1085" hidden="1" outlineLevel="1"/>
    <row r="1086" hidden="1" outlineLevel="1"/>
    <row r="1087" hidden="1" outlineLevel="1"/>
    <row r="1088" hidden="1" outlineLevel="1"/>
    <row r="1089" hidden="1" outlineLevel="1"/>
    <row r="1090" hidden="1" outlineLevel="1"/>
    <row r="1091" hidden="1" outlineLevel="1"/>
    <row r="1092" hidden="1" outlineLevel="1"/>
    <row r="1093" hidden="1" outlineLevel="1"/>
    <row r="1094" hidden="1" outlineLevel="1"/>
    <row r="1095" hidden="1" outlineLevel="1"/>
    <row r="1096" hidden="1" outlineLevel="1"/>
    <row r="1097" hidden="1" outlineLevel="1"/>
    <row r="1098" hidden="1" outlineLevel="1"/>
    <row r="1099" hidden="1" outlineLevel="1"/>
    <row r="1100" hidden="1" outlineLevel="1"/>
    <row r="1101" hidden="1" outlineLevel="1"/>
    <row r="1102" hidden="1" outlineLevel="1"/>
    <row r="1103" hidden="1" outlineLevel="1"/>
    <row r="1104" hidden="1" outlineLevel="1"/>
    <row r="1105" hidden="1" outlineLevel="1"/>
    <row r="1106" hidden="1" outlineLevel="1"/>
    <row r="1107" hidden="1" outlineLevel="1"/>
    <row r="1108" hidden="1" outlineLevel="1"/>
    <row r="1109" hidden="1" outlineLevel="1"/>
    <row r="1110" hidden="1" outlineLevel="1"/>
    <row r="1111" hidden="1" outlineLevel="1"/>
    <row r="1112" hidden="1" outlineLevel="1"/>
    <row r="1113" hidden="1" outlineLevel="1"/>
    <row r="1114" hidden="1" outlineLevel="1"/>
    <row r="1115" hidden="1" outlineLevel="1"/>
    <row r="1116" hidden="1" outlineLevel="1"/>
    <row r="1117" hidden="1" outlineLevel="1"/>
    <row r="1118" hidden="1" outlineLevel="1"/>
    <row r="1119" hidden="1" outlineLevel="1"/>
    <row r="1120" hidden="1" outlineLevel="1"/>
    <row r="1121" hidden="1" outlineLevel="1"/>
    <row r="1122" hidden="1" outlineLevel="1"/>
    <row r="1123" hidden="1" outlineLevel="1"/>
    <row r="1124" hidden="1" outlineLevel="1"/>
    <row r="1125" hidden="1" outlineLevel="1"/>
    <row r="1126" hidden="1" outlineLevel="1"/>
    <row r="1127" hidden="1" outlineLevel="1"/>
    <row r="1128" hidden="1" outlineLevel="1"/>
    <row r="1129" hidden="1" outlineLevel="1"/>
    <row r="1130" hidden="1" outlineLevel="1"/>
    <row r="1131" hidden="1" outlineLevel="1"/>
    <row r="1132" hidden="1" outlineLevel="1"/>
    <row r="1133" hidden="1" outlineLevel="1"/>
    <row r="1134" hidden="1" outlineLevel="1"/>
    <row r="1135" hidden="1" outlineLevel="1"/>
    <row r="1136" hidden="1" outlineLevel="1"/>
    <row r="1137" hidden="1" outlineLevel="1"/>
    <row r="1138" hidden="1" outlineLevel="1"/>
    <row r="1139" hidden="1" outlineLevel="1"/>
    <row r="1140" hidden="1" outlineLevel="1"/>
    <row r="1141" hidden="1" outlineLevel="1"/>
    <row r="1142" hidden="1" outlineLevel="1"/>
    <row r="1143" hidden="1" outlineLevel="1"/>
    <row r="1144" hidden="1" outlineLevel="1"/>
    <row r="1145" hidden="1" outlineLevel="1"/>
    <row r="1146" hidden="1" outlineLevel="1"/>
    <row r="1147" hidden="1" outlineLevel="1"/>
    <row r="1148" hidden="1" outlineLevel="1"/>
    <row r="1149" hidden="1" outlineLevel="1"/>
    <row r="1150" hidden="1" outlineLevel="1"/>
    <row r="1151" hidden="1" outlineLevel="1"/>
    <row r="1152" hidden="1" outlineLevel="1"/>
    <row r="1153" hidden="1" outlineLevel="1"/>
    <row r="1154" hidden="1" outlineLevel="1"/>
    <row r="1155" hidden="1" outlineLevel="1"/>
    <row r="1156" hidden="1" outlineLevel="1"/>
    <row r="1157" hidden="1" outlineLevel="1"/>
    <row r="1158" hidden="1" outlineLevel="1"/>
    <row r="1159" hidden="1" outlineLevel="1"/>
    <row r="1160" hidden="1" outlineLevel="1"/>
    <row r="1161" hidden="1" outlineLevel="1"/>
    <row r="1162" hidden="1" outlineLevel="1"/>
    <row r="1163" hidden="1" outlineLevel="1"/>
    <row r="1164" hidden="1" outlineLevel="1"/>
    <row r="1165" hidden="1" outlineLevel="1"/>
    <row r="1166" hidden="1" outlineLevel="1"/>
    <row r="1167" hidden="1" outlineLevel="1"/>
    <row r="1168" hidden="1" outlineLevel="1"/>
    <row r="1169" hidden="1" outlineLevel="1"/>
    <row r="1170" hidden="1" outlineLevel="1"/>
    <row r="1171" hidden="1" outlineLevel="1"/>
    <row r="1172" hidden="1" outlineLevel="1"/>
    <row r="1173" hidden="1" outlineLevel="1"/>
    <row r="1174" hidden="1" outlineLevel="1"/>
    <row r="1175" hidden="1" outlineLevel="1"/>
    <row r="1176" hidden="1" outlineLevel="1"/>
    <row r="1177" hidden="1" outlineLevel="1"/>
    <row r="1178" hidden="1" outlineLevel="1"/>
    <row r="1179" hidden="1" outlineLevel="1"/>
    <row r="1180" hidden="1" outlineLevel="1"/>
    <row r="1181" hidden="1" outlineLevel="1"/>
    <row r="1182" hidden="1" outlineLevel="1"/>
    <row r="1183" hidden="1" outlineLevel="1"/>
    <row r="1184" hidden="1" outlineLevel="1"/>
    <row r="1185" hidden="1" outlineLevel="1"/>
    <row r="1186" hidden="1" outlineLevel="1"/>
    <row r="1187" hidden="1" outlineLevel="1"/>
    <row r="1188" hidden="1" outlineLevel="1"/>
    <row r="1189" hidden="1" outlineLevel="1"/>
    <row r="1190" hidden="1" outlineLevel="1"/>
    <row r="1191" hidden="1" outlineLevel="1"/>
    <row r="1192" hidden="1" outlineLevel="1"/>
    <row r="1193" hidden="1" outlineLevel="1"/>
    <row r="1194" hidden="1" outlineLevel="1"/>
    <row r="1195" hidden="1" outlineLevel="1"/>
    <row r="1196" hidden="1" outlineLevel="1"/>
    <row r="1197" hidden="1" outlineLevel="1"/>
    <row r="1198" hidden="1" outlineLevel="1"/>
    <row r="1199" hidden="1" outlineLevel="1"/>
    <row r="1200" hidden="1" outlineLevel="1"/>
    <row r="1201" hidden="1" outlineLevel="1"/>
    <row r="1202" hidden="1" outlineLevel="1"/>
    <row r="1203" hidden="1" outlineLevel="1"/>
    <row r="1204" hidden="1" outlineLevel="1"/>
    <row r="1205" hidden="1" outlineLevel="1"/>
    <row r="1206" hidden="1" outlineLevel="1"/>
    <row r="1207" hidden="1" outlineLevel="1"/>
    <row r="1208" hidden="1" outlineLevel="1"/>
    <row r="1209" hidden="1" outlineLevel="1"/>
    <row r="1210" hidden="1" outlineLevel="1"/>
    <row r="1211" hidden="1" outlineLevel="1"/>
    <row r="1212" hidden="1" outlineLevel="1"/>
    <row r="1213" hidden="1" outlineLevel="1"/>
    <row r="1214" hidden="1" outlineLevel="1"/>
    <row r="1215" hidden="1" outlineLevel="1"/>
    <row r="1216" hidden="1" outlineLevel="1"/>
    <row r="1217" hidden="1" outlineLevel="1"/>
    <row r="1218" hidden="1" outlineLevel="1"/>
    <row r="1219" hidden="1" outlineLevel="1"/>
    <row r="1220" hidden="1" outlineLevel="1"/>
    <row r="1221" hidden="1" outlineLevel="1"/>
    <row r="1222" hidden="1" outlineLevel="1"/>
    <row r="1223" hidden="1" outlineLevel="1"/>
    <row r="1224" hidden="1" outlineLevel="1"/>
    <row r="1225" hidden="1" outlineLevel="1"/>
    <row r="1226" hidden="1" outlineLevel="1"/>
    <row r="1227" hidden="1" outlineLevel="1"/>
    <row r="1228" hidden="1" outlineLevel="1"/>
    <row r="1229" hidden="1" outlineLevel="1"/>
    <row r="1230" hidden="1" outlineLevel="1"/>
    <row r="1231" hidden="1" outlineLevel="1"/>
    <row r="1232" hidden="1" outlineLevel="1"/>
    <row r="1233" hidden="1" outlineLevel="1"/>
    <row r="1234" hidden="1" outlineLevel="1"/>
    <row r="1235" hidden="1" outlineLevel="1"/>
    <row r="1236" hidden="1" outlineLevel="1"/>
    <row r="1237" hidden="1" outlineLevel="1"/>
    <row r="1238" hidden="1" outlineLevel="1"/>
    <row r="1239" hidden="1" outlineLevel="1"/>
    <row r="1240" hidden="1" outlineLevel="1"/>
    <row r="1241" hidden="1" outlineLevel="1"/>
    <row r="1242" hidden="1" outlineLevel="1"/>
    <row r="1243" hidden="1" outlineLevel="1"/>
    <row r="1244" hidden="1" outlineLevel="1"/>
    <row r="1245" hidden="1" outlineLevel="1"/>
    <row r="1246" hidden="1" outlineLevel="1"/>
    <row r="1247" hidden="1" outlineLevel="1"/>
    <row r="1248" hidden="1" outlineLevel="1"/>
    <row r="1249" hidden="1" outlineLevel="1"/>
    <row r="1250" hidden="1" outlineLevel="1"/>
    <row r="1251" hidden="1" outlineLevel="1"/>
    <row r="1252" hidden="1" outlineLevel="1"/>
    <row r="1253" hidden="1" outlineLevel="1"/>
    <row r="1254" hidden="1" outlineLevel="1"/>
    <row r="1255" hidden="1" outlineLevel="1"/>
    <row r="1256" hidden="1" outlineLevel="1"/>
    <row r="1257" hidden="1" outlineLevel="1"/>
    <row r="1258" hidden="1" outlineLevel="1"/>
    <row r="1259" hidden="1" outlineLevel="1"/>
    <row r="1260" hidden="1" outlineLevel="1"/>
    <row r="1261" hidden="1" outlineLevel="1"/>
    <row r="1262" hidden="1" outlineLevel="1"/>
    <row r="1263" hidden="1" outlineLevel="1"/>
    <row r="1264" hidden="1" outlineLevel="1"/>
    <row r="1265" hidden="1" outlineLevel="1"/>
    <row r="1266" hidden="1" outlineLevel="1"/>
    <row r="1267" s="61" customFormat="1" hidden="1" outlineLevel="1"/>
    <row r="1268" s="62" customFormat="1" collapsed="1"/>
    <row r="1269" s="62" customFormat="1"/>
    <row r="1270" s="62" customFormat="1"/>
    <row r="1271" s="62" customFormat="1"/>
    <row r="1272" s="62" customFormat="1"/>
    <row r="1273" s="62" customFormat="1"/>
    <row r="1274" s="62" customFormat="1"/>
    <row r="1275" s="62" customFormat="1"/>
    <row r="1276" s="62" customFormat="1"/>
    <row r="1277" s="62" customFormat="1"/>
    <row r="1278" s="62" customFormat="1"/>
    <row r="1279" s="62" customFormat="1"/>
    <row r="1280" s="62" customFormat="1"/>
    <row r="1281" s="62" customFormat="1"/>
    <row r="1282" s="62" customFormat="1"/>
    <row r="1283" s="62" customFormat="1"/>
    <row r="1284" s="62" customFormat="1"/>
    <row r="1285" s="62" customFormat="1"/>
    <row r="1286" s="62" customFormat="1"/>
    <row r="1287" s="62" customFormat="1"/>
    <row r="1288" s="62" customFormat="1"/>
    <row r="1289" s="62" customFormat="1"/>
    <row r="1290" s="62" customFormat="1"/>
    <row r="1291" s="62" customFormat="1"/>
    <row r="1292" s="62" customFormat="1"/>
    <row r="1293" s="62" customFormat="1"/>
    <row r="1294" s="62" customFormat="1"/>
    <row r="1295" s="62" customFormat="1"/>
    <row r="1296" s="62" customFormat="1"/>
    <row r="1297" s="62" customFormat="1"/>
    <row r="1298" s="62" customFormat="1"/>
    <row r="1299" s="62" customFormat="1"/>
    <row r="1300" s="62" customFormat="1"/>
    <row r="1301" s="62" customFormat="1"/>
    <row r="1302" s="62" customFormat="1"/>
    <row r="1303" s="62" customFormat="1"/>
    <row r="1304" s="62" customFormat="1"/>
    <row r="1305" s="62" customFormat="1"/>
    <row r="1306" s="62" customFormat="1"/>
    <row r="1307" s="62" customFormat="1"/>
    <row r="1308" s="62" customFormat="1"/>
    <row r="1309" s="62" customFormat="1"/>
    <row r="1310" s="62" customFormat="1"/>
    <row r="1311" s="62" customFormat="1"/>
    <row r="1312" s="62" customFormat="1"/>
    <row r="1313" s="62" customFormat="1"/>
    <row r="1314" s="62" customFormat="1"/>
    <row r="1315" s="62" customFormat="1"/>
    <row r="1316" s="62" customFormat="1"/>
    <row r="1317" s="62" customFormat="1"/>
    <row r="1318" s="62" customFormat="1"/>
    <row r="1319" s="62" customFormat="1"/>
    <row r="1320" s="62" customFormat="1"/>
    <row r="1321" s="62" customFormat="1"/>
    <row r="1322" s="62" customFormat="1"/>
    <row r="1323" s="62" customFormat="1"/>
    <row r="1324" s="62" customFormat="1"/>
    <row r="1325" s="62" customFormat="1"/>
    <row r="1326" s="62" customFormat="1"/>
    <row r="1327" s="62" customFormat="1"/>
    <row r="1328" s="62" customFormat="1"/>
    <row r="1329" s="62" customFormat="1"/>
    <row r="1330" s="62" customFormat="1"/>
    <row r="1331" s="62" customFormat="1"/>
    <row r="1332" s="62" customFormat="1"/>
    <row r="1333" s="62" customFormat="1"/>
    <row r="1334" s="62" customFormat="1"/>
    <row r="1335" s="62" customFormat="1"/>
    <row r="1336" s="62" customFormat="1"/>
    <row r="1337" s="62" customFormat="1"/>
    <row r="1338" s="62" customFormat="1"/>
    <row r="1339" s="62" customFormat="1"/>
    <row r="1340" s="62" customFormat="1"/>
    <row r="1341" s="62" customFormat="1"/>
    <row r="1342" s="62" customFormat="1"/>
    <row r="1343" s="62" customFormat="1"/>
    <row r="1344" s="62" customFormat="1"/>
    <row r="1345" s="62" customFormat="1"/>
    <row r="1346" s="62" customFormat="1"/>
    <row r="1347" s="62" customFormat="1"/>
    <row r="1348" s="62" customFormat="1"/>
    <row r="1349" s="62" customFormat="1"/>
    <row r="1350" s="62" customFormat="1"/>
    <row r="1351" s="62" customFormat="1"/>
    <row r="1352" s="62" customFormat="1"/>
    <row r="1353" s="62" customFormat="1"/>
    <row r="1354" s="62" customFormat="1"/>
    <row r="1355" s="62" customFormat="1"/>
    <row r="1356" s="62" customFormat="1"/>
    <row r="1357" s="62" customFormat="1"/>
    <row r="1358" s="62" customFormat="1"/>
    <row r="1359" s="62" customFormat="1"/>
    <row r="1360" s="62" customFormat="1"/>
    <row r="1361" s="62" customFormat="1"/>
    <row r="1362" s="62" customFormat="1"/>
    <row r="1363" s="62" customFormat="1"/>
    <row r="1364" s="62" customFormat="1"/>
    <row r="1365" s="62" customFormat="1"/>
    <row r="1366" s="62" customFormat="1"/>
    <row r="1367" s="62" customFormat="1"/>
    <row r="1368" s="62" customFormat="1"/>
    <row r="1369" s="62" customFormat="1"/>
    <row r="1370" s="62" customFormat="1"/>
    <row r="1371" s="62" customFormat="1"/>
    <row r="1372" s="62" customFormat="1"/>
    <row r="1373" s="62" customFormat="1"/>
    <row r="1374" s="62" customFormat="1"/>
    <row r="1375" s="62" customFormat="1"/>
    <row r="1376" s="62" customFormat="1"/>
    <row r="1377" s="62" customFormat="1"/>
    <row r="1378" s="62" customFormat="1"/>
    <row r="1379" s="62" customFormat="1"/>
    <row r="1380" s="62" customFormat="1"/>
    <row r="1381" s="62" customFormat="1"/>
    <row r="1382" s="62" customFormat="1"/>
    <row r="1383" s="62" customFormat="1"/>
    <row r="1384" s="62" customFormat="1"/>
    <row r="1385" s="62" customFormat="1"/>
    <row r="1386" s="62" customFormat="1"/>
    <row r="1387" s="62" customFormat="1"/>
    <row r="1388" s="62" customFormat="1"/>
    <row r="1389" s="62" customFormat="1"/>
    <row r="1390" s="62" customFormat="1"/>
    <row r="1391" s="62" customFormat="1"/>
    <row r="1392" s="62" customFormat="1"/>
    <row r="1393" s="62" customFormat="1"/>
    <row r="1394" s="62" customFormat="1"/>
    <row r="1395" s="62" customFormat="1"/>
    <row r="1396" s="62" customFormat="1"/>
    <row r="1397" s="62" customFormat="1"/>
    <row r="1398" s="62" customFormat="1"/>
    <row r="1399" s="62" customFormat="1"/>
    <row r="1400" s="62" customFormat="1"/>
    <row r="1401" s="62" customFormat="1"/>
    <row r="1402" s="62" customFormat="1"/>
    <row r="1403" s="62" customFormat="1"/>
    <row r="1404" s="62" customFormat="1"/>
    <row r="1405" s="62" customFormat="1"/>
    <row r="1406" s="62" customFormat="1"/>
    <row r="1407" s="62" customFormat="1"/>
    <row r="1408" s="62" customFormat="1"/>
    <row r="1409" s="62" customFormat="1"/>
    <row r="1410" s="62" customFormat="1"/>
    <row r="1411" s="62" customFormat="1"/>
    <row r="1412" s="62" customFormat="1"/>
    <row r="1413" s="62" customFormat="1"/>
    <row r="1414" s="62" customFormat="1"/>
    <row r="1415" s="62" customFormat="1"/>
    <row r="1416" s="62" customFormat="1"/>
    <row r="1417" s="62" customFormat="1"/>
    <row r="1418" s="62" customFormat="1"/>
    <row r="1419" s="62" customFormat="1"/>
    <row r="1420" s="62" customFormat="1"/>
    <row r="1421" s="62" customFormat="1"/>
    <row r="1422" s="62" customFormat="1"/>
    <row r="1423" s="62" customFormat="1"/>
    <row r="1424" s="62" customFormat="1"/>
    <row r="1425" s="62" customFormat="1"/>
    <row r="1426" s="62" customFormat="1"/>
    <row r="1427" s="62" customFormat="1"/>
    <row r="1428" s="62" customFormat="1"/>
    <row r="1429" s="62" customFormat="1"/>
    <row r="1430" s="62" customFormat="1"/>
    <row r="1431" s="62" customFormat="1"/>
    <row r="1432" s="62" customFormat="1"/>
    <row r="1433" s="62" customFormat="1"/>
    <row r="1434" s="62" customFormat="1"/>
    <row r="1435" s="62" customFormat="1"/>
    <row r="1436" s="62" customFormat="1"/>
    <row r="1437" s="62" customFormat="1"/>
    <row r="1438" s="62" customFormat="1"/>
    <row r="1439" s="62" customFormat="1"/>
    <row r="1440" s="62" customFormat="1"/>
    <row r="1441" s="62" customFormat="1"/>
    <row r="1442" s="62" customFormat="1"/>
    <row r="1443" s="62" customFormat="1"/>
    <row r="1444" s="62" customFormat="1"/>
    <row r="1445" s="62" customFormat="1"/>
    <row r="1446" s="62" customFormat="1"/>
    <row r="1447" s="62" customFormat="1"/>
    <row r="1448" s="62" customFormat="1"/>
    <row r="1449" s="62" customFormat="1"/>
    <row r="1450" s="62" customFormat="1"/>
    <row r="1451" s="62" customFormat="1"/>
    <row r="1452" s="62" customFormat="1"/>
    <row r="1453" s="62" customFormat="1"/>
    <row r="1454" s="62" customFormat="1"/>
    <row r="1455" s="62" customFormat="1"/>
    <row r="1456" s="62" customFormat="1"/>
    <row r="1457" s="62" customFormat="1"/>
    <row r="1458" s="62" customFormat="1"/>
    <row r="1459" s="62" customFormat="1"/>
    <row r="1460" s="62" customFormat="1"/>
    <row r="1461" s="62" customFormat="1"/>
    <row r="1462" s="62" customFormat="1"/>
    <row r="1463" s="62" customFormat="1"/>
    <row r="1464" s="62" customFormat="1"/>
    <row r="1465" s="62" customFormat="1"/>
    <row r="1466" s="62" customFormat="1"/>
    <row r="1467" s="62" customFormat="1"/>
    <row r="1468" s="62" customFormat="1"/>
    <row r="1469" s="62" customFormat="1"/>
    <row r="1470" s="62" customFormat="1"/>
    <row r="1471" s="62" customFormat="1"/>
    <row r="1472" s="62" customFormat="1"/>
    <row r="1473" s="62" customFormat="1"/>
    <row r="1474" s="62" customFormat="1"/>
    <row r="1475" s="62" customFormat="1"/>
    <row r="1476" s="62" customFormat="1"/>
    <row r="1477" s="62" customFormat="1"/>
    <row r="1478" s="62" customFormat="1"/>
    <row r="1479" s="62" customFormat="1"/>
    <row r="1480" s="62" customFormat="1"/>
    <row r="1481" s="62" customFormat="1"/>
    <row r="1482" s="62" customFormat="1"/>
    <row r="1483" s="62" customFormat="1"/>
    <row r="1484" s="62" customFormat="1"/>
    <row r="1485" s="62" customFormat="1"/>
    <row r="1486" s="62" customFormat="1"/>
    <row r="1487" s="62" customFormat="1"/>
    <row r="1488" s="62" customFormat="1"/>
    <row r="1489" s="62" customFormat="1"/>
    <row r="1490" s="62" customFormat="1"/>
    <row r="1491" s="62" customFormat="1"/>
    <row r="1492" s="62" customFormat="1"/>
    <row r="1493" s="62" customFormat="1"/>
    <row r="1494" s="62" customFormat="1"/>
    <row r="1495" s="62" customFormat="1"/>
    <row r="1496" s="62" customFormat="1"/>
    <row r="1497" s="62" customFormat="1"/>
    <row r="1498" s="62" customFormat="1"/>
    <row r="1499" s="62" customFormat="1"/>
    <row r="1500" s="62" customFormat="1"/>
    <row r="1501" s="62" customFormat="1"/>
    <row r="1502" s="62" customFormat="1"/>
    <row r="1503" s="62" customFormat="1"/>
    <row r="1504" s="62" customFormat="1"/>
    <row r="1505" s="62" customFormat="1"/>
    <row r="1506" s="62" customFormat="1"/>
    <row r="1507" s="62" customFormat="1"/>
    <row r="1508" s="62" customFormat="1"/>
    <row r="1509" s="62" customFormat="1"/>
    <row r="1510" s="62" customFormat="1"/>
    <row r="1511" s="62" customFormat="1"/>
    <row r="1512" s="62" customFormat="1"/>
    <row r="1513" s="62" customFormat="1"/>
    <row r="1514" s="62" customFormat="1"/>
    <row r="1515" s="62" customFormat="1"/>
    <row r="1516" s="62" customFormat="1"/>
    <row r="1517" s="62" customFormat="1"/>
    <row r="1518" s="62" customFormat="1"/>
    <row r="1519" s="62" customFormat="1"/>
    <row r="1520" s="62" customFormat="1"/>
    <row r="1521" s="62" customFormat="1"/>
    <row r="1522" s="62" customFormat="1"/>
    <row r="1523" s="62" customFormat="1"/>
    <row r="1524" s="62" customFormat="1"/>
    <row r="1525" s="62" customFormat="1"/>
    <row r="1526" s="62" customFormat="1"/>
    <row r="1527" s="62" customFormat="1"/>
    <row r="1528" s="62" customFormat="1"/>
    <row r="1529" s="62" customFormat="1"/>
    <row r="1530" s="62" customFormat="1"/>
    <row r="1531" s="62" customFormat="1"/>
    <row r="1532" s="62" customFormat="1"/>
    <row r="1533" s="62" customFormat="1"/>
    <row r="1534" s="62" customFormat="1"/>
    <row r="1535" s="62" customFormat="1"/>
    <row r="1536" s="62" customFormat="1"/>
    <row r="1537" s="62" customFormat="1"/>
    <row r="1538" s="62" customFormat="1"/>
    <row r="1539" s="62" customFormat="1"/>
    <row r="1540" s="62" customFormat="1"/>
    <row r="1541" s="62" customFormat="1"/>
    <row r="1542" s="62" customFormat="1"/>
    <row r="1543" s="62" customFormat="1"/>
    <row r="1544" s="62" customFormat="1"/>
    <row r="1545" s="62" customFormat="1"/>
    <row r="1546" s="62" customFormat="1"/>
    <row r="1547" s="62" customFormat="1"/>
    <row r="1548" s="62" customFormat="1"/>
    <row r="1549" s="62" customFormat="1"/>
    <row r="1550" s="62" customFormat="1"/>
    <row r="1551" s="62" customFormat="1"/>
    <row r="1552" s="62" customFormat="1"/>
    <row r="1553" s="62" customFormat="1"/>
    <row r="1554" s="62" customFormat="1"/>
    <row r="1555" s="62" customFormat="1"/>
    <row r="1556" s="62" customFormat="1"/>
    <row r="1557" s="62" customFormat="1"/>
    <row r="1558" s="62" customFormat="1"/>
    <row r="1559" s="62" customFormat="1"/>
    <row r="1560" s="62" customFormat="1"/>
    <row r="1561" s="62" customFormat="1"/>
    <row r="1562" s="62" customFormat="1"/>
    <row r="1563" s="62" customFormat="1"/>
    <row r="1564" s="62" customFormat="1"/>
    <row r="1565" s="62" customFormat="1"/>
    <row r="1566" s="62" customFormat="1"/>
    <row r="1567" s="62" customFormat="1"/>
    <row r="1568" s="62" customFormat="1"/>
    <row r="1569" s="62" customFormat="1"/>
    <row r="1570" s="62" customFormat="1"/>
    <row r="1571" s="62" customFormat="1"/>
    <row r="1572" s="62" customFormat="1"/>
    <row r="1573" s="62" customFormat="1"/>
    <row r="1574" s="62" customFormat="1"/>
    <row r="1575" s="62" customFormat="1"/>
    <row r="1576" s="62" customFormat="1"/>
    <row r="1577" s="62" customFormat="1"/>
    <row r="1578" s="62" customFormat="1"/>
    <row r="1579" s="62" customFormat="1"/>
    <row r="1580" s="62" customFormat="1"/>
    <row r="1581" s="62" customFormat="1"/>
    <row r="1582" s="62" customFormat="1"/>
    <row r="1583" s="62" customFormat="1"/>
    <row r="1584" s="62" customFormat="1"/>
    <row r="1585" s="62" customFormat="1"/>
    <row r="1586" s="62" customFormat="1"/>
    <row r="1587" s="62" customFormat="1"/>
    <row r="1588" s="62" customFormat="1"/>
    <row r="1589" s="62" customFormat="1"/>
    <row r="1590" s="62" customFormat="1"/>
    <row r="1591" s="62" customFormat="1"/>
    <row r="1592" s="62" customFormat="1"/>
    <row r="1593" s="62" customFormat="1"/>
    <row r="1594" s="62" customFormat="1"/>
    <row r="1595" s="62" customFormat="1"/>
    <row r="1596" s="62" customFormat="1"/>
    <row r="1597" s="62" customFormat="1"/>
    <row r="1598" s="62" customFormat="1"/>
    <row r="1599" s="62" customFormat="1"/>
    <row r="1600" s="62" customFormat="1"/>
    <row r="1601" s="62" customFormat="1"/>
    <row r="1602" s="62" customFormat="1"/>
    <row r="1603" s="62" customFormat="1"/>
    <row r="1604" s="62" customFormat="1"/>
    <row r="1605" s="62" customFormat="1"/>
    <row r="1606" s="62" customFormat="1"/>
    <row r="1607" s="62" customFormat="1"/>
    <row r="1608" s="62" customFormat="1"/>
    <row r="1609" s="62" customFormat="1"/>
    <row r="1610" s="62" customFormat="1"/>
    <row r="1611" s="62" customFormat="1"/>
    <row r="1612" s="62" customFormat="1"/>
    <row r="1613" s="62" customFormat="1"/>
    <row r="1614" s="62" customFormat="1"/>
    <row r="1615" s="62" customFormat="1"/>
    <row r="1616" s="62" customFormat="1"/>
    <row r="1617" s="62" customFormat="1"/>
    <row r="1618" s="62" customFormat="1"/>
    <row r="1619" s="62" customFormat="1"/>
    <row r="1620" s="62" customFormat="1"/>
    <row r="1621" s="62" customFormat="1"/>
    <row r="1622" s="62" customFormat="1"/>
    <row r="1623" s="62" customFormat="1"/>
    <row r="1624" s="62" customFormat="1"/>
    <row r="1625" s="62" customFormat="1"/>
    <row r="1626" s="62" customFormat="1"/>
    <row r="1627" s="62" customFormat="1"/>
    <row r="1628" s="62" customFormat="1"/>
    <row r="1629" s="62" customFormat="1"/>
    <row r="1630" s="62" customFormat="1"/>
    <row r="1631" s="62" customFormat="1"/>
    <row r="1632" s="62" customFormat="1"/>
    <row r="1633" s="62" customFormat="1"/>
    <row r="1634" s="62" customFormat="1"/>
    <row r="1635" s="62" customFormat="1"/>
    <row r="1636" s="62" customFormat="1"/>
    <row r="1637" s="62" customFormat="1"/>
    <row r="1638" s="62" customFormat="1"/>
    <row r="1639" s="62" customFormat="1"/>
    <row r="1640" s="62" customFormat="1"/>
    <row r="1641" s="62" customFormat="1"/>
    <row r="1642" s="62" customFormat="1"/>
    <row r="1643" s="62" customFormat="1"/>
    <row r="1644" s="62" customFormat="1"/>
    <row r="1645" s="62" customFormat="1"/>
    <row r="1646" s="62" customFormat="1"/>
    <row r="1647" s="62" customFormat="1"/>
    <row r="1648" s="62" customFormat="1"/>
    <row r="1649" s="62" customFormat="1"/>
    <row r="1650" s="62" customFormat="1"/>
    <row r="1651" s="62" customFormat="1"/>
    <row r="1652" s="62" customFormat="1"/>
    <row r="1653" s="62" customFormat="1"/>
    <row r="1654" s="62" customFormat="1"/>
    <row r="1655" s="62" customFormat="1"/>
    <row r="1656" s="62" customFormat="1"/>
    <row r="1657" s="62" customFormat="1"/>
    <row r="1658" s="62" customFormat="1"/>
    <row r="1659" s="62" customFormat="1"/>
    <row r="1660" s="62" customFormat="1"/>
    <row r="1661" s="62" customFormat="1"/>
    <row r="1662" s="62" customFormat="1"/>
    <row r="1663" s="62" customFormat="1"/>
    <row r="1664" s="62" customFormat="1"/>
    <row r="1665" s="62" customFormat="1"/>
    <row r="1666" s="62" customFormat="1"/>
    <row r="1667" s="62" customFormat="1"/>
    <row r="1668" s="62" customFormat="1"/>
    <row r="1669" s="62" customFormat="1"/>
    <row r="1670" s="62" customFormat="1"/>
    <row r="1671" s="62" customFormat="1"/>
    <row r="1672" s="62" customFormat="1"/>
    <row r="1673" s="62" customFormat="1"/>
    <row r="1674" s="62" customFormat="1"/>
    <row r="1675" s="62" customFormat="1"/>
    <row r="1676" s="62" customFormat="1"/>
    <row r="1677" s="62" customFormat="1"/>
    <row r="1678" s="62" customFormat="1"/>
    <row r="1679" s="62" customFormat="1"/>
    <row r="1680" s="62" customFormat="1"/>
    <row r="1681" s="62" customFormat="1"/>
    <row r="1682" s="62" customFormat="1"/>
    <row r="1683" s="62" customFormat="1"/>
    <row r="1684" s="62" customFormat="1"/>
    <row r="1685" s="62" customFormat="1"/>
    <row r="1686" s="62" customFormat="1"/>
    <row r="1687" s="62" customFormat="1"/>
    <row r="1688" s="62" customFormat="1"/>
    <row r="1689" s="62" customFormat="1"/>
    <row r="1690" s="62" customFormat="1"/>
    <row r="1691" s="62" customFormat="1"/>
    <row r="1692" s="62" customFormat="1"/>
    <row r="1693" s="62" customFormat="1"/>
    <row r="1694" s="62" customFormat="1"/>
    <row r="1695" s="62" customFormat="1"/>
    <row r="1696" s="62" customFormat="1"/>
    <row r="1697" s="62" customFormat="1"/>
    <row r="1698" s="62" customFormat="1"/>
    <row r="1699" s="62" customFormat="1"/>
    <row r="1700" s="62" customFormat="1"/>
    <row r="1701" s="62" customFormat="1"/>
    <row r="1702" s="62" customFormat="1"/>
    <row r="1703" s="62" customFormat="1"/>
    <row r="1704" s="62" customFormat="1"/>
    <row r="1705" s="62" customFormat="1"/>
    <row r="1706" s="62" customFormat="1"/>
    <row r="1707" s="62" customFormat="1"/>
    <row r="1708" s="62" customFormat="1"/>
    <row r="1709" s="62" customFormat="1"/>
    <row r="1710" s="62" customFormat="1"/>
    <row r="1711" s="62" customFormat="1"/>
    <row r="1712" s="62" customFormat="1"/>
    <row r="1713" s="62" customFormat="1"/>
    <row r="1714" s="62" customFormat="1"/>
    <row r="1715" s="62" customFormat="1"/>
    <row r="1716" s="62" customFormat="1"/>
    <row r="1717" s="62" customFormat="1"/>
    <row r="1718" s="62" customFormat="1"/>
    <row r="1719" s="62" customFormat="1"/>
    <row r="1720" s="62" customFormat="1"/>
    <row r="1721" s="62" customFormat="1"/>
    <row r="1722" s="62" customFormat="1"/>
    <row r="1723" s="62" customFormat="1"/>
    <row r="1724" s="62" customFormat="1"/>
    <row r="1725" s="62" customFormat="1"/>
    <row r="1726" s="62" customFormat="1"/>
    <row r="1727" s="62" customFormat="1"/>
    <row r="1728" s="62" customFormat="1"/>
    <row r="1729" s="62" customFormat="1"/>
    <row r="1730" s="62" customFormat="1"/>
    <row r="1731" s="62" customFormat="1"/>
    <row r="1732" s="62" customFormat="1"/>
    <row r="1733" s="62" customFormat="1"/>
    <row r="1734" s="62" customFormat="1"/>
    <row r="1735" s="62" customFormat="1"/>
    <row r="1736" s="62" customFormat="1"/>
    <row r="1737" s="62" customFormat="1"/>
    <row r="1738" s="62" customFormat="1"/>
    <row r="1739" s="62" customFormat="1"/>
    <row r="1740" s="62" customFormat="1"/>
    <row r="1741" s="62" customFormat="1"/>
    <row r="1742" s="62" customFormat="1"/>
    <row r="1743" s="62" customFormat="1"/>
    <row r="1744" s="62" customFormat="1"/>
    <row r="1745" s="62" customFormat="1"/>
    <row r="1746" s="62" customFormat="1"/>
    <row r="1747" s="62" customFormat="1"/>
    <row r="1748" s="62" customFormat="1"/>
    <row r="1749" s="62" customFormat="1"/>
    <row r="1750" s="62" customFormat="1"/>
    <row r="1751" s="62" customFormat="1"/>
    <row r="1752" s="62" customFormat="1"/>
    <row r="1753" s="62" customFormat="1"/>
    <row r="1754" s="62" customFormat="1"/>
    <row r="1755" s="62" customFormat="1"/>
    <row r="1756" s="62" customFormat="1"/>
    <row r="1757" s="62" customFormat="1"/>
    <row r="1758" s="62" customFormat="1"/>
    <row r="1759" s="62" customFormat="1"/>
    <row r="1760" s="62" customFormat="1"/>
    <row r="1761" s="62" customFormat="1"/>
    <row r="1762" s="62" customFormat="1"/>
    <row r="1763" s="62" customFormat="1"/>
    <row r="1764" s="62" customFormat="1"/>
    <row r="1765" s="62" customFormat="1"/>
    <row r="1766" s="62" customFormat="1"/>
    <row r="1767" s="62" customFormat="1"/>
    <row r="1768" s="62" customFormat="1"/>
    <row r="1769" s="62" customFormat="1"/>
    <row r="1770" s="62" customFormat="1"/>
    <row r="1771" s="62" customFormat="1"/>
    <row r="1772" s="62" customFormat="1"/>
    <row r="1773" s="62" customFormat="1"/>
    <row r="1774" s="62" customFormat="1"/>
    <row r="1775" s="62" customFormat="1"/>
    <row r="1776" s="62" customFormat="1"/>
    <row r="1777" s="62" customFormat="1"/>
    <row r="1778" s="62" customFormat="1"/>
    <row r="1779" s="62" customFormat="1"/>
    <row r="1780" s="62" customFormat="1"/>
    <row r="1781" s="62" customFormat="1"/>
    <row r="1782" s="62" customFormat="1"/>
    <row r="1783" s="62" customFormat="1"/>
    <row r="1784" s="62" customFormat="1"/>
    <row r="1785" s="62" customFormat="1"/>
    <row r="1786" s="62" customFormat="1"/>
    <row r="1787" s="62" customFormat="1"/>
    <row r="1788" s="62" customFormat="1"/>
    <row r="1789" s="62" customFormat="1"/>
    <row r="1790" s="62" customFormat="1"/>
    <row r="1791" s="62" customFormat="1"/>
    <row r="1792" s="62" customFormat="1"/>
    <row r="1793" s="62" customFormat="1"/>
    <row r="1794" s="62" customFormat="1"/>
    <row r="1795" s="62" customFormat="1"/>
    <row r="1796" s="62" customFormat="1"/>
    <row r="1797" s="62" customFormat="1"/>
    <row r="1798" s="62" customFormat="1"/>
    <row r="1799" s="62" customFormat="1"/>
    <row r="1800" s="62" customFormat="1"/>
    <row r="1801" s="62" customFormat="1"/>
    <row r="1802" s="62" customFormat="1"/>
    <row r="1803" s="62" customFormat="1"/>
    <row r="1804" s="62" customFormat="1"/>
    <row r="1805" s="62" customFormat="1"/>
    <row r="1806" s="62" customFormat="1"/>
    <row r="1807" s="62" customFormat="1"/>
    <row r="1808" s="62" customFormat="1"/>
    <row r="1809" s="62" customFormat="1"/>
    <row r="1810" s="62" customFormat="1"/>
    <row r="1811" s="62" customFormat="1"/>
    <row r="1812" s="62" customFormat="1"/>
    <row r="1813" s="62" customFormat="1"/>
    <row r="1814" s="62" customFormat="1"/>
    <row r="1815" s="62" customFormat="1"/>
    <row r="1816" s="62" customFormat="1"/>
    <row r="1817" s="62" customFormat="1"/>
    <row r="1818" s="62" customFormat="1"/>
    <row r="1819" s="62" customFormat="1"/>
    <row r="1820" s="62" customFormat="1"/>
    <row r="1821" s="62" customFormat="1"/>
    <row r="1822" s="62" customFormat="1"/>
    <row r="1823" s="62" customFormat="1"/>
    <row r="1824" s="62" customFormat="1"/>
    <row r="1825" s="62" customFormat="1"/>
    <row r="1826" s="62" customFormat="1"/>
    <row r="1827" s="62" customFormat="1"/>
    <row r="1828" s="62" customFormat="1"/>
    <row r="1829" s="62" customFormat="1"/>
    <row r="1830" s="62" customFormat="1"/>
    <row r="1831" s="62" customFormat="1"/>
    <row r="1832" s="62" customFormat="1"/>
    <row r="1833" s="62" customFormat="1"/>
    <row r="1834" s="62" customFormat="1"/>
    <row r="1835" s="62" customFormat="1"/>
    <row r="1836" s="62" customFormat="1"/>
    <row r="1837" s="62" customFormat="1"/>
    <row r="1838" s="62" customFormat="1"/>
    <row r="1839" s="62" customFormat="1"/>
    <row r="1840" s="62" customFormat="1"/>
    <row r="1841" s="62" customFormat="1"/>
    <row r="1842" s="62" customFormat="1"/>
    <row r="1843" s="62" customFormat="1"/>
    <row r="1844" s="62" customFormat="1"/>
    <row r="1845" s="62" customFormat="1"/>
    <row r="1846" s="62" customFormat="1"/>
    <row r="1847" s="62" customFormat="1"/>
    <row r="1848" s="62" customFormat="1"/>
    <row r="1849" s="62" customFormat="1"/>
    <row r="1850" s="62" customFormat="1"/>
    <row r="1851" s="62" customFormat="1"/>
    <row r="1852" s="62" customFormat="1"/>
    <row r="1853" s="62" customFormat="1"/>
    <row r="1854" s="62" customFormat="1"/>
    <row r="1855" s="62" customFormat="1"/>
    <row r="1856" s="62" customFormat="1"/>
    <row r="1857" s="62" customFormat="1"/>
    <row r="1858" s="62" customFormat="1"/>
    <row r="1859" s="62" customFormat="1"/>
    <row r="1860" s="62" customFormat="1"/>
    <row r="1861" s="62" customFormat="1"/>
    <row r="1862" s="62" customFormat="1"/>
    <row r="1863" s="62" customFormat="1"/>
    <row r="1864" s="62" customFormat="1"/>
    <row r="1865" s="62" customFormat="1"/>
    <row r="1866" s="62" customFormat="1"/>
    <row r="1867" s="62" customFormat="1"/>
    <row r="1868" s="62" customFormat="1"/>
    <row r="1869" s="62" customFormat="1"/>
    <row r="1870" s="62" customFormat="1"/>
    <row r="1871" s="62" customFormat="1"/>
    <row r="1872" s="62" customFormat="1"/>
    <row r="1873" s="62" customFormat="1"/>
    <row r="1874" s="62" customFormat="1"/>
    <row r="1875" s="62" customFormat="1"/>
    <row r="1876" s="62" customFormat="1"/>
    <row r="1877" s="62" customFormat="1"/>
    <row r="1878" s="62" customFormat="1"/>
    <row r="1879" s="62" customFormat="1"/>
    <row r="1880" s="62" customFormat="1"/>
    <row r="1881" s="62" customFormat="1"/>
    <row r="1882" s="62" customFormat="1"/>
    <row r="1883" s="62" customFormat="1"/>
    <row r="1884" s="62" customFormat="1"/>
    <row r="1885" s="62" customFormat="1"/>
    <row r="1886" s="62" customFormat="1"/>
    <row r="1887" s="62" customFormat="1"/>
    <row r="1888" s="62" customFormat="1"/>
    <row r="1889" s="62" customFormat="1"/>
    <row r="1890" s="62" customFormat="1"/>
    <row r="1891" s="62" customFormat="1"/>
    <row r="1892" s="62" customFormat="1"/>
    <row r="1893" s="62" customFormat="1"/>
    <row r="1894" s="62" customFormat="1"/>
    <row r="1895" s="62" customFormat="1"/>
    <row r="1896" s="62" customFormat="1"/>
    <row r="1897" s="62" customFormat="1"/>
    <row r="1898" s="62" customFormat="1"/>
    <row r="1899" s="62" customFormat="1"/>
    <row r="1900" s="62" customFormat="1"/>
    <row r="1901" s="62" customFormat="1"/>
    <row r="1902" s="62" customFormat="1"/>
    <row r="1903" s="62" customFormat="1"/>
    <row r="1904" s="62" customFormat="1"/>
    <row r="1905" s="62" customFormat="1"/>
    <row r="1906" s="62" customFormat="1"/>
    <row r="1907" s="62" customFormat="1"/>
    <row r="1908" s="62" customFormat="1"/>
    <row r="1909" s="62" customFormat="1"/>
    <row r="1910" s="62" customFormat="1"/>
    <row r="1911" s="62" customFormat="1"/>
    <row r="1912" s="62" customFormat="1"/>
    <row r="1913" s="62" customFormat="1"/>
    <row r="1914" s="62" customFormat="1"/>
    <row r="1915" s="62" customFormat="1"/>
    <row r="1916" s="62" customFormat="1"/>
    <row r="1917" s="62" customFormat="1"/>
    <row r="1918" s="62" customFormat="1"/>
    <row r="1919" s="62" customFormat="1"/>
    <row r="1920" s="62" customFormat="1"/>
    <row r="1921" s="62" customFormat="1"/>
    <row r="1922" s="62" customFormat="1"/>
    <row r="1923" s="62" customFormat="1"/>
    <row r="1924" s="62" customFormat="1"/>
    <row r="1925" s="62" customFormat="1"/>
    <row r="1926" s="62" customFormat="1"/>
    <row r="1927" s="62" customFormat="1"/>
    <row r="1928" s="62" customFormat="1"/>
    <row r="1929" s="62" customFormat="1"/>
    <row r="1930" s="62" customFormat="1"/>
    <row r="1931" s="62" customFormat="1"/>
    <row r="1932" s="62" customFormat="1"/>
    <row r="1933" s="62" customFormat="1"/>
    <row r="1934" s="62" customFormat="1"/>
    <row r="1935" s="62" customFormat="1"/>
    <row r="1936" s="62" customFormat="1"/>
    <row r="1937" s="62" customFormat="1"/>
    <row r="1938" s="62" customFormat="1"/>
    <row r="1939" s="62" customFormat="1"/>
    <row r="1940" s="62" customFormat="1"/>
    <row r="1941" s="62" customFormat="1"/>
    <row r="1942" s="62" customFormat="1"/>
    <row r="1943" s="62" customFormat="1"/>
    <row r="1944" s="62" customFormat="1"/>
    <row r="1945" s="62" customFormat="1"/>
    <row r="1946" s="62" customFormat="1"/>
    <row r="1947" s="62" customFormat="1"/>
    <row r="1948" s="62" customFormat="1"/>
    <row r="1949" s="62" customFormat="1"/>
    <row r="1950" s="62" customFormat="1"/>
    <row r="1951" s="62" customFormat="1"/>
    <row r="1952" s="62" customFormat="1"/>
    <row r="1953" s="62" customFormat="1"/>
    <row r="1954" s="62" customFormat="1"/>
    <row r="1955" s="62" customFormat="1"/>
    <row r="1956" s="62" customFormat="1"/>
    <row r="1957" s="62" customFormat="1"/>
    <row r="1958" s="62" customFormat="1"/>
    <row r="1959" s="62" customFormat="1"/>
    <row r="1960" s="62" customFormat="1"/>
    <row r="1961" s="62" customFormat="1"/>
    <row r="1962" s="62" customFormat="1"/>
    <row r="1963" s="62" customFormat="1"/>
    <row r="1964" s="62" customFormat="1"/>
    <row r="1965" s="62" customFormat="1"/>
    <row r="1966" s="62" customFormat="1"/>
    <row r="1967" s="62" customFormat="1"/>
    <row r="1968" s="62" customFormat="1"/>
    <row r="1969" s="62" customFormat="1"/>
    <row r="1970" s="62" customFormat="1"/>
    <row r="1971" s="62" customFormat="1"/>
    <row r="1972" s="62" customFormat="1"/>
    <row r="1973" s="62" customFormat="1"/>
    <row r="1974" s="62" customFormat="1"/>
    <row r="1975" s="62" customFormat="1"/>
    <row r="1976" s="62" customFormat="1"/>
    <row r="1977" s="62" customFormat="1"/>
    <row r="1978" s="62" customFormat="1"/>
    <row r="1979" s="62" customFormat="1"/>
    <row r="1980" s="62" customFormat="1"/>
    <row r="1981" s="62" customFormat="1"/>
    <row r="1982" s="62" customFormat="1"/>
    <row r="1983" s="62" customFormat="1"/>
    <row r="1984" s="62" customFormat="1"/>
    <row r="1985" s="62" customFormat="1"/>
    <row r="1986" s="62" customFormat="1"/>
    <row r="1987" s="62" customFormat="1"/>
    <row r="1988" s="62" customFormat="1"/>
    <row r="1989" s="62" customFormat="1"/>
    <row r="1990" s="62" customFormat="1"/>
    <row r="1991" s="62" customFormat="1"/>
    <row r="1992" s="62" customFormat="1"/>
    <row r="1993" s="62" customFormat="1"/>
    <row r="1994" s="62" customFormat="1"/>
    <row r="1995" s="62" customFormat="1"/>
    <row r="1996" s="62" customFormat="1"/>
    <row r="1997" s="62" customFormat="1"/>
    <row r="1998" s="62" customFormat="1"/>
    <row r="1999" s="62" customFormat="1"/>
    <row r="2000" s="62" customFormat="1"/>
    <row r="2001" s="62" customFormat="1"/>
    <row r="2002" s="62" customFormat="1"/>
    <row r="2003" s="62" customFormat="1"/>
    <row r="2004" s="62" customFormat="1"/>
    <row r="2005" s="62" customFormat="1"/>
    <row r="2006" s="62" customFormat="1"/>
    <row r="2007" s="62" customFormat="1"/>
    <row r="2008" s="62" customFormat="1"/>
    <row r="2009" s="62" customFormat="1"/>
    <row r="2010" s="62" customFormat="1"/>
    <row r="2011" s="62" customFormat="1"/>
    <row r="2012" s="62" customFormat="1"/>
    <row r="2013" s="62" customFormat="1"/>
    <row r="2014" s="62" customFormat="1"/>
    <row r="2015" s="62" customFormat="1"/>
    <row r="2016" s="62" customFormat="1"/>
    <row r="2017" s="62" customFormat="1"/>
    <row r="2018" s="62" customFormat="1"/>
    <row r="2019" s="62" customFormat="1"/>
    <row r="2020" s="62" customFormat="1"/>
    <row r="2021" s="62" customFormat="1"/>
    <row r="2022" s="62" customFormat="1"/>
    <row r="2023" s="62" customFormat="1"/>
    <row r="2024" s="62" customFormat="1"/>
    <row r="2025" s="62" customFormat="1"/>
    <row r="2026" s="62" customFormat="1"/>
    <row r="2027" s="62" customFormat="1"/>
    <row r="2028" s="62" customFormat="1"/>
    <row r="2029" s="62" customFormat="1"/>
    <row r="2030" s="62" customFormat="1"/>
    <row r="2031" s="62" customFormat="1"/>
    <row r="2032" s="62" customFormat="1"/>
    <row r="2033" s="62" customFormat="1"/>
    <row r="2034" s="62" customFormat="1"/>
    <row r="2035" s="62" customFormat="1"/>
    <row r="2036" s="62" customFormat="1"/>
    <row r="2037" s="62" customFormat="1"/>
    <row r="2038" s="62" customFormat="1"/>
    <row r="2039" s="62" customFormat="1"/>
    <row r="2040" s="62" customFormat="1"/>
    <row r="2041" s="62" customFormat="1"/>
    <row r="2042" s="62" customFormat="1"/>
    <row r="2043" s="62" customFormat="1"/>
    <row r="2044" s="62" customFormat="1"/>
    <row r="2045" s="62" customFormat="1"/>
    <row r="2046" s="62" customFormat="1"/>
    <row r="2047" s="62" customFormat="1"/>
    <row r="2048" s="62" customFormat="1"/>
    <row r="2049" s="62" customFormat="1"/>
    <row r="2050" s="62" customFormat="1"/>
    <row r="2051" s="62" customFormat="1"/>
    <row r="2052" s="62" customFormat="1"/>
    <row r="2053" s="62" customFormat="1"/>
    <row r="2054" s="62" customFormat="1"/>
    <row r="2055" s="62" customFormat="1"/>
    <row r="2056" s="62" customFormat="1"/>
    <row r="2057" s="62" customFormat="1"/>
    <row r="2058" s="62" customFormat="1"/>
    <row r="2059" s="62" customFormat="1"/>
    <row r="2060" s="62" customFormat="1"/>
    <row r="2061" s="62" customFormat="1"/>
    <row r="2062" s="62" customFormat="1"/>
    <row r="2063" s="62" customFormat="1"/>
    <row r="2064" s="62" customFormat="1"/>
    <row r="2065" s="62" customFormat="1"/>
    <row r="2066" s="62" customFormat="1"/>
    <row r="2067" s="62" customFormat="1"/>
    <row r="2068" s="62" customFormat="1"/>
    <row r="2069" s="62" customFormat="1"/>
    <row r="2070" s="62" customFormat="1"/>
    <row r="2071" s="62" customFormat="1"/>
    <row r="2072" s="62" customFormat="1"/>
    <row r="2073" s="62" customFormat="1"/>
    <row r="2074" s="62" customFormat="1"/>
    <row r="2075" s="62" customFormat="1"/>
    <row r="2076" s="62" customFormat="1"/>
    <row r="2077" s="62" customFormat="1"/>
    <row r="2078" s="62" customFormat="1"/>
    <row r="2079" s="62" customFormat="1"/>
    <row r="2080" s="62" customFormat="1"/>
    <row r="2081" s="62" customFormat="1"/>
    <row r="2082" s="62" customFormat="1"/>
    <row r="2083" s="62" customFormat="1"/>
    <row r="2084" s="62" customFormat="1"/>
    <row r="2085" s="62" customFormat="1"/>
    <row r="2086" s="62" customFormat="1"/>
    <row r="2087" s="62" customFormat="1"/>
    <row r="2088" s="62" customFormat="1"/>
    <row r="2089" s="62" customFormat="1"/>
    <row r="2090" s="62" customFormat="1"/>
    <row r="2091" s="62" customFormat="1"/>
    <row r="2092" s="62" customFormat="1"/>
    <row r="2093" s="62" customFormat="1"/>
    <row r="2094" s="62" customFormat="1"/>
    <row r="2095" s="62" customFormat="1"/>
    <row r="2096" s="62" customFormat="1"/>
    <row r="2097" s="62" customFormat="1"/>
    <row r="2098" s="62" customFormat="1"/>
    <row r="2099" s="62" customFormat="1"/>
    <row r="2100" s="62" customFormat="1"/>
    <row r="2101" s="62" customFormat="1"/>
    <row r="2102" s="62" customFormat="1"/>
    <row r="2103" s="62" customFormat="1"/>
    <row r="2104" s="62" customFormat="1"/>
    <row r="2105" s="62" customFormat="1"/>
    <row r="2106" s="62" customFormat="1"/>
    <row r="2107" s="62" customFormat="1"/>
    <row r="2108" s="62" customFormat="1"/>
    <row r="2109" s="62" customFormat="1"/>
    <row r="2110" s="62" customFormat="1"/>
    <row r="2111" s="62" customFormat="1"/>
    <row r="2112" s="62" customFormat="1"/>
    <row r="2113" s="62" customFormat="1"/>
    <row r="2114" s="62" customFormat="1"/>
    <row r="2115" s="62" customFormat="1"/>
    <row r="2116" s="62" customFormat="1"/>
    <row r="2117" s="62" customFormat="1"/>
    <row r="2118" s="62" customFormat="1"/>
    <row r="2119" s="62" customFormat="1"/>
  </sheetData>
  <mergeCells count="32">
    <mergeCell ref="A1:A3"/>
    <mergeCell ref="B1:C2"/>
    <mergeCell ref="D1:D3"/>
    <mergeCell ref="E1:E3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  <mergeCell ref="AT1:AV1"/>
    <mergeCell ref="AW1:AY1"/>
    <mergeCell ref="AZ1:BB1"/>
    <mergeCell ref="AT31:BE31"/>
    <mergeCell ref="BF31:BQ31"/>
    <mergeCell ref="BC1:BE1"/>
    <mergeCell ref="BF1:BH1"/>
    <mergeCell ref="BI1:BK1"/>
    <mergeCell ref="BL1:BN1"/>
    <mergeCell ref="BO1:BQ1"/>
    <mergeCell ref="V32:AG32"/>
    <mergeCell ref="AH32:AS32"/>
    <mergeCell ref="J31:U31"/>
    <mergeCell ref="V31:AG31"/>
    <mergeCell ref="AH31:AS31"/>
  </mergeCells>
  <conditionalFormatting sqref="F13:R13">
    <cfRule type="cellIs" dxfId="1" priority="1" operator="lessThan">
      <formula>5</formula>
    </cfRule>
    <cfRule type="cellIs" dxfId="0" priority="2" operator="equal">
      <formula>5</formula>
    </cfRule>
  </conditionalFormatting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U23"/>
  <sheetViews>
    <sheetView zoomScale="70" workbookViewId="0">
      <pane xSplit="5" ySplit="3" topLeftCell="F4" activePane="bottomRight" state="frozen"/>
      <selection activeCell="F4" sqref="F4"/>
      <selection pane="topRight"/>
      <selection pane="bottomLeft"/>
      <selection pane="bottomRight" activeCell="F4" sqref="F4"/>
    </sheetView>
  </sheetViews>
  <sheetFormatPr defaultColWidth="9.140625" defaultRowHeight="15"/>
  <cols>
    <col min="1" max="1" width="19.7109375" style="62" customWidth="1"/>
    <col min="2" max="2" width="16.28515625" style="62" customWidth="1"/>
    <col min="3" max="3" width="14.85546875" style="62" customWidth="1"/>
    <col min="4" max="4" width="10" style="62" customWidth="1"/>
    <col min="5" max="5" width="12.5703125" style="62" customWidth="1"/>
    <col min="6" max="6" width="18.7109375" style="62" customWidth="1"/>
    <col min="7" max="45" width="23.42578125" style="62" customWidth="1"/>
    <col min="46" max="16384" width="9.140625" style="62"/>
  </cols>
  <sheetData>
    <row r="1" spans="1:73" s="185" customFormat="1">
      <c r="A1" s="333" t="s">
        <v>0</v>
      </c>
      <c r="B1" s="336" t="s">
        <v>1</v>
      </c>
      <c r="C1" s="337"/>
      <c r="D1" s="340" t="s">
        <v>2</v>
      </c>
      <c r="E1" s="340" t="s">
        <v>3</v>
      </c>
      <c r="F1" s="4" t="s">
        <v>4</v>
      </c>
      <c r="G1" s="272" t="s">
        <v>5</v>
      </c>
      <c r="H1" s="272"/>
      <c r="I1" s="343"/>
      <c r="J1" s="329" t="s">
        <v>6</v>
      </c>
      <c r="K1" s="330"/>
      <c r="L1" s="330"/>
      <c r="M1" s="330" t="s">
        <v>7</v>
      </c>
      <c r="N1" s="330"/>
      <c r="O1" s="330"/>
      <c r="P1" s="330" t="s">
        <v>8</v>
      </c>
      <c r="Q1" s="330"/>
      <c r="R1" s="330"/>
      <c r="S1" s="330" t="s">
        <v>9</v>
      </c>
      <c r="T1" s="330"/>
      <c r="U1" s="331"/>
      <c r="V1" s="332" t="s">
        <v>10</v>
      </c>
      <c r="W1" s="326"/>
      <c r="X1" s="326"/>
      <c r="Y1" s="326" t="s">
        <v>11</v>
      </c>
      <c r="Z1" s="326"/>
      <c r="AA1" s="326"/>
      <c r="AB1" s="326" t="s">
        <v>12</v>
      </c>
      <c r="AC1" s="326"/>
      <c r="AD1" s="326"/>
      <c r="AE1" s="326" t="s">
        <v>13</v>
      </c>
      <c r="AF1" s="326"/>
      <c r="AG1" s="327"/>
      <c r="AH1" s="328" t="s">
        <v>14</v>
      </c>
      <c r="AI1" s="323"/>
      <c r="AJ1" s="323"/>
      <c r="AK1" s="323" t="s">
        <v>15</v>
      </c>
      <c r="AL1" s="323"/>
      <c r="AM1" s="323"/>
      <c r="AN1" s="323" t="s">
        <v>16</v>
      </c>
      <c r="AO1" s="323"/>
      <c r="AP1" s="323"/>
      <c r="AQ1" s="323" t="s">
        <v>17</v>
      </c>
      <c r="AR1" s="323"/>
      <c r="AS1" s="324"/>
      <c r="AT1" s="325" t="s">
        <v>18</v>
      </c>
      <c r="AU1" s="272"/>
      <c r="AV1" s="272"/>
      <c r="AW1" s="272" t="s">
        <v>19</v>
      </c>
      <c r="AX1" s="272"/>
      <c r="AY1" s="272"/>
      <c r="AZ1" s="272" t="s">
        <v>20</v>
      </c>
      <c r="BA1" s="272"/>
      <c r="BB1" s="272"/>
      <c r="BC1" s="272" t="s">
        <v>21</v>
      </c>
      <c r="BD1" s="272"/>
      <c r="BE1" s="272"/>
      <c r="BF1" s="272" t="s">
        <v>22</v>
      </c>
      <c r="BG1" s="272"/>
      <c r="BH1" s="272"/>
      <c r="BI1" s="272" t="s">
        <v>23</v>
      </c>
      <c r="BJ1" s="272"/>
      <c r="BK1" s="272"/>
      <c r="BL1" s="272" t="s">
        <v>24</v>
      </c>
      <c r="BM1" s="272"/>
      <c r="BN1" s="272"/>
      <c r="BO1" s="272" t="s">
        <v>25</v>
      </c>
      <c r="BP1" s="272"/>
      <c r="BQ1" s="272"/>
    </row>
    <row r="2" spans="1:73" s="185" customFormat="1" ht="20.25" customHeight="1">
      <c r="A2" s="334"/>
      <c r="B2" s="338"/>
      <c r="C2" s="339"/>
      <c r="D2" s="341"/>
      <c r="E2" s="341"/>
      <c r="F2" s="186">
        <v>44805</v>
      </c>
      <c r="G2" s="186">
        <v>44835</v>
      </c>
      <c r="H2" s="186">
        <v>44866</v>
      </c>
      <c r="I2" s="187">
        <v>44896</v>
      </c>
      <c r="J2" s="188">
        <v>44927</v>
      </c>
      <c r="K2" s="186">
        <v>44958</v>
      </c>
      <c r="L2" s="186">
        <v>44986</v>
      </c>
      <c r="M2" s="186">
        <v>45017</v>
      </c>
      <c r="N2" s="186">
        <v>45047</v>
      </c>
      <c r="O2" s="186">
        <v>45078</v>
      </c>
      <c r="P2" s="186">
        <v>45108</v>
      </c>
      <c r="Q2" s="186">
        <v>45139</v>
      </c>
      <c r="R2" s="186">
        <v>45170</v>
      </c>
      <c r="S2" s="186">
        <v>45200</v>
      </c>
      <c r="T2" s="186">
        <v>45231</v>
      </c>
      <c r="U2" s="189">
        <v>45261</v>
      </c>
      <c r="V2" s="188">
        <v>45292</v>
      </c>
      <c r="W2" s="186">
        <v>45323</v>
      </c>
      <c r="X2" s="186">
        <v>45352</v>
      </c>
      <c r="Y2" s="186">
        <v>45383</v>
      </c>
      <c r="Z2" s="186">
        <v>45413</v>
      </c>
      <c r="AA2" s="186">
        <v>45444</v>
      </c>
      <c r="AB2" s="186">
        <v>45474</v>
      </c>
      <c r="AC2" s="186">
        <v>45505</v>
      </c>
      <c r="AD2" s="186">
        <v>45536</v>
      </c>
      <c r="AE2" s="186">
        <v>45566</v>
      </c>
      <c r="AF2" s="186">
        <v>45597</v>
      </c>
      <c r="AG2" s="187">
        <v>45627</v>
      </c>
      <c r="AH2" s="188">
        <v>45658</v>
      </c>
      <c r="AI2" s="186">
        <v>45689</v>
      </c>
      <c r="AJ2" s="186">
        <v>45717</v>
      </c>
      <c r="AK2" s="186">
        <v>45748</v>
      </c>
      <c r="AL2" s="186">
        <v>45778</v>
      </c>
      <c r="AM2" s="186">
        <v>45809</v>
      </c>
      <c r="AN2" s="186">
        <v>45839</v>
      </c>
      <c r="AO2" s="186">
        <v>45870</v>
      </c>
      <c r="AP2" s="186">
        <v>45901</v>
      </c>
      <c r="AQ2" s="186">
        <v>45931</v>
      </c>
      <c r="AR2" s="186">
        <v>45962</v>
      </c>
      <c r="AS2" s="189">
        <v>45992</v>
      </c>
      <c r="AT2" s="190">
        <v>46023</v>
      </c>
      <c r="AU2" s="186">
        <v>46054</v>
      </c>
      <c r="AV2" s="186">
        <v>46082</v>
      </c>
      <c r="AW2" s="186">
        <v>46113</v>
      </c>
      <c r="AX2" s="186">
        <v>46143</v>
      </c>
      <c r="AY2" s="186">
        <v>46174</v>
      </c>
      <c r="AZ2" s="186">
        <v>46204</v>
      </c>
      <c r="BA2" s="186">
        <v>46235</v>
      </c>
      <c r="BB2" s="186">
        <v>46266</v>
      </c>
      <c r="BC2" s="186">
        <v>46296</v>
      </c>
      <c r="BD2" s="186">
        <v>46327</v>
      </c>
      <c r="BE2" s="186">
        <v>46357</v>
      </c>
      <c r="BF2" s="186">
        <v>46388</v>
      </c>
      <c r="BG2" s="186">
        <v>46419</v>
      </c>
      <c r="BH2" s="186">
        <v>46447</v>
      </c>
      <c r="BI2" s="186">
        <v>46478</v>
      </c>
      <c r="BJ2" s="186">
        <v>46508</v>
      </c>
      <c r="BK2" s="186">
        <v>46539</v>
      </c>
      <c r="BL2" s="186">
        <v>46569</v>
      </c>
      <c r="BM2" s="186">
        <v>46600</v>
      </c>
      <c r="BN2" s="186">
        <v>46631</v>
      </c>
      <c r="BO2" s="186">
        <v>46661</v>
      </c>
      <c r="BP2" s="186">
        <v>46692</v>
      </c>
      <c r="BQ2" s="186">
        <v>46722</v>
      </c>
    </row>
    <row r="3" spans="1:73" s="191" customFormat="1" ht="33" customHeight="1">
      <c r="A3" s="335"/>
      <c r="B3" s="3" t="s">
        <v>26</v>
      </c>
      <c r="C3" s="3" t="s">
        <v>27</v>
      </c>
      <c r="D3" s="342"/>
      <c r="E3" s="342"/>
      <c r="F3" s="7">
        <v>1</v>
      </c>
      <c r="G3" s="7">
        <v>2</v>
      </c>
      <c r="H3" s="7">
        <v>3</v>
      </c>
      <c r="I3" s="192">
        <v>4</v>
      </c>
      <c r="J3" s="193">
        <v>5</v>
      </c>
      <c r="K3" s="7">
        <v>6</v>
      </c>
      <c r="L3" s="7">
        <v>7</v>
      </c>
      <c r="M3" s="7">
        <v>8</v>
      </c>
      <c r="N3" s="7">
        <v>9</v>
      </c>
      <c r="O3" s="7">
        <v>10</v>
      </c>
      <c r="P3" s="7">
        <v>11</v>
      </c>
      <c r="Q3" s="7">
        <v>12</v>
      </c>
      <c r="R3" s="7">
        <v>13</v>
      </c>
      <c r="S3" s="7">
        <v>14</v>
      </c>
      <c r="T3" s="7">
        <v>15</v>
      </c>
      <c r="U3" s="194">
        <v>16</v>
      </c>
      <c r="V3" s="193">
        <v>17</v>
      </c>
      <c r="W3" s="7">
        <v>18</v>
      </c>
      <c r="X3" s="7">
        <v>19</v>
      </c>
      <c r="Y3" s="7">
        <v>20</v>
      </c>
      <c r="Z3" s="7">
        <v>21</v>
      </c>
      <c r="AA3" s="7">
        <v>22</v>
      </c>
      <c r="AB3" s="7">
        <v>23</v>
      </c>
      <c r="AC3" s="7">
        <v>24</v>
      </c>
      <c r="AD3" s="7">
        <v>25</v>
      </c>
      <c r="AE3" s="7">
        <v>26</v>
      </c>
      <c r="AF3" s="7">
        <v>27</v>
      </c>
      <c r="AG3" s="192">
        <v>28</v>
      </c>
      <c r="AH3" s="193">
        <v>29</v>
      </c>
      <c r="AI3" s="7">
        <v>30</v>
      </c>
      <c r="AJ3" s="7">
        <v>31</v>
      </c>
      <c r="AK3" s="7">
        <v>32</v>
      </c>
      <c r="AL3" s="7">
        <v>33</v>
      </c>
      <c r="AM3" s="7">
        <v>34</v>
      </c>
      <c r="AN3" s="7">
        <v>35</v>
      </c>
      <c r="AO3" s="7">
        <v>36</v>
      </c>
      <c r="AP3" s="7">
        <v>37</v>
      </c>
      <c r="AQ3" s="7">
        <v>38</v>
      </c>
      <c r="AR3" s="7">
        <v>39</v>
      </c>
      <c r="AS3" s="194">
        <v>40</v>
      </c>
      <c r="AT3" s="195">
        <v>41</v>
      </c>
      <c r="AU3" s="7">
        <v>42</v>
      </c>
      <c r="AV3" s="7">
        <v>43</v>
      </c>
      <c r="AW3" s="7">
        <v>44</v>
      </c>
      <c r="AX3" s="7">
        <v>45</v>
      </c>
      <c r="AY3" s="7">
        <v>46</v>
      </c>
      <c r="AZ3" s="7">
        <v>47</v>
      </c>
      <c r="BA3" s="7">
        <v>48</v>
      </c>
      <c r="BB3" s="7">
        <v>49</v>
      </c>
      <c r="BC3" s="7">
        <v>50</v>
      </c>
      <c r="BD3" s="7">
        <v>51</v>
      </c>
      <c r="BE3" s="7">
        <v>52</v>
      </c>
      <c r="BF3" s="7">
        <v>53</v>
      </c>
      <c r="BG3" s="7">
        <v>54</v>
      </c>
      <c r="BH3" s="7">
        <v>55</v>
      </c>
      <c r="BI3" s="7">
        <v>53</v>
      </c>
      <c r="BJ3" s="7">
        <v>54</v>
      </c>
      <c r="BK3" s="7">
        <v>55</v>
      </c>
      <c r="BL3" s="7">
        <v>53</v>
      </c>
      <c r="BM3" s="7">
        <v>54</v>
      </c>
      <c r="BN3" s="7">
        <v>55</v>
      </c>
      <c r="BO3" s="7">
        <v>53</v>
      </c>
      <c r="BP3" s="7">
        <v>54</v>
      </c>
      <c r="BQ3" s="7">
        <v>55</v>
      </c>
    </row>
    <row r="4" spans="1:73" ht="82.5" customHeight="1">
      <c r="A4" s="28" t="s">
        <v>36</v>
      </c>
      <c r="B4" s="30">
        <v>14439.4</v>
      </c>
      <c r="C4" s="30"/>
      <c r="D4" s="1"/>
      <c r="E4" s="1"/>
      <c r="F4" s="56" t="s">
        <v>37</v>
      </c>
      <c r="G4" s="1"/>
      <c r="H4" s="1"/>
      <c r="I4" s="196"/>
      <c r="J4" s="197"/>
      <c r="K4" s="1"/>
      <c r="L4" s="1"/>
      <c r="M4" s="1"/>
      <c r="N4" s="1"/>
      <c r="O4" s="1"/>
      <c r="P4" s="1"/>
      <c r="Q4" s="1"/>
      <c r="R4" s="1"/>
      <c r="S4" s="1"/>
      <c r="T4" s="1"/>
      <c r="U4" s="198"/>
      <c r="V4" s="197"/>
      <c r="W4" s="1"/>
      <c r="X4" s="1"/>
      <c r="Y4" s="1"/>
      <c r="Z4" s="1"/>
      <c r="AA4" s="1"/>
      <c r="AB4" s="1"/>
      <c r="AC4" s="1"/>
      <c r="AD4" s="1"/>
      <c r="AE4" s="1"/>
      <c r="AF4" s="1"/>
      <c r="AG4" s="196"/>
      <c r="AH4" s="197"/>
      <c r="AI4" s="1"/>
      <c r="AJ4" s="1"/>
      <c r="AK4" s="1"/>
      <c r="AL4" s="1"/>
      <c r="AM4" s="1"/>
      <c r="AN4" s="1"/>
      <c r="AO4" s="1"/>
      <c r="AP4" s="1"/>
      <c r="AQ4" s="1"/>
      <c r="AR4" s="1"/>
      <c r="AS4" s="198"/>
      <c r="AT4" s="199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73" ht="82.5" customHeight="1">
      <c r="A5" s="28" t="s">
        <v>38</v>
      </c>
      <c r="B5" s="30">
        <v>18331.740000000002</v>
      </c>
      <c r="C5" s="30">
        <v>27707.46</v>
      </c>
      <c r="D5" s="1">
        <v>9</v>
      </c>
      <c r="E5" s="1">
        <v>26</v>
      </c>
      <c r="F5" s="55"/>
      <c r="G5" s="55"/>
      <c r="H5" s="55"/>
      <c r="I5" s="200"/>
      <c r="J5" s="201"/>
      <c r="K5" s="55"/>
      <c r="L5" s="55"/>
      <c r="M5" s="55"/>
      <c r="N5" s="55"/>
      <c r="O5" s="55"/>
      <c r="P5" s="55"/>
      <c r="Q5" s="55"/>
      <c r="R5" s="55"/>
      <c r="S5" s="55"/>
      <c r="T5" s="56" t="s">
        <v>37</v>
      </c>
      <c r="U5" s="198"/>
      <c r="V5" s="202" t="s">
        <v>39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96"/>
      <c r="AH5" s="197"/>
      <c r="AI5" s="1"/>
      <c r="AJ5" s="1"/>
      <c r="AK5" s="1"/>
      <c r="AL5" s="1"/>
      <c r="AM5" s="1"/>
      <c r="AN5" s="1"/>
      <c r="AO5" s="1"/>
      <c r="AP5" s="1"/>
      <c r="AQ5" s="1"/>
      <c r="AR5" s="1"/>
      <c r="AS5" s="198"/>
      <c r="AT5" s="19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73" ht="82.5" customHeight="1">
      <c r="A6" s="28" t="s">
        <v>40</v>
      </c>
      <c r="B6" s="30">
        <v>10065.540000000001</v>
      </c>
      <c r="C6" s="30">
        <v>13453.37</v>
      </c>
      <c r="D6" s="1">
        <v>9</v>
      </c>
      <c r="E6" s="1">
        <v>24</v>
      </c>
      <c r="F6" s="48" t="s">
        <v>41</v>
      </c>
      <c r="G6" s="55"/>
      <c r="H6" s="55"/>
      <c r="I6" s="200"/>
      <c r="J6" s="201"/>
      <c r="K6" s="55"/>
      <c r="L6" s="203">
        <v>18000</v>
      </c>
      <c r="M6" s="55"/>
      <c r="N6" s="55"/>
      <c r="O6" s="55"/>
      <c r="P6" s="55"/>
      <c r="Q6" s="55"/>
      <c r="R6" s="55"/>
      <c r="S6" s="55"/>
      <c r="T6" s="55"/>
      <c r="U6" s="204" t="s">
        <v>37</v>
      </c>
      <c r="V6" s="202" t="s">
        <v>42</v>
      </c>
      <c r="W6" s="202"/>
      <c r="X6" s="1"/>
      <c r="Y6" s="1"/>
      <c r="Z6" s="1"/>
      <c r="AA6" s="1"/>
      <c r="AB6" s="1"/>
      <c r="AC6" s="1"/>
      <c r="AD6" s="1"/>
      <c r="AE6" s="1"/>
      <c r="AF6" s="1"/>
      <c r="AG6" s="196"/>
      <c r="AH6" s="197"/>
      <c r="AI6" s="1"/>
      <c r="AJ6" s="1"/>
      <c r="AK6" s="1"/>
      <c r="AL6" s="1"/>
      <c r="AM6" s="1"/>
      <c r="AN6" s="1"/>
      <c r="AO6" s="1"/>
      <c r="AP6" s="1"/>
      <c r="AQ6" s="1"/>
      <c r="AR6" s="1"/>
      <c r="AS6" s="198"/>
      <c r="AT6" s="199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73" ht="82.5" customHeight="1">
      <c r="A7" s="35" t="s">
        <v>43</v>
      </c>
      <c r="B7" s="30">
        <v>10000</v>
      </c>
      <c r="C7" s="30">
        <v>13365.770738579351</v>
      </c>
      <c r="D7" s="1">
        <v>9</v>
      </c>
      <c r="E7" s="1">
        <v>18</v>
      </c>
      <c r="F7" s="50" t="s">
        <v>44</v>
      </c>
      <c r="G7" s="1"/>
      <c r="H7" s="1"/>
      <c r="I7" s="1"/>
      <c r="J7" s="1">
        <v>19000</v>
      </c>
      <c r="K7" s="205" t="s">
        <v>45</v>
      </c>
      <c r="L7" s="54" t="s">
        <v>46</v>
      </c>
      <c r="M7" s="55"/>
      <c r="N7" s="55"/>
      <c r="O7" s="48" t="s">
        <v>41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6" t="s">
        <v>37</v>
      </c>
      <c r="AD7" s="202" t="s">
        <v>47</v>
      </c>
      <c r="AE7" s="202"/>
      <c r="AF7" s="1"/>
      <c r="AG7" s="196"/>
      <c r="AH7" s="197"/>
      <c r="AI7" s="1"/>
      <c r="AJ7" s="1"/>
      <c r="AK7" s="1"/>
      <c r="AL7" s="1"/>
      <c r="AM7" s="1"/>
      <c r="AN7" s="1"/>
      <c r="AO7" s="1"/>
      <c r="AP7" s="1"/>
      <c r="AQ7" s="1"/>
      <c r="AR7" s="1"/>
      <c r="AS7" s="198"/>
      <c r="AT7" s="199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</row>
    <row r="8" spans="1:73" ht="82.5" customHeight="1">
      <c r="A8" s="35" t="s">
        <v>48</v>
      </c>
      <c r="B8" s="30">
        <v>25000</v>
      </c>
      <c r="C8" s="30">
        <f t="shared" ref="C8:C9" si="0">B8*1.33</f>
        <v>33250</v>
      </c>
      <c r="D8" s="1">
        <v>9</v>
      </c>
      <c r="E8" s="1">
        <v>18</v>
      </c>
      <c r="F8" s="206"/>
      <c r="G8" s="1"/>
      <c r="H8" s="1"/>
      <c r="I8" s="50" t="s">
        <v>189</v>
      </c>
      <c r="J8" s="196">
        <v>2500</v>
      </c>
      <c r="K8" s="196"/>
      <c r="L8" s="196">
        <v>22000</v>
      </c>
      <c r="M8" s="205" t="s">
        <v>45</v>
      </c>
      <c r="N8" s="53" t="s">
        <v>49</v>
      </c>
      <c r="O8" s="54" t="s">
        <v>46</v>
      </c>
      <c r="P8" s="55"/>
      <c r="Q8" s="55"/>
      <c r="R8" s="48" t="s">
        <v>41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6" t="s">
        <v>37</v>
      </c>
      <c r="AG8" s="202" t="s">
        <v>50</v>
      </c>
      <c r="AH8" s="197"/>
      <c r="AI8" s="1"/>
      <c r="AJ8" s="1"/>
      <c r="AK8" s="1"/>
      <c r="AL8" s="1"/>
      <c r="AM8" s="1"/>
      <c r="AN8" s="1"/>
      <c r="AO8" s="1"/>
      <c r="AP8" s="1"/>
      <c r="AQ8" s="1"/>
      <c r="AR8" s="1"/>
      <c r="AS8" s="198"/>
      <c r="AT8" s="199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73" ht="82.5" customHeight="1">
      <c r="A9" s="40" t="s">
        <v>51</v>
      </c>
      <c r="B9" s="30">
        <v>14000</v>
      </c>
      <c r="C9" s="30">
        <f t="shared" si="0"/>
        <v>18620</v>
      </c>
      <c r="D9" s="1">
        <v>9</v>
      </c>
      <c r="E9" s="1">
        <v>18</v>
      </c>
      <c r="F9" s="1"/>
      <c r="G9" s="52"/>
      <c r="H9" s="50" t="s">
        <v>190</v>
      </c>
      <c r="I9" s="52"/>
      <c r="J9" s="52">
        <v>3000</v>
      </c>
      <c r="K9" s="196"/>
      <c r="L9" s="196"/>
      <c r="M9" s="196">
        <v>20000</v>
      </c>
      <c r="N9" s="205" t="s">
        <v>45</v>
      </c>
      <c r="O9" s="53" t="s">
        <v>49</v>
      </c>
      <c r="P9" s="54" t="s">
        <v>46</v>
      </c>
      <c r="Q9" s="55"/>
      <c r="R9" s="55"/>
      <c r="S9" s="48" t="s">
        <v>41</v>
      </c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207" t="s">
        <v>37</v>
      </c>
      <c r="AH9" s="202" t="s">
        <v>52</v>
      </c>
      <c r="AI9" s="1"/>
      <c r="AJ9" s="1"/>
      <c r="AK9" s="1"/>
      <c r="AL9" s="1"/>
      <c r="AM9" s="1"/>
      <c r="AN9" s="1"/>
      <c r="AO9" s="1"/>
      <c r="AP9" s="1"/>
      <c r="AQ9" s="198"/>
      <c r="AR9" s="199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</row>
    <row r="10" spans="1:73" ht="82.5" customHeight="1">
      <c r="A10" s="41" t="s">
        <v>53</v>
      </c>
      <c r="B10" s="30">
        <v>18534.63</v>
      </c>
      <c r="C10" s="30">
        <f>B10*1.33</f>
        <v>24651.057900000003</v>
      </c>
      <c r="D10" s="1">
        <v>9</v>
      </c>
      <c r="E10" s="1">
        <v>18</v>
      </c>
      <c r="F10" s="50" t="s">
        <v>44</v>
      </c>
      <c r="G10" s="1" t="s">
        <v>54</v>
      </c>
      <c r="H10" s="205" t="s">
        <v>45</v>
      </c>
      <c r="I10" s="202" t="s">
        <v>55</v>
      </c>
      <c r="J10" s="53" t="s">
        <v>49</v>
      </c>
      <c r="K10" s="52"/>
      <c r="L10" s="1"/>
      <c r="M10" s="196"/>
      <c r="N10" s="196"/>
      <c r="O10" s="196"/>
      <c r="P10" s="54" t="s">
        <v>46</v>
      </c>
      <c r="Q10" s="55"/>
      <c r="R10" s="55"/>
      <c r="S10" s="48" t="s">
        <v>41</v>
      </c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6" t="s">
        <v>37</v>
      </c>
      <c r="AH10" s="202" t="s">
        <v>56</v>
      </c>
      <c r="AI10" s="1"/>
      <c r="AJ10" s="1"/>
      <c r="AK10" s="196"/>
      <c r="AL10" s="197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98"/>
      <c r="AX10" s="199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</row>
    <row r="11" spans="1:73" s="208" customFormat="1" ht="82.5" customHeight="1">
      <c r="A11" s="49" t="s">
        <v>58</v>
      </c>
      <c r="B11" s="33">
        <f>SUM(B4:B10)</f>
        <v>110371.31</v>
      </c>
      <c r="C11" s="33"/>
      <c r="D11" s="33"/>
      <c r="E11" s="48"/>
      <c r="F11" s="48"/>
      <c r="G11" s="48"/>
      <c r="H11" s="48"/>
      <c r="I11" s="209"/>
      <c r="J11" s="210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</row>
    <row r="12" spans="1:73" ht="82.5" customHeight="1">
      <c r="A12" s="35" t="s">
        <v>59</v>
      </c>
      <c r="B12" s="30">
        <v>10000</v>
      </c>
      <c r="C12" s="30">
        <v>13365.770738579351</v>
      </c>
      <c r="D12" s="1">
        <v>9</v>
      </c>
      <c r="E12" s="1">
        <v>18</v>
      </c>
      <c r="F12" s="50" t="s">
        <v>60</v>
      </c>
      <c r="G12" s="1" t="s">
        <v>61</v>
      </c>
      <c r="H12" s="205" t="s">
        <v>45</v>
      </c>
      <c r="I12" s="202" t="s">
        <v>55</v>
      </c>
      <c r="J12" s="53" t="s">
        <v>49</v>
      </c>
      <c r="K12" s="52"/>
      <c r="L12" s="1"/>
      <c r="M12" s="196"/>
      <c r="N12" s="196"/>
      <c r="O12" s="52"/>
      <c r="P12" s="52"/>
      <c r="Q12" s="1"/>
      <c r="R12" s="196"/>
      <c r="S12" s="196"/>
      <c r="T12" s="52"/>
      <c r="U12" s="1"/>
      <c r="V12" s="196"/>
      <c r="W12" s="196"/>
      <c r="X12" s="54" t="s">
        <v>46</v>
      </c>
      <c r="Y12" s="55"/>
      <c r="Z12" s="55"/>
      <c r="AA12" s="48" t="s">
        <v>41</v>
      </c>
      <c r="AB12" s="55"/>
      <c r="AC12" s="55"/>
      <c r="AD12" s="55"/>
      <c r="AE12" s="55"/>
      <c r="AF12" s="55"/>
      <c r="AG12" s="55"/>
      <c r="AH12" s="55"/>
      <c r="AI12" s="55"/>
      <c r="AJ12" s="55"/>
      <c r="AK12" s="200"/>
      <c r="AL12" s="201"/>
      <c r="AM12" s="55"/>
      <c r="AN12" s="55"/>
      <c r="AO12" s="56" t="s">
        <v>37</v>
      </c>
      <c r="AP12" s="202" t="s">
        <v>47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73" ht="74.45" customHeight="1">
      <c r="A13" s="57" t="s">
        <v>62</v>
      </c>
      <c r="B13" s="58">
        <v>25000</v>
      </c>
      <c r="C13" s="30">
        <f>C8</f>
        <v>33250</v>
      </c>
      <c r="D13" s="1">
        <v>10</v>
      </c>
      <c r="E13" s="1">
        <v>18</v>
      </c>
      <c r="F13" s="1"/>
      <c r="G13" s="1"/>
      <c r="H13" s="1"/>
      <c r="I13" s="50" t="s">
        <v>44</v>
      </c>
      <c r="J13" s="196"/>
      <c r="K13" s="196"/>
      <c r="L13" s="196"/>
      <c r="M13" s="205" t="s">
        <v>45</v>
      </c>
      <c r="N13" s="53" t="s">
        <v>49</v>
      </c>
      <c r="O13" s="1"/>
      <c r="P13" s="1"/>
      <c r="Q13" s="1"/>
      <c r="R13" s="1"/>
      <c r="S13" s="1"/>
      <c r="T13" s="1"/>
      <c r="U13" s="198"/>
      <c r="V13" s="197"/>
      <c r="W13" s="1"/>
      <c r="X13" s="1"/>
      <c r="Y13" s="1"/>
      <c r="Z13" s="54" t="s">
        <v>46</v>
      </c>
      <c r="AA13" s="55"/>
      <c r="AB13" s="55"/>
      <c r="AC13" s="48" t="s">
        <v>41</v>
      </c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6" t="s">
        <v>37</v>
      </c>
      <c r="AR13" s="202" t="s">
        <v>50</v>
      </c>
      <c r="AS13" s="198"/>
      <c r="AT13" s="199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</row>
    <row r="14" spans="1:73" ht="82.5" customHeight="1">
      <c r="A14" s="40" t="s">
        <v>51</v>
      </c>
      <c r="B14" s="30">
        <v>6000</v>
      </c>
      <c r="C14" s="30">
        <f>B14*1.33</f>
        <v>7980</v>
      </c>
      <c r="D14" s="1">
        <v>9</v>
      </c>
      <c r="E14" s="1">
        <v>18</v>
      </c>
      <c r="F14" s="1"/>
      <c r="G14" s="52"/>
      <c r="H14" s="50" t="s">
        <v>44</v>
      </c>
      <c r="I14" s="52"/>
      <c r="J14" s="1"/>
      <c r="K14" s="196"/>
      <c r="L14" s="196"/>
      <c r="M14" s="196"/>
      <c r="N14" s="205" t="s">
        <v>45</v>
      </c>
      <c r="O14" s="53" t="s">
        <v>49</v>
      </c>
      <c r="P14" s="54" t="s">
        <v>46</v>
      </c>
      <c r="Q14" s="55"/>
      <c r="R14" s="55"/>
      <c r="S14" s="48" t="s">
        <v>41</v>
      </c>
      <c r="T14" s="1"/>
      <c r="U14" s="1"/>
      <c r="V14" s="1"/>
      <c r="W14" s="1"/>
      <c r="X14" s="1"/>
      <c r="Y14" s="1"/>
      <c r="Z14" s="1"/>
      <c r="AA14" s="1"/>
      <c r="AB14" s="1"/>
      <c r="AC14" s="54" t="s">
        <v>46</v>
      </c>
      <c r="AD14" s="55"/>
      <c r="AE14" s="55"/>
      <c r="AF14" s="48" t="s">
        <v>41</v>
      </c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207" t="s">
        <v>37</v>
      </c>
      <c r="AU14" s="202" t="s">
        <v>52</v>
      </c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 spans="1:73" ht="40.5" customHeight="1">
      <c r="A15" s="57" t="s">
        <v>63</v>
      </c>
      <c r="B15" s="30">
        <f>B14+B12+B13</f>
        <v>41000</v>
      </c>
      <c r="C15" s="30">
        <f>C14+C12+C13</f>
        <v>54595.770738579347</v>
      </c>
      <c r="D15" s="1"/>
      <c r="E15" s="1"/>
      <c r="F15" s="1"/>
      <c r="G15" s="1"/>
      <c r="H15" s="1"/>
      <c r="I15" s="196"/>
      <c r="J15" s="197"/>
      <c r="K15" s="1"/>
      <c r="L15" s="1"/>
      <c r="M15" s="1"/>
      <c r="N15" s="1"/>
      <c r="O15" s="1"/>
      <c r="P15" s="1"/>
      <c r="Q15" s="1"/>
      <c r="R15" s="1"/>
      <c r="S15" s="1"/>
      <c r="T15" s="1"/>
      <c r="U15" s="198"/>
      <c r="V15" s="197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96"/>
      <c r="AH15" s="197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98"/>
      <c r="AT15" s="199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</row>
    <row r="16" spans="1:73" ht="82.5" customHeight="1">
      <c r="A16" s="1"/>
      <c r="B16" s="1"/>
      <c r="C16" s="1"/>
      <c r="D16" s="1"/>
      <c r="E16" s="1"/>
      <c r="F16" s="1"/>
      <c r="G16" s="1"/>
      <c r="H16" s="1"/>
      <c r="I16" s="196"/>
      <c r="J16" s="197"/>
      <c r="K16" s="1"/>
      <c r="L16" s="1"/>
      <c r="M16" s="1"/>
      <c r="N16" s="1"/>
      <c r="O16" s="1"/>
      <c r="P16" s="1"/>
      <c r="Q16" s="1"/>
      <c r="R16" s="1"/>
      <c r="S16" s="1"/>
      <c r="T16" s="1"/>
      <c r="U16" s="198"/>
      <c r="V16" s="197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96"/>
      <c r="AH16" s="197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98"/>
      <c r="AT16" s="199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 spans="1:69" ht="82.5" customHeight="1">
      <c r="A17" s="1"/>
      <c r="B17" s="1"/>
      <c r="C17" s="1"/>
      <c r="D17" s="1"/>
      <c r="E17" s="1"/>
      <c r="F17" s="1"/>
      <c r="G17" s="1"/>
      <c r="H17" s="1"/>
      <c r="I17" s="196"/>
      <c r="J17" s="211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3"/>
      <c r="V17" s="211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4"/>
      <c r="AH17" s="211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3"/>
      <c r="AT17" s="199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 spans="1:69">
      <c r="A18" s="215"/>
      <c r="AG18" s="216"/>
    </row>
    <row r="19" spans="1:69">
      <c r="A19" s="215"/>
      <c r="AG19" s="216"/>
    </row>
    <row r="20" spans="1:69">
      <c r="J20" s="316">
        <f>B5+B6+B4</f>
        <v>42836.68</v>
      </c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8"/>
      <c r="V20" s="319" t="e">
        <f>B7+B8+B10+B9+#REF!</f>
        <v>#REF!</v>
      </c>
      <c r="W20" s="320"/>
      <c r="X20" s="320"/>
      <c r="Y20" s="320"/>
      <c r="Z20" s="320"/>
      <c r="AA20" s="320"/>
      <c r="AB20" s="320"/>
      <c r="AC20" s="320"/>
      <c r="AD20" s="320"/>
      <c r="AE20" s="320"/>
      <c r="AF20" s="320"/>
      <c r="AG20" s="321"/>
      <c r="AH20" s="316" t="e">
        <f>#REF!+B11+#REF!+B12</f>
        <v>#REF!</v>
      </c>
      <c r="AI20" s="317"/>
      <c r="AJ20" s="317"/>
      <c r="AK20" s="317"/>
      <c r="AL20" s="317"/>
      <c r="AM20" s="317"/>
      <c r="AN20" s="317"/>
      <c r="AO20" s="317"/>
      <c r="AP20" s="317"/>
      <c r="AQ20" s="317"/>
      <c r="AR20" s="317"/>
      <c r="AS20" s="318"/>
      <c r="AT20" s="316" t="e">
        <f>#REF!++B11+#REF!</f>
        <v>#REF!</v>
      </c>
      <c r="AU20" s="317"/>
      <c r="AV20" s="317"/>
      <c r="AW20" s="317"/>
      <c r="AX20" s="317"/>
      <c r="AY20" s="317"/>
      <c r="AZ20" s="317"/>
      <c r="BA20" s="317"/>
      <c r="BB20" s="317"/>
      <c r="BC20" s="317"/>
      <c r="BD20" s="317"/>
      <c r="BE20" s="318"/>
      <c r="BF20" s="322"/>
      <c r="BG20" s="317"/>
      <c r="BH20" s="317"/>
      <c r="BI20" s="317"/>
      <c r="BJ20" s="317"/>
      <c r="BK20" s="317"/>
      <c r="BL20" s="317"/>
      <c r="BM20" s="317"/>
      <c r="BN20" s="317"/>
      <c r="BO20" s="317"/>
      <c r="BP20" s="317"/>
      <c r="BQ20" s="318"/>
    </row>
    <row r="21" spans="1:69" ht="26.25">
      <c r="A21" s="215"/>
      <c r="V21" s="313" t="e">
        <f>V20+J20</f>
        <v>#REF!</v>
      </c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5"/>
      <c r="AH21" s="316" t="e">
        <f>AH20+V21</f>
        <v>#REF!</v>
      </c>
      <c r="AI21" s="317"/>
      <c r="AJ21" s="317"/>
      <c r="AK21" s="317"/>
      <c r="AL21" s="317"/>
      <c r="AM21" s="317"/>
      <c r="AN21" s="317"/>
      <c r="AO21" s="317"/>
      <c r="AP21" s="317"/>
      <c r="AQ21" s="317"/>
      <c r="AR21" s="317"/>
      <c r="AS21" s="318"/>
    </row>
    <row r="22" spans="1:69">
      <c r="A22" s="215"/>
    </row>
    <row r="23" spans="1:69" ht="26.25">
      <c r="AL23" s="62" t="s">
        <v>64</v>
      </c>
      <c r="AM23" s="217" t="e">
        <f>AH20-100000</f>
        <v>#REF!</v>
      </c>
    </row>
  </sheetData>
  <mergeCells count="32">
    <mergeCell ref="A1:A3"/>
    <mergeCell ref="B1:C2"/>
    <mergeCell ref="D1:D3"/>
    <mergeCell ref="E1:E3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  <mergeCell ref="AT1:AV1"/>
    <mergeCell ref="AW1:AY1"/>
    <mergeCell ref="AZ1:BB1"/>
    <mergeCell ref="AT20:BE20"/>
    <mergeCell ref="BF20:BQ20"/>
    <mergeCell ref="BC1:BE1"/>
    <mergeCell ref="BF1:BH1"/>
    <mergeCell ref="BI1:BK1"/>
    <mergeCell ref="BL1:BN1"/>
    <mergeCell ref="BO1:BQ1"/>
    <mergeCell ref="V21:AG21"/>
    <mergeCell ref="AH21:AS21"/>
    <mergeCell ref="J20:U20"/>
    <mergeCell ref="V20:AG20"/>
    <mergeCell ref="AH20:AS20"/>
  </mergeCells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I25"/>
  <sheetViews>
    <sheetView zoomScale="70" workbookViewId="0">
      <pane xSplit="5" ySplit="3" topLeftCell="F4" activePane="bottomRight" state="frozen"/>
      <selection activeCell="F4" sqref="F4"/>
      <selection pane="topRight"/>
      <selection pane="bottomLeft"/>
      <selection pane="bottomRight" activeCell="F4" sqref="F4"/>
    </sheetView>
  </sheetViews>
  <sheetFormatPr defaultColWidth="9.140625" defaultRowHeight="15"/>
  <cols>
    <col min="1" max="1" width="19.7109375" style="62" customWidth="1"/>
    <col min="2" max="2" width="13.85546875" style="62" customWidth="1"/>
    <col min="3" max="3" width="12.140625" style="62" customWidth="1"/>
    <col min="4" max="4" width="7.140625" style="62" customWidth="1"/>
    <col min="5" max="5" width="8.28515625" style="62" customWidth="1"/>
    <col min="6" max="16384" width="9.140625" style="62"/>
  </cols>
  <sheetData>
    <row r="1" spans="1:87" s="185" customFormat="1">
      <c r="A1" s="333" t="s">
        <v>0</v>
      </c>
      <c r="B1" s="336" t="s">
        <v>1</v>
      </c>
      <c r="C1" s="337"/>
      <c r="D1" s="340" t="s">
        <v>2</v>
      </c>
      <c r="E1" s="340" t="s">
        <v>3</v>
      </c>
      <c r="F1" s="4" t="s">
        <v>4</v>
      </c>
      <c r="G1" s="272" t="s">
        <v>5</v>
      </c>
      <c r="H1" s="272"/>
      <c r="I1" s="272"/>
      <c r="J1" s="272" t="s">
        <v>6</v>
      </c>
      <c r="K1" s="272"/>
      <c r="L1" s="272"/>
      <c r="M1" s="272" t="s">
        <v>7</v>
      </c>
      <c r="N1" s="272"/>
      <c r="O1" s="272"/>
      <c r="P1" s="272" t="s">
        <v>8</v>
      </c>
      <c r="Q1" s="272"/>
      <c r="R1" s="272"/>
      <c r="S1" s="272" t="s">
        <v>9</v>
      </c>
      <c r="T1" s="272"/>
      <c r="U1" s="272"/>
      <c r="V1" s="272" t="s">
        <v>10</v>
      </c>
      <c r="W1" s="272"/>
      <c r="X1" s="272"/>
      <c r="Y1" s="272" t="s">
        <v>11</v>
      </c>
      <c r="Z1" s="272"/>
      <c r="AA1" s="272"/>
      <c r="AB1" s="272" t="s">
        <v>12</v>
      </c>
      <c r="AC1" s="272"/>
      <c r="AD1" s="272"/>
      <c r="AE1" s="272" t="s">
        <v>13</v>
      </c>
      <c r="AF1" s="272"/>
      <c r="AG1" s="272"/>
      <c r="AH1" s="272" t="s">
        <v>14</v>
      </c>
      <c r="AI1" s="272"/>
      <c r="AJ1" s="272"/>
      <c r="AK1" s="272" t="s">
        <v>15</v>
      </c>
      <c r="AL1" s="272"/>
      <c r="AM1" s="272"/>
      <c r="AN1" s="272" t="s">
        <v>16</v>
      </c>
      <c r="AO1" s="272"/>
      <c r="AP1" s="272"/>
      <c r="AQ1" s="272" t="s">
        <v>17</v>
      </c>
      <c r="AR1" s="272"/>
      <c r="AS1" s="272"/>
      <c r="AT1" s="272" t="s">
        <v>18</v>
      </c>
      <c r="AU1" s="272"/>
      <c r="AV1" s="272"/>
      <c r="AW1" s="272" t="s">
        <v>19</v>
      </c>
      <c r="AX1" s="272"/>
      <c r="AY1" s="272"/>
      <c r="AZ1" s="272" t="s">
        <v>20</v>
      </c>
      <c r="BA1" s="272"/>
      <c r="BB1" s="272"/>
      <c r="BC1" s="272" t="s">
        <v>21</v>
      </c>
      <c r="BD1" s="272"/>
      <c r="BE1" s="272"/>
      <c r="BF1" s="272" t="s">
        <v>22</v>
      </c>
      <c r="BG1" s="272"/>
      <c r="BH1" s="272"/>
      <c r="BI1" s="272" t="s">
        <v>23</v>
      </c>
      <c r="BJ1" s="272"/>
      <c r="BK1" s="272"/>
      <c r="BL1" s="272" t="s">
        <v>24</v>
      </c>
      <c r="BM1" s="272"/>
      <c r="BN1" s="272"/>
      <c r="BO1" s="272" t="s">
        <v>25</v>
      </c>
      <c r="BP1" s="272"/>
      <c r="BQ1" s="272"/>
    </row>
    <row r="2" spans="1:87" s="185" customFormat="1" ht="20.25" customHeight="1">
      <c r="A2" s="334"/>
      <c r="B2" s="338"/>
      <c r="C2" s="339"/>
      <c r="D2" s="341"/>
      <c r="E2" s="341"/>
      <c r="F2" s="186">
        <v>44805</v>
      </c>
      <c r="G2" s="186">
        <v>44835</v>
      </c>
      <c r="H2" s="186">
        <v>44866</v>
      </c>
      <c r="I2" s="186">
        <v>44896</v>
      </c>
      <c r="J2" s="186">
        <v>44927</v>
      </c>
      <c r="K2" s="186">
        <v>44958</v>
      </c>
      <c r="L2" s="186">
        <v>44986</v>
      </c>
      <c r="M2" s="186">
        <v>45017</v>
      </c>
      <c r="N2" s="186">
        <v>45047</v>
      </c>
      <c r="O2" s="186">
        <v>45078</v>
      </c>
      <c r="P2" s="186">
        <v>45108</v>
      </c>
      <c r="Q2" s="186">
        <v>45139</v>
      </c>
      <c r="R2" s="186">
        <v>45170</v>
      </c>
      <c r="S2" s="186">
        <v>45200</v>
      </c>
      <c r="T2" s="186">
        <v>45231</v>
      </c>
      <c r="U2" s="186">
        <v>45261</v>
      </c>
      <c r="V2" s="186">
        <v>45292</v>
      </c>
      <c r="W2" s="186">
        <v>45323</v>
      </c>
      <c r="X2" s="186">
        <v>45352</v>
      </c>
      <c r="Y2" s="186">
        <v>45383</v>
      </c>
      <c r="Z2" s="186">
        <v>45413</v>
      </c>
      <c r="AA2" s="186">
        <v>45444</v>
      </c>
      <c r="AB2" s="186">
        <v>45474</v>
      </c>
      <c r="AC2" s="186">
        <v>45505</v>
      </c>
      <c r="AD2" s="186">
        <v>45536</v>
      </c>
      <c r="AE2" s="186">
        <v>45566</v>
      </c>
      <c r="AF2" s="186">
        <v>45597</v>
      </c>
      <c r="AG2" s="186">
        <v>45627</v>
      </c>
      <c r="AH2" s="186">
        <v>45658</v>
      </c>
      <c r="AI2" s="186">
        <v>45689</v>
      </c>
      <c r="AJ2" s="186">
        <v>45717</v>
      </c>
      <c r="AK2" s="186">
        <v>45748</v>
      </c>
      <c r="AL2" s="186">
        <v>45778</v>
      </c>
      <c r="AM2" s="186">
        <v>45809</v>
      </c>
      <c r="AN2" s="186">
        <v>45839</v>
      </c>
      <c r="AO2" s="186">
        <v>45870</v>
      </c>
      <c r="AP2" s="186">
        <v>45901</v>
      </c>
      <c r="AQ2" s="186">
        <v>45931</v>
      </c>
      <c r="AR2" s="186">
        <v>45962</v>
      </c>
      <c r="AS2" s="186">
        <v>45992</v>
      </c>
      <c r="AT2" s="186">
        <v>46023</v>
      </c>
      <c r="AU2" s="186">
        <v>46054</v>
      </c>
      <c r="AV2" s="186">
        <v>46082</v>
      </c>
      <c r="AW2" s="186">
        <v>46113</v>
      </c>
      <c r="AX2" s="186">
        <v>46143</v>
      </c>
      <c r="AY2" s="186">
        <v>46174</v>
      </c>
      <c r="AZ2" s="186">
        <v>46204</v>
      </c>
      <c r="BA2" s="186">
        <v>46235</v>
      </c>
      <c r="BB2" s="186">
        <v>46266</v>
      </c>
      <c r="BC2" s="186">
        <v>46296</v>
      </c>
      <c r="BD2" s="186">
        <v>46327</v>
      </c>
      <c r="BE2" s="186">
        <v>46357</v>
      </c>
      <c r="BF2" s="186">
        <v>46388</v>
      </c>
      <c r="BG2" s="186">
        <v>46419</v>
      </c>
      <c r="BH2" s="186">
        <v>46447</v>
      </c>
      <c r="BI2" s="186">
        <v>46478</v>
      </c>
      <c r="BJ2" s="186">
        <v>46508</v>
      </c>
      <c r="BK2" s="186">
        <v>46539</v>
      </c>
      <c r="BL2" s="186">
        <v>46569</v>
      </c>
      <c r="BM2" s="186">
        <v>46600</v>
      </c>
      <c r="BN2" s="186">
        <v>46631</v>
      </c>
      <c r="BO2" s="186">
        <v>46661</v>
      </c>
      <c r="BP2" s="186">
        <v>46692</v>
      </c>
      <c r="BQ2" s="186">
        <v>46722</v>
      </c>
    </row>
    <row r="3" spans="1:87" s="191" customFormat="1" ht="33" customHeight="1">
      <c r="A3" s="335"/>
      <c r="B3" s="3" t="s">
        <v>26</v>
      </c>
      <c r="C3" s="3" t="s">
        <v>27</v>
      </c>
      <c r="D3" s="342"/>
      <c r="E3" s="342"/>
      <c r="F3" s="7">
        <v>1</v>
      </c>
      <c r="G3" s="7">
        <v>2</v>
      </c>
      <c r="H3" s="7">
        <v>3</v>
      </c>
      <c r="I3" s="7">
        <v>4</v>
      </c>
      <c r="J3" s="7">
        <v>5</v>
      </c>
      <c r="K3" s="7">
        <v>6</v>
      </c>
      <c r="L3" s="7">
        <v>7</v>
      </c>
      <c r="M3" s="7">
        <v>8</v>
      </c>
      <c r="N3" s="7">
        <v>9</v>
      </c>
      <c r="O3" s="7">
        <v>10</v>
      </c>
      <c r="P3" s="7">
        <v>11</v>
      </c>
      <c r="Q3" s="7">
        <v>12</v>
      </c>
      <c r="R3" s="7">
        <v>13</v>
      </c>
      <c r="S3" s="7">
        <v>14</v>
      </c>
      <c r="T3" s="7">
        <v>15</v>
      </c>
      <c r="U3" s="7">
        <v>16</v>
      </c>
      <c r="V3" s="7">
        <v>17</v>
      </c>
      <c r="W3" s="7">
        <v>18</v>
      </c>
      <c r="X3" s="7">
        <v>19</v>
      </c>
      <c r="Y3" s="7">
        <v>20</v>
      </c>
      <c r="Z3" s="7">
        <v>21</v>
      </c>
      <c r="AA3" s="7">
        <v>22</v>
      </c>
      <c r="AB3" s="7">
        <v>23</v>
      </c>
      <c r="AC3" s="7">
        <v>24</v>
      </c>
      <c r="AD3" s="7">
        <v>25</v>
      </c>
      <c r="AE3" s="7">
        <v>26</v>
      </c>
      <c r="AF3" s="7">
        <v>27</v>
      </c>
      <c r="AG3" s="7">
        <v>28</v>
      </c>
      <c r="AH3" s="7">
        <v>29</v>
      </c>
      <c r="AI3" s="7">
        <v>30</v>
      </c>
      <c r="AJ3" s="7">
        <v>31</v>
      </c>
      <c r="AK3" s="7">
        <v>32</v>
      </c>
      <c r="AL3" s="7">
        <v>33</v>
      </c>
      <c r="AM3" s="7">
        <v>34</v>
      </c>
      <c r="AN3" s="7">
        <v>35</v>
      </c>
      <c r="AO3" s="7">
        <v>36</v>
      </c>
      <c r="AP3" s="7">
        <v>37</v>
      </c>
      <c r="AQ3" s="7">
        <v>38</v>
      </c>
      <c r="AR3" s="7">
        <v>39</v>
      </c>
      <c r="AS3" s="7">
        <v>40</v>
      </c>
      <c r="AT3" s="7">
        <v>41</v>
      </c>
      <c r="AU3" s="7">
        <v>42</v>
      </c>
      <c r="AV3" s="7">
        <v>43</v>
      </c>
      <c r="AW3" s="7">
        <v>44</v>
      </c>
      <c r="AX3" s="7">
        <v>45</v>
      </c>
      <c r="AY3" s="7">
        <v>46</v>
      </c>
      <c r="AZ3" s="7">
        <v>47</v>
      </c>
      <c r="BA3" s="7">
        <v>48</v>
      </c>
      <c r="BB3" s="7">
        <v>49</v>
      </c>
      <c r="BC3" s="7">
        <v>50</v>
      </c>
      <c r="BD3" s="7">
        <v>51</v>
      </c>
      <c r="BE3" s="7">
        <v>52</v>
      </c>
      <c r="BF3" s="7">
        <v>53</v>
      </c>
      <c r="BG3" s="7">
        <v>54</v>
      </c>
      <c r="BH3" s="7">
        <v>55</v>
      </c>
      <c r="BI3" s="7">
        <v>53</v>
      </c>
      <c r="BJ3" s="7">
        <v>54</v>
      </c>
      <c r="BK3" s="7">
        <v>55</v>
      </c>
      <c r="BL3" s="7">
        <v>53</v>
      </c>
      <c r="BM3" s="7">
        <v>54</v>
      </c>
      <c r="BN3" s="7">
        <v>55</v>
      </c>
      <c r="BO3" s="7">
        <v>53</v>
      </c>
      <c r="BP3" s="7">
        <v>54</v>
      </c>
      <c r="BQ3" s="7">
        <v>55</v>
      </c>
    </row>
    <row r="4" spans="1:87" ht="42" customHeight="1">
      <c r="A4" s="35" t="s">
        <v>36</v>
      </c>
      <c r="B4" s="30">
        <v>14439.4</v>
      </c>
      <c r="C4" s="30"/>
      <c r="D4" s="1"/>
      <c r="E4" s="1"/>
      <c r="F4" s="56" t="s">
        <v>37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87" ht="42" customHeight="1">
      <c r="A5" s="35" t="s">
        <v>38</v>
      </c>
      <c r="B5" s="30">
        <v>18331.740000000002</v>
      </c>
      <c r="C5" s="30">
        <v>27707.46</v>
      </c>
      <c r="D5" s="1">
        <v>9</v>
      </c>
      <c r="E5" s="1">
        <v>26</v>
      </c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6" t="s">
        <v>37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87" ht="42" customHeight="1">
      <c r="A6" s="35" t="s">
        <v>40</v>
      </c>
      <c r="B6" s="30">
        <v>10065.540000000001</v>
      </c>
      <c r="C6" s="30">
        <v>13453.37</v>
      </c>
      <c r="D6" s="1">
        <v>9</v>
      </c>
      <c r="E6" s="1">
        <v>24</v>
      </c>
      <c r="F6" s="48" t="s">
        <v>41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6" t="s">
        <v>37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87" ht="42" customHeight="1">
      <c r="A7" s="35" t="s">
        <v>43</v>
      </c>
      <c r="B7" s="30">
        <v>10000</v>
      </c>
      <c r="C7" s="30">
        <v>13365.770738579351</v>
      </c>
      <c r="D7" s="1">
        <v>9</v>
      </c>
      <c r="E7" s="1">
        <v>18</v>
      </c>
      <c r="F7" s="1"/>
      <c r="G7" s="1"/>
      <c r="H7" s="1"/>
      <c r="I7" s="1"/>
      <c r="J7" s="1"/>
      <c r="K7" s="1"/>
      <c r="L7" s="54" t="s">
        <v>191</v>
      </c>
      <c r="M7" s="55"/>
      <c r="N7" s="55"/>
      <c r="O7" s="48" t="s">
        <v>41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6" t="s">
        <v>37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</row>
    <row r="8" spans="1:87" ht="42" customHeight="1">
      <c r="A8" s="35" t="s">
        <v>48</v>
      </c>
      <c r="B8" s="30">
        <v>20277.6666</v>
      </c>
      <c r="C8" s="30">
        <v>27402.252162162164</v>
      </c>
      <c r="D8" s="1">
        <v>10</v>
      </c>
      <c r="E8" s="1">
        <v>18</v>
      </c>
      <c r="F8" s="1"/>
      <c r="G8" s="1"/>
      <c r="H8" s="1"/>
      <c r="I8" s="1"/>
      <c r="J8" s="1"/>
      <c r="K8" s="1"/>
      <c r="L8" s="1"/>
      <c r="M8" s="1"/>
      <c r="N8" s="1"/>
      <c r="O8" s="54" t="s">
        <v>191</v>
      </c>
      <c r="P8" s="55"/>
      <c r="Q8" s="55"/>
      <c r="R8" s="48" t="s">
        <v>41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6" t="s">
        <v>37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87" ht="42" customHeight="1">
      <c r="A9" s="40" t="s">
        <v>192</v>
      </c>
      <c r="B9" s="30">
        <v>11184</v>
      </c>
      <c r="C9" s="30">
        <v>15113.513513513513</v>
      </c>
      <c r="D9" s="1">
        <v>5</v>
      </c>
      <c r="E9" s="1">
        <v>18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54" t="s">
        <v>191</v>
      </c>
      <c r="Y9" s="55"/>
      <c r="Z9" s="55"/>
      <c r="AA9" s="48" t="s">
        <v>41</v>
      </c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6" t="s">
        <v>37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</row>
    <row r="10" spans="1:87" ht="42" customHeight="1">
      <c r="A10" s="35" t="s">
        <v>193</v>
      </c>
      <c r="B10" s="30">
        <v>18534.63</v>
      </c>
      <c r="C10" s="30">
        <v>27922.43</v>
      </c>
      <c r="D10" s="1">
        <v>9</v>
      </c>
      <c r="E10" s="1">
        <v>18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54" t="s">
        <v>191</v>
      </c>
      <c r="AB10" s="55"/>
      <c r="AC10" s="55"/>
      <c r="AD10" s="48" t="s">
        <v>41</v>
      </c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6" t="s">
        <v>37</v>
      </c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1:87" ht="45">
      <c r="A11" s="35" t="s">
        <v>59</v>
      </c>
      <c r="B11" s="30">
        <v>10000</v>
      </c>
      <c r="C11" s="30">
        <v>13365.770738579351</v>
      </c>
      <c r="D11" s="1">
        <v>9</v>
      </c>
      <c r="E11" s="1">
        <v>18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54" t="s">
        <v>191</v>
      </c>
      <c r="AM11" s="55"/>
      <c r="AN11" s="55"/>
      <c r="AO11" s="48" t="s">
        <v>41</v>
      </c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6" t="s">
        <v>37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1:87" s="218" customFormat="1" ht="45">
      <c r="A12" s="35" t="s">
        <v>194</v>
      </c>
      <c r="B12" s="30">
        <v>16222</v>
      </c>
      <c r="C12" s="30">
        <v>21922</v>
      </c>
      <c r="D12" s="1">
        <v>8</v>
      </c>
      <c r="E12" s="1">
        <v>18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54" t="s">
        <v>191</v>
      </c>
      <c r="Z12" s="55"/>
      <c r="AA12" s="55"/>
      <c r="AB12" s="48" t="s">
        <v>41</v>
      </c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 t="s">
        <v>37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</row>
    <row r="13" spans="1:87" s="218" customFormat="1" ht="45">
      <c r="A13" s="219" t="s">
        <v>195</v>
      </c>
      <c r="B13" s="31"/>
      <c r="C13" s="31"/>
      <c r="D13" s="31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4" t="s">
        <v>191</v>
      </c>
      <c r="AF13" s="55"/>
      <c r="AG13" s="55"/>
      <c r="AH13" s="48" t="s">
        <v>41</v>
      </c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6" t="s">
        <v>37</v>
      </c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1"/>
      <c r="BJ13" s="1"/>
      <c r="BK13" s="1"/>
      <c r="BL13" s="1"/>
      <c r="BM13" s="1"/>
      <c r="BN13" s="1"/>
      <c r="BO13" s="1"/>
      <c r="BP13" s="1"/>
      <c r="BQ13" s="1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</row>
    <row r="14" spans="1:87" s="218" customFormat="1" ht="45">
      <c r="A14" s="219" t="s">
        <v>195</v>
      </c>
      <c r="B14" s="31"/>
      <c r="C14" s="31"/>
      <c r="D14" s="31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4" t="s">
        <v>191</v>
      </c>
      <c r="AK14" s="55"/>
      <c r="AL14" s="55"/>
      <c r="AM14" s="48" t="s">
        <v>41</v>
      </c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6" t="s">
        <v>37</v>
      </c>
      <c r="BB14" s="56"/>
      <c r="BC14" s="56"/>
      <c r="BD14" s="56"/>
      <c r="BE14" s="56"/>
      <c r="BF14" s="56"/>
      <c r="BG14" s="56"/>
      <c r="BH14" s="56"/>
      <c r="BI14" s="1"/>
      <c r="BJ14" s="1"/>
      <c r="BK14" s="1"/>
      <c r="BL14" s="1"/>
      <c r="BM14" s="1"/>
      <c r="BN14" s="1"/>
      <c r="BO14" s="1"/>
      <c r="BP14" s="1"/>
      <c r="BQ14" s="1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</row>
    <row r="15" spans="1:87" ht="45">
      <c r="A15" s="40" t="s">
        <v>196</v>
      </c>
      <c r="B15" s="30">
        <f>B9</f>
        <v>11184</v>
      </c>
      <c r="C15" s="30">
        <f>C9</f>
        <v>15113.513513513513</v>
      </c>
      <c r="D15" s="1">
        <v>5</v>
      </c>
      <c r="E15" s="1">
        <v>18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54" t="s">
        <v>191</v>
      </c>
      <c r="AW15" s="55"/>
      <c r="AX15" s="55"/>
      <c r="AY15" s="48" t="s">
        <v>41</v>
      </c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6" t="s">
        <v>37</v>
      </c>
      <c r="BN15" s="1"/>
      <c r="BO15" s="1"/>
      <c r="BP15" s="1"/>
      <c r="BQ15" s="1"/>
    </row>
    <row r="16" spans="1:87">
      <c r="A16" s="35" t="s">
        <v>62</v>
      </c>
      <c r="B16" s="58">
        <v>20277.6666</v>
      </c>
      <c r="C16" s="30">
        <f>C8</f>
        <v>27402.252162162164</v>
      </c>
      <c r="D16" s="1">
        <v>10</v>
      </c>
      <c r="E16" s="1">
        <v>18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 spans="1:69">
      <c r="A17" s="1" t="s">
        <v>197</v>
      </c>
      <c r="B17" s="30">
        <f>SUM(B5:B12)</f>
        <v>114615.5766</v>
      </c>
      <c r="C17" s="30">
        <f>SUM(C5:C12)</f>
        <v>160252.56715283438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 spans="1:69">
      <c r="A18" s="1" t="s">
        <v>198</v>
      </c>
      <c r="B18" s="30">
        <f>B17+B15+B16</f>
        <v>146077.2432</v>
      </c>
      <c r="C18" s="30">
        <f>C17+C15+C16</f>
        <v>202768.33282851006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</row>
    <row r="19" spans="1:6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</row>
    <row r="20" spans="1:6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</row>
    <row r="21" spans="1:69">
      <c r="A21" s="215" t="s">
        <v>199</v>
      </c>
      <c r="AG21" s="216"/>
    </row>
    <row r="22" spans="1:69">
      <c r="A22" s="215" t="s">
        <v>200</v>
      </c>
      <c r="AG22" s="216"/>
    </row>
    <row r="23" spans="1:69">
      <c r="J23" s="316">
        <f>B5+B6+B4</f>
        <v>42836.68</v>
      </c>
      <c r="K23" s="317"/>
      <c r="L23" s="317"/>
      <c r="M23" s="317"/>
      <c r="N23" s="317"/>
      <c r="O23" s="317"/>
      <c r="P23" s="317"/>
      <c r="Q23" s="317"/>
      <c r="R23" s="317"/>
      <c r="S23" s="317"/>
      <c r="T23" s="317"/>
      <c r="U23" s="318"/>
      <c r="V23" s="316">
        <f>B7+B8</f>
        <v>30277.6666</v>
      </c>
      <c r="W23" s="317"/>
      <c r="X23" s="317"/>
      <c r="Y23" s="317"/>
      <c r="Z23" s="317"/>
      <c r="AA23" s="317"/>
      <c r="AB23" s="317"/>
      <c r="AC23" s="317"/>
      <c r="AD23" s="317"/>
      <c r="AE23" s="317"/>
      <c r="AF23" s="317"/>
      <c r="AG23" s="318"/>
      <c r="AH23" s="316">
        <f>B9+B10+B12</f>
        <v>45940.630000000005</v>
      </c>
      <c r="AI23" s="317"/>
      <c r="AJ23" s="317"/>
      <c r="AK23" s="317"/>
      <c r="AL23" s="317"/>
      <c r="AM23" s="317"/>
      <c r="AN23" s="317"/>
      <c r="AO23" s="317"/>
      <c r="AP23" s="317"/>
      <c r="AQ23" s="317"/>
      <c r="AR23" s="317"/>
      <c r="AS23" s="318"/>
      <c r="AT23" s="316">
        <f>B11++B13+B14</f>
        <v>10000</v>
      </c>
      <c r="AU23" s="317"/>
      <c r="AV23" s="317"/>
      <c r="AW23" s="317"/>
      <c r="AX23" s="317"/>
      <c r="AY23" s="317"/>
      <c r="AZ23" s="317"/>
      <c r="BA23" s="317"/>
      <c r="BB23" s="317"/>
      <c r="BC23" s="317"/>
      <c r="BD23" s="317"/>
      <c r="BE23" s="318"/>
      <c r="BF23" s="322"/>
      <c r="BG23" s="317"/>
      <c r="BH23" s="317"/>
      <c r="BI23" s="317"/>
      <c r="BJ23" s="317"/>
      <c r="BK23" s="317"/>
      <c r="BL23" s="317"/>
      <c r="BM23" s="317"/>
      <c r="BN23" s="317"/>
      <c r="BO23" s="317"/>
      <c r="BP23" s="317"/>
      <c r="BQ23" s="318"/>
    </row>
    <row r="24" spans="1:69">
      <c r="A24" s="215" t="s">
        <v>201</v>
      </c>
      <c r="V24" s="316">
        <f>V23+J23</f>
        <v>73114.346600000004</v>
      </c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8"/>
      <c r="AH24" s="316">
        <f>AH23+V24</f>
        <v>119054.97660000001</v>
      </c>
      <c r="AI24" s="317"/>
      <c r="AJ24" s="317"/>
      <c r="AK24" s="317"/>
      <c r="AL24" s="317"/>
      <c r="AM24" s="317"/>
      <c r="AN24" s="317"/>
      <c r="AO24" s="317"/>
      <c r="AP24" s="317"/>
      <c r="AQ24" s="317"/>
      <c r="AR24" s="317"/>
      <c r="AS24" s="318"/>
    </row>
    <row r="25" spans="1:69">
      <c r="A25" s="215" t="s">
        <v>202</v>
      </c>
      <c r="B25" s="62" t="s">
        <v>203</v>
      </c>
      <c r="C25" s="62">
        <v>10000000</v>
      </c>
    </row>
  </sheetData>
  <mergeCells count="32">
    <mergeCell ref="A1:A3"/>
    <mergeCell ref="B1:C2"/>
    <mergeCell ref="D1:D3"/>
    <mergeCell ref="E1:E3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  <mergeCell ref="AT1:AV1"/>
    <mergeCell ref="AW1:AY1"/>
    <mergeCell ref="AZ1:BB1"/>
    <mergeCell ref="AT23:BE23"/>
    <mergeCell ref="BF23:BQ23"/>
    <mergeCell ref="BC1:BE1"/>
    <mergeCell ref="BF1:BH1"/>
    <mergeCell ref="BI1:BK1"/>
    <mergeCell ref="BL1:BN1"/>
    <mergeCell ref="BO1:BQ1"/>
    <mergeCell ref="V24:AG24"/>
    <mergeCell ref="AH24:AS24"/>
    <mergeCell ref="J23:U23"/>
    <mergeCell ref="V23:AG23"/>
    <mergeCell ref="AH23:AS2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стратегия 2 под 100 тыс (отриц)</vt:lpstr>
      <vt:lpstr>1_вариант</vt:lpstr>
      <vt:lpstr>список_МСА</vt:lpstr>
      <vt:lpstr>Стратегия 23 - 27</vt:lpstr>
      <vt:lpstr>стратегия 2 под 100 тыс (реал-)</vt:lpstr>
      <vt:lpstr>стратегия 2 под 100 тыс</vt:lpstr>
      <vt:lpstr>стратегия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22</cp:revision>
  <dcterms:created xsi:type="dcterms:W3CDTF">2022-09-07T15:05:33Z</dcterms:created>
  <dcterms:modified xsi:type="dcterms:W3CDTF">2026-01-14T10:04:50Z</dcterms:modified>
</cp:coreProperties>
</file>